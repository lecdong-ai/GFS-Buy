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Documents\Desktop\"/>
    </mc:Choice>
  </mc:AlternateContent>
  <xr:revisionPtr revIDLastSave="0" documentId="13_ncr:1_{E3766DD2-A163-41C6-A2D3-A727738FAB34}" xr6:coauthVersionLast="47" xr6:coauthVersionMax="47" xr10:uidLastSave="{00000000-0000-0000-0000-000000000000}"/>
  <bookViews>
    <workbookView xWindow="-120" yWindow="-120" windowWidth="29040" windowHeight="15840" xr2:uid="{D5D9F286-404A-4B05-B0C9-73DB76D5E9E5}"/>
  </bookViews>
  <sheets>
    <sheet name="발주현황(카톡보내기)" sheetId="2" r:id="rId1"/>
    <sheet name="신상현황" sheetId="1" r:id="rId2"/>
    <sheet name="발주현황(카톡보내기) (2)" sheetId="3" state="hidden" r:id="rId3"/>
  </sheets>
  <externalReferences>
    <externalReference r:id="rId4"/>
    <externalReference r:id="rId5"/>
  </externalReferences>
  <definedNames>
    <definedName name="_xlnm._FilterDatabase" localSheetId="0" hidden="1">'발주현황(카톡보내기)'!$A$4:$H$36</definedName>
    <definedName name="_xlnm._FilterDatabase" localSheetId="2" hidden="1">'발주현황(카톡보내기) (2)'!$A$4:$K$13</definedName>
    <definedName name="_xlnm._FilterDatabase" localSheetId="1" hidden="1">신상현황!$A$1:$DF$9</definedName>
    <definedName name="_xlnm.Print_Area" localSheetId="0">'발주현황(카톡보내기)'!$B$2:$G$118</definedName>
    <definedName name="_xlnm.Print_Area" localSheetId="2">'발주현황(카톡보내기) (2)'!$B$2:$J$56</definedName>
    <definedName name="_xlnm.Print_Titles" localSheetId="0">'발주현황(카톡보내기)'!$2:$5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8" i="2" l="1"/>
  <c r="L108" i="2" s="1"/>
  <c r="D108" i="2" s="1"/>
  <c r="K108" i="2"/>
  <c r="M108" i="2" s="1"/>
  <c r="E108" i="2" s="1"/>
  <c r="F108" i="2" l="1"/>
  <c r="G108" i="2" s="1"/>
  <c r="C116" i="2" l="1"/>
  <c r="C107" i="2"/>
  <c r="C73" i="2"/>
  <c r="C95" i="2"/>
  <c r="C43" i="2"/>
  <c r="C59" i="2"/>
  <c r="J97" i="2" l="1"/>
  <c r="J98" i="2"/>
  <c r="J99" i="2"/>
  <c r="J100" i="2"/>
  <c r="J101" i="2"/>
  <c r="J102" i="2"/>
  <c r="J103" i="2"/>
  <c r="J104" i="2"/>
  <c r="J105" i="2"/>
  <c r="J106" i="2"/>
  <c r="J107" i="2"/>
  <c r="J109" i="2"/>
  <c r="J110" i="2"/>
  <c r="J111" i="2"/>
  <c r="J112" i="2"/>
  <c r="J113" i="2"/>
  <c r="J114" i="2"/>
  <c r="J115" i="2"/>
  <c r="K44" i="2" l="1"/>
  <c r="M44" i="2" s="1"/>
  <c r="E44" i="2" s="1"/>
  <c r="K59" i="2" l="1"/>
  <c r="J59" i="2"/>
  <c r="K116" i="2" l="1"/>
  <c r="J116" i="2"/>
  <c r="K107" i="2"/>
  <c r="K95" i="2"/>
  <c r="J95" i="2"/>
  <c r="K80" i="2" l="1"/>
  <c r="J80" i="2"/>
  <c r="K73" i="2"/>
  <c r="J73" i="2"/>
  <c r="K43" i="2"/>
  <c r="J43" i="2"/>
  <c r="K25" i="2"/>
  <c r="J25" i="2"/>
  <c r="C25" i="2" l="1"/>
  <c r="M25" i="2"/>
  <c r="L25" i="2"/>
  <c r="M116" i="2" l="1"/>
  <c r="J56" i="3" l="1"/>
  <c r="I55" i="3"/>
  <c r="J55" i="3" s="1"/>
  <c r="O53" i="3"/>
  <c r="C51" i="3"/>
  <c r="C42" i="3"/>
  <c r="C39" i="3"/>
  <c r="C34" i="3"/>
  <c r="C31" i="3"/>
  <c r="C21" i="3"/>
  <c r="C15" i="3"/>
  <c r="G121" i="2"/>
  <c r="G120" i="2"/>
  <c r="M107" i="2"/>
  <c r="L107" i="2"/>
  <c r="M95" i="2"/>
  <c r="L95" i="2"/>
  <c r="M80" i="2"/>
  <c r="L80" i="2"/>
  <c r="C80" i="2"/>
  <c r="M73" i="2"/>
  <c r="L73" i="2"/>
  <c r="M59" i="2"/>
  <c r="L59" i="2"/>
  <c r="M43" i="2"/>
  <c r="L43" i="2"/>
  <c r="D4" i="2"/>
  <c r="E4" i="2" s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L12" i="1"/>
  <c r="N13" i="1" s="1"/>
  <c r="K12" i="1"/>
  <c r="J12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L11" i="1"/>
  <c r="K11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L9" i="1"/>
  <c r="K9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L6" i="1"/>
  <c r="N7" i="1" s="1"/>
  <c r="K6" i="1"/>
  <c r="J6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L5" i="1"/>
  <c r="K5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L3" i="1"/>
  <c r="K3" i="1"/>
  <c r="K13" i="1" l="1"/>
  <c r="K7" i="1"/>
  <c r="L7" i="1"/>
  <c r="L13" i="1"/>
  <c r="K24" i="2" l="1"/>
  <c r="M24" i="2" s="1"/>
  <c r="E24" i="2" s="1"/>
  <c r="J24" i="2" l="1"/>
  <c r="L24" i="2" s="1"/>
  <c r="D24" i="2" s="1"/>
  <c r="G24" i="2" s="1"/>
  <c r="K23" i="2" l="1"/>
  <c r="M23" i="2" s="1"/>
  <c r="E23" i="2" s="1"/>
  <c r="J23" i="2" l="1"/>
  <c r="L23" i="2" s="1"/>
  <c r="D23" i="2" s="1"/>
  <c r="G23" i="2" s="1"/>
  <c r="K20" i="2" l="1"/>
  <c r="M20" i="2" s="1"/>
  <c r="E20" i="2" s="1"/>
  <c r="K19" i="2"/>
  <c r="M19" i="2" s="1"/>
  <c r="E19" i="2" s="1"/>
  <c r="J20" i="2" l="1"/>
  <c r="L20" i="2" s="1"/>
  <c r="D20" i="2" s="1"/>
  <c r="G20" i="2" s="1"/>
  <c r="J19" i="2"/>
  <c r="L19" i="2" s="1"/>
  <c r="D19" i="2" s="1"/>
  <c r="G19" i="2" s="1"/>
  <c r="K79" i="2" l="1"/>
  <c r="M79" i="2" s="1"/>
  <c r="E79" i="2" s="1"/>
  <c r="K78" i="2"/>
  <c r="M78" i="2" s="1"/>
  <c r="E78" i="2" s="1"/>
  <c r="J78" i="2" l="1"/>
  <c r="L78" i="2" s="1"/>
  <c r="D78" i="2" s="1"/>
  <c r="J79" i="2"/>
  <c r="L79" i="2" s="1"/>
  <c r="D79" i="2" s="1"/>
  <c r="K104" i="2" l="1"/>
  <c r="M104" i="2" s="1"/>
  <c r="E104" i="2" s="1"/>
  <c r="K28" i="2" l="1"/>
  <c r="M28" i="2" s="1"/>
  <c r="E28" i="2" s="1"/>
  <c r="J28" i="2" l="1"/>
  <c r="L28" i="2" s="1"/>
  <c r="D28" i="2" s="1"/>
  <c r="G28" i="2" s="1"/>
  <c r="L104" i="2" l="1"/>
  <c r="D104" i="2" s="1"/>
  <c r="K84" i="2" l="1"/>
  <c r="M84" i="2" s="1"/>
  <c r="E84" i="2" s="1"/>
  <c r="K26" i="2" l="1"/>
  <c r="M26" i="2" s="1"/>
  <c r="E26" i="2" s="1"/>
  <c r="J26" i="2" l="1"/>
  <c r="L26" i="2" s="1"/>
  <c r="D26" i="2" s="1"/>
  <c r="G26" i="2" l="1"/>
  <c r="L100" i="2" l="1"/>
  <c r="D100" i="2" s="1"/>
  <c r="K100" i="2" l="1"/>
  <c r="M100" i="2" s="1"/>
  <c r="E100" i="2" s="1"/>
  <c r="K86" i="2" l="1"/>
  <c r="M86" i="2" s="1"/>
  <c r="E86" i="2" s="1"/>
  <c r="J86" i="2" l="1"/>
  <c r="L86" i="2" s="1"/>
  <c r="D86" i="2" s="1"/>
  <c r="J44" i="2" l="1"/>
  <c r="L44" i="2" s="1"/>
  <c r="D44" i="2" s="1"/>
  <c r="J85" i="2" l="1"/>
  <c r="L85" i="2" s="1"/>
  <c r="D85" i="2" s="1"/>
  <c r="K85" i="2" l="1"/>
  <c r="M85" i="2" s="1"/>
  <c r="E85" i="2" s="1"/>
  <c r="K42" i="2" l="1"/>
  <c r="M42" i="2" s="1"/>
  <c r="E42" i="2" s="1"/>
  <c r="J42" i="2" l="1"/>
  <c r="L42" i="2" s="1"/>
  <c r="D42" i="2" s="1"/>
  <c r="G42" i="2" s="1"/>
  <c r="K45" i="2" l="1"/>
  <c r="M45" i="2" s="1"/>
  <c r="E45" i="2" s="1"/>
  <c r="K111" i="2"/>
  <c r="M111" i="2" s="1"/>
  <c r="E111" i="2" s="1"/>
  <c r="K29" i="2"/>
  <c r="M29" i="2" s="1"/>
  <c r="E29" i="2" s="1"/>
  <c r="K87" i="2"/>
  <c r="M87" i="2" s="1"/>
  <c r="E87" i="2" s="1"/>
  <c r="K101" i="2"/>
  <c r="M101" i="2" s="1"/>
  <c r="E101" i="2" s="1"/>
  <c r="K21" i="2"/>
  <c r="M21" i="2" s="1"/>
  <c r="E21" i="2" s="1"/>
  <c r="K27" i="2"/>
  <c r="M27" i="2" s="1"/>
  <c r="E27" i="2" s="1"/>
  <c r="K110" i="2"/>
  <c r="M110" i="2" s="1"/>
  <c r="E110" i="2" s="1"/>
  <c r="K102" i="2"/>
  <c r="M102" i="2" s="1"/>
  <c r="E102" i="2" s="1"/>
  <c r="J21" i="2" l="1"/>
  <c r="L21" i="2" s="1"/>
  <c r="D21" i="2" s="1"/>
  <c r="G21" i="2" s="1"/>
  <c r="G30" i="2"/>
  <c r="L102" i="2"/>
  <c r="D102" i="2" s="1"/>
  <c r="J27" i="2"/>
  <c r="L27" i="2" s="1"/>
  <c r="D27" i="2" s="1"/>
  <c r="J29" i="2"/>
  <c r="L29" i="2" s="1"/>
  <c r="D29" i="2" s="1"/>
  <c r="G29" i="2" s="1"/>
  <c r="J87" i="2"/>
  <c r="L87" i="2" s="1"/>
  <c r="D87" i="2" s="1"/>
  <c r="G87" i="2" s="1"/>
  <c r="L111" i="2"/>
  <c r="L110" i="2"/>
  <c r="J45" i="2"/>
  <c r="L45" i="2" s="1"/>
  <c r="D45" i="2" s="1"/>
  <c r="L101" i="2"/>
  <c r="D101" i="2" s="1"/>
  <c r="G110" i="2" l="1"/>
  <c r="D110" i="2"/>
  <c r="G111" i="2"/>
  <c r="D111" i="2"/>
  <c r="G27" i="2"/>
  <c r="K115" i="2" l="1"/>
  <c r="M115" i="2" s="1"/>
  <c r="E115" i="2" s="1"/>
  <c r="K99" i="2" l="1"/>
  <c r="M99" i="2" s="1"/>
  <c r="E99" i="2" s="1"/>
  <c r="L115" i="2" l="1"/>
  <c r="G115" i="2" l="1"/>
  <c r="D115" i="2"/>
  <c r="K22" i="2" l="1"/>
  <c r="M22" i="2" s="1"/>
  <c r="E22" i="2" s="1"/>
  <c r="J22" i="2" l="1"/>
  <c r="L22" i="2" s="1"/>
  <c r="D22" i="2" s="1"/>
  <c r="G22" i="2" s="1"/>
  <c r="L99" i="2" l="1"/>
  <c r="D99" i="2" s="1"/>
  <c r="K18" i="2" l="1"/>
  <c r="M18" i="2" s="1"/>
  <c r="E18" i="2" s="1"/>
  <c r="J18" i="2" l="1"/>
  <c r="L18" i="2" s="1"/>
  <c r="D18" i="2" s="1"/>
  <c r="G18" i="2" s="1"/>
  <c r="K88" i="2" l="1"/>
  <c r="M88" i="2" s="1"/>
  <c r="E88" i="2" s="1"/>
  <c r="K89" i="2"/>
  <c r="M89" i="2" s="1"/>
  <c r="E89" i="2" s="1"/>
  <c r="K90" i="2" l="1"/>
  <c r="M90" i="2" s="1"/>
  <c r="E90" i="2" s="1"/>
  <c r="J89" i="2" l="1"/>
  <c r="L89" i="2" s="1"/>
  <c r="D89" i="2" s="1"/>
  <c r="G89" i="2" s="1"/>
  <c r="J90" i="2" l="1"/>
  <c r="L90" i="2" s="1"/>
  <c r="D90" i="2" s="1"/>
  <c r="G90" i="2" s="1"/>
  <c r="K92" i="2" l="1"/>
  <c r="M92" i="2" s="1"/>
  <c r="E92" i="2" s="1"/>
  <c r="J92" i="2" l="1"/>
  <c r="L92" i="2" s="1"/>
  <c r="D92" i="2" s="1"/>
  <c r="G92" i="2" s="1"/>
  <c r="J88" i="2" l="1"/>
  <c r="L88" i="2" s="1"/>
  <c r="D88" i="2" s="1"/>
  <c r="G88" i="2" s="1"/>
  <c r="K10" i="2" l="1"/>
  <c r="M10" i="2" s="1"/>
  <c r="E10" i="2" s="1"/>
  <c r="J10" i="2" l="1"/>
  <c r="L10" i="2" s="1"/>
  <c r="D10" i="2" s="1"/>
  <c r="G10" i="2" s="1"/>
  <c r="K103" i="2" l="1"/>
  <c r="M103" i="2" s="1"/>
  <c r="E103" i="2" s="1"/>
  <c r="L103" i="2" l="1"/>
  <c r="D103" i="2" s="1"/>
  <c r="K81" i="2" l="1"/>
  <c r="M81" i="2" s="1"/>
  <c r="E81" i="2" s="1"/>
  <c r="J81" i="2" l="1"/>
  <c r="L81" i="2" s="1"/>
  <c r="D81" i="2" s="1"/>
  <c r="G81" i="2" l="1"/>
  <c r="K13" i="2" l="1"/>
  <c r="M13" i="2" s="1"/>
  <c r="E13" i="2" s="1"/>
  <c r="K105" i="2" l="1"/>
  <c r="M105" i="2" s="1"/>
  <c r="E105" i="2" s="1"/>
  <c r="L105" i="2" l="1"/>
  <c r="D105" i="2" s="1"/>
  <c r="J91" i="2" l="1"/>
  <c r="L91" i="2" s="1"/>
  <c r="D91" i="2" s="1"/>
  <c r="J83" i="2"/>
  <c r="L83" i="2" s="1"/>
  <c r="D83" i="2" s="1"/>
  <c r="K83" i="2" l="1"/>
  <c r="M83" i="2" s="1"/>
  <c r="E83" i="2" s="1"/>
  <c r="K91" i="2"/>
  <c r="M91" i="2" s="1"/>
  <c r="E91" i="2" s="1"/>
  <c r="G91" i="2" s="1"/>
  <c r="J13" i="2" l="1"/>
  <c r="L13" i="2" s="1"/>
  <c r="D13" i="2" s="1"/>
  <c r="G13" i="2" s="1"/>
  <c r="K16" i="2" l="1"/>
  <c r="M16" i="2" s="1"/>
  <c r="E16" i="2" s="1"/>
  <c r="K82" i="2" l="1"/>
  <c r="M82" i="2" s="1"/>
  <c r="E82" i="2" s="1"/>
  <c r="K75" i="2"/>
  <c r="M75" i="2" s="1"/>
  <c r="E75" i="2" s="1"/>
  <c r="K106" i="2"/>
  <c r="M106" i="2" s="1"/>
  <c r="E106" i="2" s="1"/>
  <c r="L106" i="2" l="1"/>
  <c r="D106" i="2" s="1"/>
  <c r="J82" i="2"/>
  <c r="L82" i="2" s="1"/>
  <c r="D82" i="2" s="1"/>
  <c r="J16" i="2"/>
  <c r="L16" i="2" s="1"/>
  <c r="D16" i="2" s="1"/>
  <c r="G16" i="2" s="1"/>
  <c r="G82" i="2" l="1"/>
  <c r="J75" i="2" l="1"/>
  <c r="L75" i="2" s="1"/>
  <c r="D75" i="2" s="1"/>
  <c r="G75" i="2" l="1"/>
  <c r="K114" i="2" l="1"/>
  <c r="M114" i="2" s="1"/>
  <c r="E114" i="2" s="1"/>
  <c r="L114" i="2" l="1"/>
  <c r="G114" i="2" l="1"/>
  <c r="D114" i="2"/>
  <c r="G31" i="2"/>
  <c r="K76" i="2" l="1"/>
  <c r="M76" i="2" s="1"/>
  <c r="E76" i="2" s="1"/>
  <c r="K74" i="2"/>
  <c r="M74" i="2" s="1"/>
  <c r="E74" i="2" s="1"/>
  <c r="K12" i="2"/>
  <c r="M12" i="2" s="1"/>
  <c r="E12" i="2" s="1"/>
  <c r="J12" i="2" l="1"/>
  <c r="L12" i="2" s="1"/>
  <c r="D12" i="2" s="1"/>
  <c r="G12" i="2" s="1"/>
  <c r="J74" i="2"/>
  <c r="L74" i="2" s="1"/>
  <c r="D74" i="2" s="1"/>
  <c r="J76" i="2"/>
  <c r="L76" i="2" s="1"/>
  <c r="D76" i="2" s="1"/>
  <c r="G74" i="2" l="1"/>
  <c r="L97" i="2" l="1"/>
  <c r="D97" i="2" s="1"/>
  <c r="L98" i="2"/>
  <c r="D98" i="2" s="1"/>
  <c r="K98" i="2" l="1"/>
  <c r="M98" i="2" s="1"/>
  <c r="E98" i="2" s="1"/>
  <c r="K97" i="2"/>
  <c r="M97" i="2" s="1"/>
  <c r="E97" i="2" s="1"/>
  <c r="K112" i="2" l="1"/>
  <c r="M112" i="2" s="1"/>
  <c r="E112" i="2" s="1"/>
  <c r="K77" i="2"/>
  <c r="M77" i="2" s="1"/>
  <c r="E77" i="2" s="1"/>
  <c r="E80" i="2" s="1"/>
  <c r="K113" i="2"/>
  <c r="M113" i="2" s="1"/>
  <c r="E113" i="2" s="1"/>
  <c r="K109" i="2"/>
  <c r="M109" i="2" s="1"/>
  <c r="E109" i="2" s="1"/>
  <c r="L109" i="2" l="1"/>
  <c r="G109" i="2" l="1"/>
  <c r="D109" i="2"/>
  <c r="L113" i="2" l="1"/>
  <c r="L112" i="2"/>
  <c r="D112" i="2" s="1"/>
  <c r="G113" i="2" l="1"/>
  <c r="D113" i="2"/>
  <c r="G112" i="2"/>
  <c r="J77" i="2" l="1"/>
  <c r="L77" i="2" s="1"/>
  <c r="D77" i="2" s="1"/>
  <c r="D80" i="2" l="1"/>
  <c r="F80" i="2"/>
  <c r="G80" i="2" s="1"/>
  <c r="J11" i="2" l="1"/>
  <c r="L11" i="2" s="1"/>
  <c r="D11" i="2" s="1"/>
  <c r="K11" i="2" l="1"/>
  <c r="M11" i="2" s="1"/>
  <c r="E11" i="2" s="1"/>
  <c r="G11" i="2" s="1"/>
  <c r="K15" i="2" l="1"/>
  <c r="M15" i="2" s="1"/>
  <c r="E15" i="2" s="1"/>
  <c r="J15" i="2" l="1"/>
  <c r="L15" i="2" s="1"/>
  <c r="D15" i="2" s="1"/>
  <c r="J17" i="2" l="1"/>
  <c r="L17" i="2" s="1"/>
  <c r="D17" i="2" s="1"/>
  <c r="K17" i="2" l="1"/>
  <c r="M17" i="2" s="1"/>
  <c r="E17" i="2" s="1"/>
  <c r="G17" i="2" s="1"/>
  <c r="K14" i="2" l="1"/>
  <c r="M14" i="2" s="1"/>
  <c r="E14" i="2" s="1"/>
  <c r="J14" i="2" l="1"/>
  <c r="L14" i="2" s="1"/>
  <c r="D14" i="2" s="1"/>
  <c r="K7" i="2" l="1"/>
  <c r="M7" i="2" s="1"/>
  <c r="E7" i="2" s="1"/>
  <c r="K8" i="2" l="1"/>
  <c r="M8" i="2" s="1"/>
  <c r="E8" i="2" s="1"/>
  <c r="J7" i="2" l="1"/>
  <c r="L7" i="2" s="1"/>
  <c r="D7" i="2" s="1"/>
  <c r="J8" i="2"/>
  <c r="L8" i="2" s="1"/>
  <c r="D8" i="2" s="1"/>
  <c r="E116" i="2" l="1"/>
  <c r="D116" i="2" l="1"/>
  <c r="G116" i="2" l="1"/>
  <c r="E107" i="2" l="1"/>
  <c r="D107" i="2" l="1"/>
  <c r="F107" i="2" l="1"/>
  <c r="G107" i="2" s="1"/>
  <c r="N10" i="3" l="1"/>
  <c r="P10" i="3" s="1"/>
  <c r="H10" i="3" s="1"/>
  <c r="N19" i="3"/>
  <c r="P19" i="3" s="1"/>
  <c r="H19" i="3" s="1"/>
  <c r="N30" i="3"/>
  <c r="P30" i="3" s="1"/>
  <c r="H30" i="3" s="1"/>
  <c r="N50" i="3"/>
  <c r="P50" i="3" s="1"/>
  <c r="H50" i="3" s="1"/>
  <c r="N35" i="3"/>
  <c r="P35" i="3" s="1"/>
  <c r="H35" i="3" s="1"/>
  <c r="N37" i="3"/>
  <c r="P37" i="3" s="1"/>
  <c r="H37" i="3" s="1"/>
  <c r="N13" i="3"/>
  <c r="P13" i="3" s="1"/>
  <c r="H13" i="3" s="1"/>
  <c r="N12" i="3"/>
  <c r="P12" i="3" s="1"/>
  <c r="H12" i="3" s="1"/>
  <c r="N14" i="3"/>
  <c r="P14" i="3" s="1"/>
  <c r="H14" i="3" s="1"/>
  <c r="K9" i="2"/>
  <c r="M9" i="2" s="1"/>
  <c r="E9" i="2" s="1"/>
  <c r="N33" i="3"/>
  <c r="P33" i="3" s="1"/>
  <c r="H33" i="3" s="1"/>
  <c r="N28" i="3"/>
  <c r="P28" i="3" s="1"/>
  <c r="H28" i="3" s="1"/>
  <c r="N24" i="3"/>
  <c r="P24" i="3" s="1"/>
  <c r="H24" i="3" s="1"/>
  <c r="N49" i="3"/>
  <c r="P49" i="3" s="1"/>
  <c r="H49" i="3" s="1"/>
  <c r="N18" i="3"/>
  <c r="P18" i="3" s="1"/>
  <c r="H18" i="3" s="1"/>
  <c r="N41" i="3"/>
  <c r="P41" i="3" s="1"/>
  <c r="H41" i="3" s="1"/>
  <c r="N27" i="3"/>
  <c r="P27" i="3" s="1"/>
  <c r="H27" i="3" s="1"/>
  <c r="N9" i="3"/>
  <c r="P9" i="3" s="1"/>
  <c r="H9" i="3" s="1"/>
  <c r="N22" i="3"/>
  <c r="P22" i="3" s="1"/>
  <c r="H22" i="3" s="1"/>
  <c r="N23" i="3"/>
  <c r="P23" i="3" s="1"/>
  <c r="H23" i="3" s="1"/>
  <c r="N47" i="3"/>
  <c r="P47" i="3" s="1"/>
  <c r="H47" i="3" s="1"/>
  <c r="N16" i="3"/>
  <c r="P16" i="3" s="1"/>
  <c r="H16" i="3" s="1"/>
  <c r="N20" i="3"/>
  <c r="P20" i="3" s="1"/>
  <c r="H20" i="3" s="1"/>
  <c r="N25" i="3"/>
  <c r="P25" i="3" s="1"/>
  <c r="H25" i="3" s="1"/>
  <c r="K72" i="2"/>
  <c r="M72" i="2" s="1"/>
  <c r="E72" i="2" s="1"/>
  <c r="N26" i="3"/>
  <c r="P26" i="3" s="1"/>
  <c r="H26" i="3" s="1"/>
  <c r="N38" i="3"/>
  <c r="P38" i="3" s="1"/>
  <c r="H38" i="3" s="1"/>
  <c r="N45" i="3"/>
  <c r="P45" i="3" s="1"/>
  <c r="H45" i="3" s="1"/>
  <c r="K71" i="2"/>
  <c r="M71" i="2" s="1"/>
  <c r="E71" i="2" s="1"/>
  <c r="N29" i="3"/>
  <c r="P29" i="3" s="1"/>
  <c r="H29" i="3" s="1"/>
  <c r="K58" i="2"/>
  <c r="M58" i="2" s="1"/>
  <c r="E58" i="2" s="1"/>
  <c r="N17" i="3"/>
  <c r="P17" i="3" s="1"/>
  <c r="H17" i="3" s="1"/>
  <c r="N36" i="3"/>
  <c r="P36" i="3" s="1"/>
  <c r="H36" i="3" s="1"/>
  <c r="N44" i="3"/>
  <c r="P44" i="3" s="1"/>
  <c r="H44" i="3" s="1"/>
  <c r="N7" i="3"/>
  <c r="P7" i="3" s="1"/>
  <c r="H7" i="3" s="1"/>
  <c r="N32" i="3"/>
  <c r="P32" i="3" s="1"/>
  <c r="H32" i="3" s="1"/>
  <c r="H34" i="3" s="1"/>
  <c r="N40" i="3"/>
  <c r="P40" i="3" s="1"/>
  <c r="H40" i="3" s="1"/>
  <c r="N48" i="3"/>
  <c r="P48" i="3" s="1"/>
  <c r="H48" i="3" s="1"/>
  <c r="N8" i="3"/>
  <c r="P8" i="3" s="1"/>
  <c r="H8" i="3" s="1"/>
  <c r="N6" i="3"/>
  <c r="N46" i="3"/>
  <c r="P46" i="3" s="1"/>
  <c r="H46" i="3" s="1"/>
  <c r="K57" i="2"/>
  <c r="M57" i="2" s="1"/>
  <c r="E57" i="2" s="1"/>
  <c r="K61" i="2"/>
  <c r="M61" i="2" s="1"/>
  <c r="E61" i="2" s="1"/>
  <c r="K62" i="2"/>
  <c r="M62" i="2" s="1"/>
  <c r="E62" i="2" s="1"/>
  <c r="K55" i="2"/>
  <c r="M55" i="2" s="1"/>
  <c r="E55" i="2" s="1"/>
  <c r="K70" i="2"/>
  <c r="M70" i="2" s="1"/>
  <c r="E70" i="2" s="1"/>
  <c r="K38" i="2"/>
  <c r="M38" i="2" s="1"/>
  <c r="E38" i="2" s="1"/>
  <c r="K35" i="2"/>
  <c r="M35" i="2" s="1"/>
  <c r="E35" i="2" s="1"/>
  <c r="N43" i="3"/>
  <c r="P43" i="3" s="1"/>
  <c r="H43" i="3" s="1"/>
  <c r="K67" i="2"/>
  <c r="M67" i="2" s="1"/>
  <c r="E67" i="2" s="1"/>
  <c r="K56" i="2"/>
  <c r="M56" i="2" s="1"/>
  <c r="E56" i="2" s="1"/>
  <c r="K50" i="2"/>
  <c r="M50" i="2" s="1"/>
  <c r="E50" i="2" s="1"/>
  <c r="K32" i="2"/>
  <c r="M32" i="2" s="1"/>
  <c r="E32" i="2" s="1"/>
  <c r="K60" i="2" l="1"/>
  <c r="M60" i="2" s="1"/>
  <c r="E60" i="2" s="1"/>
  <c r="K36" i="2"/>
  <c r="M36" i="2" s="1"/>
  <c r="E36" i="2" s="1"/>
  <c r="K47" i="2"/>
  <c r="M47" i="2" s="1"/>
  <c r="E47" i="2" s="1"/>
  <c r="K54" i="2"/>
  <c r="M54" i="2" s="1"/>
  <c r="E54" i="2" s="1"/>
  <c r="K53" i="2"/>
  <c r="M53" i="2" s="1"/>
  <c r="E53" i="2" s="1"/>
  <c r="K69" i="2"/>
  <c r="M69" i="2" s="1"/>
  <c r="E69" i="2" s="1"/>
  <c r="K46" i="2"/>
  <c r="M46" i="2" s="1"/>
  <c r="E46" i="2" s="1"/>
  <c r="K34" i="2"/>
  <c r="M34" i="2" s="1"/>
  <c r="E34" i="2" s="1"/>
  <c r="K48" i="2"/>
  <c r="M48" i="2" s="1"/>
  <c r="E48" i="2" s="1"/>
  <c r="K51" i="2"/>
  <c r="M51" i="2" s="1"/>
  <c r="E51" i="2" s="1"/>
  <c r="K68" i="2"/>
  <c r="M68" i="2" s="1"/>
  <c r="E68" i="2" s="1"/>
  <c r="K64" i="2"/>
  <c r="M64" i="2" s="1"/>
  <c r="E64" i="2" s="1"/>
  <c r="K52" i="2"/>
  <c r="M52" i="2" s="1"/>
  <c r="E52" i="2" s="1"/>
  <c r="E59" i="2" s="1"/>
  <c r="K49" i="2"/>
  <c r="M49" i="2" s="1"/>
  <c r="E49" i="2" s="1"/>
  <c r="K37" i="2"/>
  <c r="M37" i="2" s="1"/>
  <c r="E37" i="2" s="1"/>
  <c r="K66" i="2"/>
  <c r="M66" i="2" s="1"/>
  <c r="E66" i="2" s="1"/>
  <c r="K40" i="2"/>
  <c r="M40" i="2" s="1"/>
  <c r="E40" i="2" s="1"/>
  <c r="K39" i="2"/>
  <c r="M39" i="2" s="1"/>
  <c r="E39" i="2" s="1"/>
  <c r="H39" i="3"/>
  <c r="K63" i="2"/>
  <c r="M63" i="2" s="1"/>
  <c r="E63" i="2" s="1"/>
  <c r="N11" i="3"/>
  <c r="P11" i="3" s="1"/>
  <c r="H11" i="3" s="1"/>
  <c r="H42" i="3"/>
  <c r="E73" i="2"/>
  <c r="H31" i="3"/>
  <c r="K6" i="2"/>
  <c r="K41" i="2"/>
  <c r="M41" i="2" s="1"/>
  <c r="E41" i="2" s="1"/>
  <c r="K33" i="2"/>
  <c r="M33" i="2" s="1"/>
  <c r="E33" i="2" s="1"/>
  <c r="K94" i="2"/>
  <c r="M94" i="2" s="1"/>
  <c r="E94" i="2" s="1"/>
  <c r="P6" i="3"/>
  <c r="H51" i="3"/>
  <c r="K93" i="2"/>
  <c r="M93" i="2" s="1"/>
  <c r="E93" i="2" s="1"/>
  <c r="E95" i="2" s="1"/>
  <c r="H21" i="3"/>
  <c r="N53" i="3" l="1"/>
  <c r="E43" i="2"/>
  <c r="K118" i="2"/>
  <c r="M6" i="2"/>
  <c r="H6" i="3"/>
  <c r="H15" i="3" s="1"/>
  <c r="H53" i="3" s="1"/>
  <c r="P53" i="3"/>
  <c r="E6" i="2" l="1"/>
  <c r="E25" i="2" s="1"/>
  <c r="E118" i="2" s="1"/>
  <c r="M118" i="2"/>
  <c r="M46" i="3" l="1"/>
  <c r="G46" i="3" s="1"/>
  <c r="I46" i="3" s="1"/>
  <c r="J46" i="3" s="1"/>
  <c r="M29" i="3"/>
  <c r="G29" i="3" s="1"/>
  <c r="I29" i="3" s="1"/>
  <c r="J29" i="3" s="1"/>
  <c r="M16" i="3"/>
  <c r="G16" i="3" s="1"/>
  <c r="M44" i="3"/>
  <c r="G44" i="3" s="1"/>
  <c r="I44" i="3" s="1"/>
  <c r="J44" i="3" s="1"/>
  <c r="M9" i="3"/>
  <c r="G9" i="3" s="1"/>
  <c r="I9" i="3" s="1"/>
  <c r="J9" i="3" s="1"/>
  <c r="J54" i="2"/>
  <c r="L54" i="2" s="1"/>
  <c r="D54" i="2" s="1"/>
  <c r="F54" i="2" s="1"/>
  <c r="G54" i="2" s="1"/>
  <c r="M10" i="3"/>
  <c r="G10" i="3" s="1"/>
  <c r="I10" i="3" s="1"/>
  <c r="J10" i="3" s="1"/>
  <c r="M32" i="3"/>
  <c r="G32" i="3" s="1"/>
  <c r="M19" i="3"/>
  <c r="G19" i="3" s="1"/>
  <c r="I19" i="3" s="1"/>
  <c r="J19" i="3" s="1"/>
  <c r="M24" i="3"/>
  <c r="G24" i="3" s="1"/>
  <c r="I24" i="3" s="1"/>
  <c r="J24" i="3" s="1"/>
  <c r="M17" i="3"/>
  <c r="G17" i="3" s="1"/>
  <c r="I17" i="3" s="1"/>
  <c r="J17" i="3" s="1"/>
  <c r="M35" i="3"/>
  <c r="G35" i="3" s="1"/>
  <c r="M12" i="3"/>
  <c r="G12" i="3" s="1"/>
  <c r="I12" i="3" s="1"/>
  <c r="J12" i="3" s="1"/>
  <c r="J61" i="2"/>
  <c r="L61" i="2" s="1"/>
  <c r="D61" i="2" s="1"/>
  <c r="F61" i="2" s="1"/>
  <c r="M20" i="3"/>
  <c r="G20" i="3" s="1"/>
  <c r="I20" i="3" s="1"/>
  <c r="J20" i="3" s="1"/>
  <c r="M41" i="3"/>
  <c r="G41" i="3" s="1"/>
  <c r="I41" i="3" s="1"/>
  <c r="J41" i="3" s="1"/>
  <c r="M48" i="3"/>
  <c r="G48" i="3" s="1"/>
  <c r="I48" i="3" s="1"/>
  <c r="J48" i="3" s="1"/>
  <c r="M26" i="3"/>
  <c r="G26" i="3" s="1"/>
  <c r="I26" i="3" s="1"/>
  <c r="J26" i="3" s="1"/>
  <c r="M23" i="3"/>
  <c r="G23" i="3" s="1"/>
  <c r="I23" i="3" s="1"/>
  <c r="J23" i="3" s="1"/>
  <c r="M28" i="3"/>
  <c r="G28" i="3" s="1"/>
  <c r="I28" i="3" s="1"/>
  <c r="J28" i="3" s="1"/>
  <c r="M38" i="3"/>
  <c r="G38" i="3" s="1"/>
  <c r="I38" i="3" s="1"/>
  <c r="J37" i="3" s="1"/>
  <c r="J55" i="2"/>
  <c r="L55" i="2" s="1"/>
  <c r="D55" i="2" s="1"/>
  <c r="F55" i="2" s="1"/>
  <c r="M7" i="3"/>
  <c r="G7" i="3" s="1"/>
  <c r="I7" i="3" s="1"/>
  <c r="J7" i="3" s="1"/>
  <c r="M13" i="3"/>
  <c r="G13" i="3" s="1"/>
  <c r="I13" i="3" s="1"/>
  <c r="J13" i="3" s="1"/>
  <c r="M30" i="3"/>
  <c r="G30" i="3" s="1"/>
  <c r="I30" i="3" s="1"/>
  <c r="J30" i="3" s="1"/>
  <c r="M50" i="3"/>
  <c r="G50" i="3" s="1"/>
  <c r="I50" i="3" s="1"/>
  <c r="J50" i="3" s="1"/>
  <c r="M33" i="3"/>
  <c r="G33" i="3" s="1"/>
  <c r="I33" i="3" s="1"/>
  <c r="J33" i="3" s="1"/>
  <c r="M6" i="3"/>
  <c r="M47" i="3"/>
  <c r="G47" i="3" s="1"/>
  <c r="I47" i="3" s="1"/>
  <c r="J47" i="3" s="1"/>
  <c r="M43" i="3"/>
  <c r="G43" i="3" s="1"/>
  <c r="J47" i="2"/>
  <c r="L47" i="2" s="1"/>
  <c r="D47" i="2" s="1"/>
  <c r="F47" i="2" s="1"/>
  <c r="G47" i="2" s="1"/>
  <c r="M37" i="3"/>
  <c r="G37" i="3" s="1"/>
  <c r="I37" i="3" s="1"/>
  <c r="J9" i="2"/>
  <c r="L9" i="2" s="1"/>
  <c r="D9" i="2" s="1"/>
  <c r="F9" i="2" s="1"/>
  <c r="J57" i="2"/>
  <c r="L57" i="2" s="1"/>
  <c r="D57" i="2" s="1"/>
  <c r="F57" i="2" s="1"/>
  <c r="M36" i="3"/>
  <c r="G36" i="3" s="1"/>
  <c r="I36" i="3" s="1"/>
  <c r="J36" i="3" s="1"/>
  <c r="M27" i="3"/>
  <c r="G27" i="3" s="1"/>
  <c r="I27" i="3" s="1"/>
  <c r="J27" i="3" s="1"/>
  <c r="M25" i="3"/>
  <c r="G25" i="3" s="1"/>
  <c r="I25" i="3" s="1"/>
  <c r="J25" i="3" s="1"/>
  <c r="M8" i="3"/>
  <c r="G8" i="3" s="1"/>
  <c r="I8" i="3" s="1"/>
  <c r="J8" i="3" s="1"/>
  <c r="M45" i="3"/>
  <c r="G45" i="3" s="1"/>
  <c r="I45" i="3" s="1"/>
  <c r="J45" i="3" s="1"/>
  <c r="M14" i="3"/>
  <c r="G14" i="3" s="1"/>
  <c r="I14" i="3" s="1"/>
  <c r="J14" i="3" s="1"/>
  <c r="M40" i="3"/>
  <c r="G40" i="3" s="1"/>
  <c r="M22" i="3"/>
  <c r="G22" i="3" s="1"/>
  <c r="J58" i="2"/>
  <c r="L58" i="2" s="1"/>
  <c r="D58" i="2" s="1"/>
  <c r="F58" i="2" s="1"/>
  <c r="M49" i="3"/>
  <c r="G49" i="3" s="1"/>
  <c r="I49" i="3" s="1"/>
  <c r="J49" i="3" s="1"/>
  <c r="M18" i="3"/>
  <c r="G18" i="3" s="1"/>
  <c r="I18" i="3" s="1"/>
  <c r="J18" i="3" s="1"/>
  <c r="J63" i="2"/>
  <c r="L63" i="2" s="1"/>
  <c r="D63" i="2" s="1"/>
  <c r="F63" i="2" s="1"/>
  <c r="J68" i="2"/>
  <c r="L68" i="2" s="1"/>
  <c r="D68" i="2" s="1"/>
  <c r="F68" i="2" s="1"/>
  <c r="J34" i="2"/>
  <c r="L34" i="2" s="1"/>
  <c r="D34" i="2" s="1"/>
  <c r="F34" i="2" s="1"/>
  <c r="G34" i="2" s="1"/>
  <c r="J64" i="2"/>
  <c r="L64" i="2" s="1"/>
  <c r="D64" i="2" s="1"/>
  <c r="F64" i="2" s="1"/>
  <c r="J62" i="2"/>
  <c r="L62" i="2" s="1"/>
  <c r="D62" i="2" s="1"/>
  <c r="F62" i="2" s="1"/>
  <c r="J66" i="2"/>
  <c r="L66" i="2" s="1"/>
  <c r="D66" i="2" s="1"/>
  <c r="F66" i="2" s="1"/>
  <c r="J49" i="2"/>
  <c r="L49" i="2" s="1"/>
  <c r="D49" i="2" s="1"/>
  <c r="F49" i="2" s="1"/>
  <c r="G49" i="2" s="1"/>
  <c r="J94" i="2"/>
  <c r="L94" i="2" s="1"/>
  <c r="D94" i="2" s="1"/>
  <c r="F94" i="2" s="1"/>
  <c r="G94" i="2" s="1"/>
  <c r="J50" i="2"/>
  <c r="L50" i="2" s="1"/>
  <c r="D50" i="2" s="1"/>
  <c r="F50" i="2" s="1"/>
  <c r="G50" i="2" s="1"/>
  <c r="J52" i="2"/>
  <c r="L52" i="2" s="1"/>
  <c r="D52" i="2" s="1"/>
  <c r="F52" i="2" s="1"/>
  <c r="G52" i="2" s="1"/>
  <c r="J56" i="2"/>
  <c r="L56" i="2" s="1"/>
  <c r="D56" i="2" s="1"/>
  <c r="F56" i="2" s="1"/>
  <c r="G56" i="2" s="1"/>
  <c r="J60" i="2"/>
  <c r="L60" i="2" s="1"/>
  <c r="D60" i="2" s="1"/>
  <c r="J53" i="2"/>
  <c r="L53" i="2" s="1"/>
  <c r="D53" i="2" s="1"/>
  <c r="F53" i="2" s="1"/>
  <c r="G53" i="2" s="1"/>
  <c r="J48" i="2"/>
  <c r="L48" i="2" s="1"/>
  <c r="D48" i="2" s="1"/>
  <c r="F48" i="2" s="1"/>
  <c r="G48" i="2" s="1"/>
  <c r="J71" i="2" l="1"/>
  <c r="L71" i="2" s="1"/>
  <c r="D71" i="2" s="1"/>
  <c r="F71" i="2" s="1"/>
  <c r="J39" i="2"/>
  <c r="L39" i="2" s="1"/>
  <c r="D39" i="2" s="1"/>
  <c r="F39" i="2" s="1"/>
  <c r="G39" i="2" s="1"/>
  <c r="J84" i="2"/>
  <c r="L84" i="2" s="1"/>
  <c r="D84" i="2" s="1"/>
  <c r="J41" i="2"/>
  <c r="L41" i="2" s="1"/>
  <c r="D41" i="2" s="1"/>
  <c r="F41" i="2" s="1"/>
  <c r="G41" i="2" s="1"/>
  <c r="J93" i="2"/>
  <c r="L93" i="2" s="1"/>
  <c r="D93" i="2" s="1"/>
  <c r="F93" i="2" s="1"/>
  <c r="J69" i="2"/>
  <c r="L69" i="2" s="1"/>
  <c r="D69" i="2" s="1"/>
  <c r="F69" i="2" s="1"/>
  <c r="J35" i="2"/>
  <c r="L35" i="2" s="1"/>
  <c r="D35" i="2" s="1"/>
  <c r="F35" i="2" s="1"/>
  <c r="G35" i="2" s="1"/>
  <c r="J40" i="2"/>
  <c r="L40" i="2" s="1"/>
  <c r="D40" i="2" s="1"/>
  <c r="F40" i="2" s="1"/>
  <c r="G40" i="2" s="1"/>
  <c r="J70" i="2"/>
  <c r="L70" i="2" s="1"/>
  <c r="D70" i="2" s="1"/>
  <c r="F70" i="2" s="1"/>
  <c r="J38" i="2"/>
  <c r="L38" i="2" s="1"/>
  <c r="D38" i="2" s="1"/>
  <c r="F38" i="2" s="1"/>
  <c r="G38" i="2" s="1"/>
  <c r="J33" i="2"/>
  <c r="L33" i="2" s="1"/>
  <c r="D33" i="2" s="1"/>
  <c r="F33" i="2" s="1"/>
  <c r="G33" i="2" s="1"/>
  <c r="J46" i="2"/>
  <c r="L46" i="2" s="1"/>
  <c r="D46" i="2" s="1"/>
  <c r="J51" i="2"/>
  <c r="L51" i="2" s="1"/>
  <c r="D51" i="2" s="1"/>
  <c r="F51" i="2" s="1"/>
  <c r="J72" i="2"/>
  <c r="L72" i="2" s="1"/>
  <c r="D72" i="2" s="1"/>
  <c r="F72" i="2" s="1"/>
  <c r="J67" i="2"/>
  <c r="L67" i="2" s="1"/>
  <c r="D67" i="2" s="1"/>
  <c r="F67" i="2" s="1"/>
  <c r="J37" i="2"/>
  <c r="L37" i="2" s="1"/>
  <c r="D37" i="2" s="1"/>
  <c r="F37" i="2" s="1"/>
  <c r="G37" i="2" s="1"/>
  <c r="J36" i="2"/>
  <c r="L36" i="2" s="1"/>
  <c r="D36" i="2" s="1"/>
  <c r="F36" i="2" s="1"/>
  <c r="G36" i="2" s="1"/>
  <c r="J6" i="2"/>
  <c r="L6" i="2" s="1"/>
  <c r="M11" i="3"/>
  <c r="G11" i="3" s="1"/>
  <c r="I11" i="3" s="1"/>
  <c r="J11" i="3" s="1"/>
  <c r="J32" i="2"/>
  <c r="L32" i="2" s="1"/>
  <c r="D32" i="2" s="1"/>
  <c r="F32" i="2" s="1"/>
  <c r="D95" i="2"/>
  <c r="G6" i="3"/>
  <c r="G21" i="3"/>
  <c r="I16" i="3"/>
  <c r="I22" i="3"/>
  <c r="G31" i="3"/>
  <c r="I40" i="3"/>
  <c r="G42" i="3"/>
  <c r="F46" i="2"/>
  <c r="D59" i="2"/>
  <c r="G39" i="3"/>
  <c r="I35" i="3"/>
  <c r="G93" i="2"/>
  <c r="F95" i="2"/>
  <c r="G95" i="2" s="1"/>
  <c r="G51" i="3"/>
  <c r="I43" i="3"/>
  <c r="D73" i="2"/>
  <c r="F60" i="2"/>
  <c r="F73" i="2" s="1"/>
  <c r="G73" i="2" s="1"/>
  <c r="I32" i="3"/>
  <c r="G34" i="3"/>
  <c r="M53" i="3" l="1"/>
  <c r="J118" i="2"/>
  <c r="D43" i="2"/>
  <c r="G32" i="2"/>
  <c r="F43" i="2"/>
  <c r="G43" i="2" s="1"/>
  <c r="F59" i="2"/>
  <c r="G59" i="2" s="1"/>
  <c r="G46" i="2"/>
  <c r="L118" i="2"/>
  <c r="D6" i="2"/>
  <c r="I31" i="3"/>
  <c r="J31" i="3" s="1"/>
  <c r="J22" i="3"/>
  <c r="I34" i="3"/>
  <c r="J34" i="3" s="1"/>
  <c r="J32" i="3"/>
  <c r="I21" i="3"/>
  <c r="J21" i="3" s="1"/>
  <c r="J16" i="3"/>
  <c r="I51" i="3"/>
  <c r="J51" i="3" s="1"/>
  <c r="J43" i="3"/>
  <c r="I39" i="3"/>
  <c r="J35" i="3"/>
  <c r="I42" i="3"/>
  <c r="J42" i="3" s="1"/>
  <c r="J40" i="3"/>
  <c r="I6" i="3"/>
  <c r="G15" i="3"/>
  <c r="G53" i="3" s="1"/>
  <c r="I53" i="3" s="1"/>
  <c r="J53" i="3" s="1"/>
  <c r="D25" i="2" l="1"/>
  <c r="D118" i="2" s="1"/>
  <c r="F6" i="2"/>
  <c r="J38" i="3"/>
  <c r="J39" i="3"/>
  <c r="J6" i="3"/>
  <c r="I15" i="3"/>
  <c r="J15" i="3" s="1"/>
  <c r="F25" i="2" l="1"/>
  <c r="G6" i="2"/>
  <c r="G25" i="2" l="1"/>
  <c r="F118" i="2"/>
  <c r="G118" i="2" s="1"/>
</calcChain>
</file>

<file path=xl/sharedStrings.xml><?xml version="1.0" encoding="utf-8"?>
<sst xmlns="http://schemas.openxmlformats.org/spreadsheetml/2006/main" count="350" uniqueCount="163">
  <si>
    <t>구분</t>
    <phoneticPr fontId="3" type="noConversion"/>
  </si>
  <si>
    <t>코드</t>
    <phoneticPr fontId="3" type="noConversion"/>
  </si>
  <si>
    <t>품명</t>
    <phoneticPr fontId="3" type="noConversion"/>
  </si>
  <si>
    <t>목</t>
    <phoneticPr fontId="3" type="noConversion"/>
  </si>
  <si>
    <t>금</t>
    <phoneticPr fontId="3" type="noConversion"/>
  </si>
  <si>
    <t>토</t>
  </si>
  <si>
    <t>일</t>
  </si>
  <si>
    <t>월</t>
  </si>
  <si>
    <t>화</t>
  </si>
  <si>
    <t>수</t>
  </si>
  <si>
    <t>목</t>
  </si>
  <si>
    <t>금</t>
  </si>
  <si>
    <t>FF간편식</t>
  </si>
  <si>
    <t>도시락</t>
    <phoneticPr fontId="3" type="noConversion"/>
  </si>
  <si>
    <t>FF간편식</t>
    <phoneticPr fontId="3" type="noConversion"/>
  </si>
  <si>
    <t>2700038833486</t>
    <phoneticPr fontId="3" type="noConversion"/>
  </si>
  <si>
    <t>2700038833936</t>
    <phoneticPr fontId="3" type="noConversion"/>
  </si>
  <si>
    <t>매콤닭강정도시락1편</t>
    <phoneticPr fontId="3" type="noConversion"/>
  </si>
  <si>
    <t>매콤닭강정도시락2편</t>
    <phoneticPr fontId="3" type="noConversion"/>
  </si>
  <si>
    <t>고등급식)함박스파게티1편</t>
    <phoneticPr fontId="3" type="noConversion"/>
  </si>
  <si>
    <t>고등급식)함박스파게티2편</t>
    <phoneticPr fontId="3" type="noConversion"/>
  </si>
  <si>
    <t>합계</t>
    <phoneticPr fontId="3" type="noConversion"/>
  </si>
  <si>
    <t>특이사항</t>
    <phoneticPr fontId="3" type="noConversion"/>
  </si>
  <si>
    <t>전일 대비 발주량 증가</t>
    <phoneticPr fontId="3" type="noConversion"/>
  </si>
  <si>
    <t xml:space="preserve"> 전일 대비 발주량 증가</t>
    <phoneticPr fontId="3" type="noConversion"/>
  </si>
  <si>
    <t>평균</t>
    <phoneticPr fontId="3" type="noConversion"/>
  </si>
  <si>
    <t>더큰)소불고기주먹밥</t>
  </si>
  <si>
    <t>삼각)뉴전주비빔</t>
  </si>
  <si>
    <t>삼각)베이컨참치마요</t>
  </si>
  <si>
    <t>삼각)스팸계란볶음밥</t>
  </si>
  <si>
    <t>삼각)국민대표참치대란</t>
  </si>
  <si>
    <t>삼각)오뚜기카레&amp;깍두기</t>
  </si>
  <si>
    <t>삼각)모짜콘치즈</t>
  </si>
  <si>
    <t>밥반고기반)통마늘불고기</t>
  </si>
  <si>
    <t>나시고랭미고랭</t>
  </si>
  <si>
    <t>황금왕돈까스도시락</t>
  </si>
  <si>
    <t>고등급식)이불돈까스</t>
  </si>
  <si>
    <t>더블고기도시락</t>
  </si>
  <si>
    <t>매콤닭강정도시락</t>
  </si>
  <si>
    <t>대왕)돈까스스파게티</t>
  </si>
  <si>
    <t>열무김치말이국수</t>
  </si>
  <si>
    <t>피파게티)콤비네이션</t>
  </si>
  <si>
    <t>오뚜기)크림스파게티</t>
  </si>
  <si>
    <t>토마토오믈렛파스타</t>
  </si>
  <si>
    <t>판돌리고싶은중화요리</t>
  </si>
  <si>
    <t>고등급식)치킨데리샌드</t>
  </si>
  <si>
    <t>치즈폭탄버거</t>
  </si>
  <si>
    <t>고등급식)더블킹새우버거</t>
  </si>
  <si>
    <t>삼각</t>
    <phoneticPr fontId="3" type="noConversion"/>
  </si>
  <si>
    <t>김밥</t>
    <phoneticPr fontId="3" type="noConversion"/>
  </si>
  <si>
    <t>HMR</t>
    <phoneticPr fontId="3" type="noConversion"/>
  </si>
  <si>
    <t>버거</t>
    <phoneticPr fontId="3" type="noConversion"/>
  </si>
  <si>
    <t>더큰)스팸김치볶음밥</t>
  </si>
  <si>
    <t>더큰)치즈닭갈비볶음밥</t>
  </si>
  <si>
    <t>참치마요김밥</t>
  </si>
  <si>
    <t>매콤어묵듬뿍김밥</t>
  </si>
  <si>
    <t>소고기고추장김밥</t>
  </si>
  <si>
    <t>참치김치김밥</t>
  </si>
  <si>
    <t>모짜콘치즈김밥</t>
  </si>
  <si>
    <t>NEW고진많도시락</t>
  </si>
  <si>
    <t>함박&amp;치킨도시락</t>
  </si>
  <si>
    <t>국립공원)내장산새송이떡갈비</t>
  </si>
  <si>
    <t>빅)소불고기버거</t>
  </si>
  <si>
    <t>NEW계란듬뿍샌드위치</t>
  </si>
  <si>
    <t>고등급식)함박스파게티</t>
  </si>
  <si>
    <t>매콤로제치킨파스타</t>
  </si>
  <si>
    <t>좌)치킨철판볶음면</t>
  </si>
  <si>
    <t>1편</t>
    <phoneticPr fontId="3" type="noConversion"/>
  </si>
  <si>
    <t>2편</t>
    <phoneticPr fontId="3" type="noConversion"/>
  </si>
  <si>
    <t>분류</t>
    <phoneticPr fontId="3" type="noConversion"/>
  </si>
  <si>
    <t>2편 수량</t>
    <phoneticPr fontId="3" type="noConversion"/>
  </si>
  <si>
    <t>1편 수량</t>
    <phoneticPr fontId="3" type="noConversion"/>
  </si>
  <si>
    <t>합계 수량</t>
    <phoneticPr fontId="3" type="noConversion"/>
  </si>
  <si>
    <t>조리면</t>
    <phoneticPr fontId="3" type="noConversion"/>
  </si>
  <si>
    <t>전일</t>
    <phoneticPr fontId="3" type="noConversion"/>
  </si>
  <si>
    <t>대비</t>
    <phoneticPr fontId="3" type="noConversion"/>
  </si>
  <si>
    <t>(단위 : 수량, 원, %)</t>
    <phoneticPr fontId="3" type="noConversion"/>
  </si>
  <si>
    <t>매    출    현    황</t>
    <phoneticPr fontId="3" type="noConversion"/>
  </si>
  <si>
    <t>매출금액</t>
    <phoneticPr fontId="3" type="noConversion"/>
  </si>
  <si>
    <t>출근인원</t>
    <phoneticPr fontId="3" type="noConversion"/>
  </si>
  <si>
    <t>분  류  합  계</t>
    <phoneticPr fontId="3" type="noConversion"/>
  </si>
  <si>
    <t>아래 수식 건들지 마세요~!!!</t>
    <phoneticPr fontId="3" type="noConversion"/>
  </si>
  <si>
    <t>제품명</t>
    <phoneticPr fontId="3" type="noConversion"/>
  </si>
  <si>
    <t>도토리묵사발</t>
    <phoneticPr fontId="3" type="noConversion"/>
  </si>
  <si>
    <t>2편(긴급)</t>
    <phoneticPr fontId="3" type="noConversion"/>
  </si>
  <si>
    <t>2편합계</t>
    <phoneticPr fontId="3" type="noConversion"/>
  </si>
  <si>
    <t>샌드
위치</t>
    <phoneticPr fontId="3" type="noConversion"/>
  </si>
  <si>
    <t>90</t>
    <phoneticPr fontId="3" type="noConversion"/>
  </si>
  <si>
    <t>포크까스버거</t>
    <phoneticPr fontId="3" type="noConversion"/>
  </si>
  <si>
    <t>1편(오후)</t>
    <phoneticPr fontId="3" type="noConversion"/>
  </si>
  <si>
    <t>2편 (오전)</t>
    <phoneticPr fontId="3" type="noConversion"/>
  </si>
  <si>
    <t>1편합계</t>
    <phoneticPr fontId="3" type="noConversion"/>
  </si>
  <si>
    <t>비고</t>
    <phoneticPr fontId="3" type="noConversion"/>
  </si>
  <si>
    <t>더큰
삼각</t>
    <phoneticPr fontId="3" type="noConversion"/>
  </si>
  <si>
    <t>간편식</t>
    <phoneticPr fontId="3" type="noConversion"/>
  </si>
  <si>
    <t>혜자)돌아온등심돈까스</t>
  </si>
  <si>
    <t>혜자)돌아온등심돈까스</t>
    <phoneticPr fontId="3" type="noConversion"/>
  </si>
  <si>
    <t>착한참치마요김밥</t>
  </si>
  <si>
    <t>착한참치마요김밥</t>
    <phoneticPr fontId="3" type="noConversion"/>
  </si>
  <si>
    <t>착한김치김밥</t>
    <phoneticPr fontId="3" type="noConversion"/>
  </si>
  <si>
    <t>혜자)돌아온명불허전</t>
  </si>
  <si>
    <t>착한1900핫도그(오리지널)</t>
  </si>
  <si>
    <t>착한1900핫도그(양배추사라다)</t>
    <phoneticPr fontId="3" type="noConversion"/>
  </si>
  <si>
    <t>착한1900핫도그(사라다)</t>
    <phoneticPr fontId="3" type="noConversion"/>
  </si>
  <si>
    <t>착한제육비빔밥</t>
  </si>
  <si>
    <t>착한제육비빔밥</t>
    <phoneticPr fontId="3" type="noConversion"/>
  </si>
  <si>
    <t>N혜자)불고기오징어제육</t>
  </si>
  <si>
    <t>버거</t>
    <phoneticPr fontId="3" type="noConversion"/>
  </si>
  <si>
    <t>김밥</t>
    <phoneticPr fontId="3" type="noConversion"/>
  </si>
  <si>
    <t>THE근본김밥</t>
  </si>
  <si>
    <t>더블치즈소시지김밥</t>
  </si>
  <si>
    <t>더블치즈소시지김밥</t>
    <phoneticPr fontId="3" type="noConversion"/>
  </si>
  <si>
    <t>불고기치즈김밥</t>
  </si>
  <si>
    <t>왕돈까스김밥</t>
  </si>
  <si>
    <t>더큰)리챔참치마요</t>
  </si>
  <si>
    <t>더큰)리챔참치마요</t>
    <phoneticPr fontId="3" type="noConversion"/>
  </si>
  <si>
    <t>더큰)스팸김치볶음밥</t>
    <phoneticPr fontId="3" type="noConversion"/>
  </si>
  <si>
    <t>착한)제육덮밥(3,900원)</t>
  </si>
  <si>
    <t>착한)제육덮밥(3,900원)</t>
    <phoneticPr fontId="3" type="noConversion"/>
  </si>
  <si>
    <t>더큰)스팸계란볶음밥</t>
  </si>
  <si>
    <t>더큰)스팸계란볶음밥</t>
    <phoneticPr fontId="3" type="noConversion"/>
  </si>
  <si>
    <t>삼각)저당전주비빔</t>
  </si>
  <si>
    <t>삼각)저당전주비빔</t>
    <phoneticPr fontId="3" type="noConversion"/>
  </si>
  <si>
    <t>NEW스팸무스비</t>
    <phoneticPr fontId="3" type="noConversion"/>
  </si>
  <si>
    <t>직화)한돈제육쌈김밥</t>
    <phoneticPr fontId="3" type="noConversion"/>
  </si>
  <si>
    <t>삼각)전주비빔</t>
    <phoneticPr fontId="3" type="noConversion"/>
  </si>
  <si>
    <t>스팸계란치즈김밥</t>
  </si>
  <si>
    <t>참치김치볶음김밥</t>
    <phoneticPr fontId="3" type="noConversion"/>
  </si>
  <si>
    <t>더큰)오징어제육깻잎쌈밥</t>
    <phoneticPr fontId="3" type="noConversion"/>
  </si>
  <si>
    <t>무스비)햄&amp;참치김치볶음밥</t>
    <phoneticPr fontId="3" type="noConversion"/>
  </si>
  <si>
    <t>오늘 1편+슈퍼</t>
    <phoneticPr fontId="3" type="noConversion"/>
  </si>
  <si>
    <t>오늘 2편</t>
    <phoneticPr fontId="3" type="noConversion"/>
  </si>
  <si>
    <t>1+2+슈퍼(주문제외)</t>
    <phoneticPr fontId="3" type="noConversion"/>
  </si>
  <si>
    <t>무스비)햄&amp;청양불고기</t>
  </si>
  <si>
    <t>혜자)반반제육도시락</t>
    <phoneticPr fontId="3" type="noConversion"/>
  </si>
  <si>
    <t>NEW뭘좋아할지몰라다넣어봤어</t>
    <phoneticPr fontId="3" type="noConversion"/>
  </si>
  <si>
    <t>혜자)두부김치제육</t>
    <phoneticPr fontId="3" type="noConversion"/>
  </si>
  <si>
    <t>도시락</t>
    <phoneticPr fontId="3" type="noConversion"/>
  </si>
  <si>
    <t>진미채치즈김밥</t>
    <phoneticPr fontId="3" type="noConversion"/>
  </si>
  <si>
    <t>조리면</t>
    <phoneticPr fontId="3" type="noConversion"/>
  </si>
  <si>
    <t>혜자)두툼돈까스&amp;순창제육</t>
  </si>
  <si>
    <t>혜자)두툼돈까스&amp;순창제육</t>
    <phoneticPr fontId="3" type="noConversion"/>
  </si>
  <si>
    <t>혜자)통등심돈까스&amp;치킨까스</t>
    <phoneticPr fontId="3" type="noConversion"/>
  </si>
  <si>
    <t>더큰)맥적구이한상</t>
  </si>
  <si>
    <t>더큰)맥적구이한상</t>
    <phoneticPr fontId="3" type="noConversion"/>
  </si>
  <si>
    <t>더큰)들기름묵은지참치</t>
    <phoneticPr fontId="3" type="noConversion"/>
  </si>
  <si>
    <t>이달의도시락10월(혜자)</t>
  </si>
  <si>
    <t>직화)한돈제육쌈김밥</t>
  </si>
  <si>
    <t>디핑)시장꼬마김밥</t>
  </si>
  <si>
    <t>NEW혜자)백설갈비양념제육</t>
  </si>
  <si>
    <t>NEW뭘좋아할지몰라다넣어봤어</t>
  </si>
  <si>
    <t>혜자)반반제육도시락</t>
  </si>
  <si>
    <t>혜자)두부김치제육</t>
  </si>
  <si>
    <t>혜자)통등심돈까스&amp;치킨까스</t>
  </si>
  <si>
    <t>이달의도시락10월(혜자)</t>
    <phoneticPr fontId="3" type="noConversion"/>
  </si>
  <si>
    <t>NEW혜자)백설갈비양념제육</t>
    <phoneticPr fontId="3" type="noConversion"/>
  </si>
  <si>
    <t>착한김치김밥</t>
  </si>
  <si>
    <t>참치김치볶음김밥</t>
  </si>
  <si>
    <t>진미채치즈김밥</t>
  </si>
  <si>
    <t>넷플)더담은K떡갈비김밥</t>
  </si>
  <si>
    <t>디핑)시장꼬마김밥</t>
    <phoneticPr fontId="3" type="noConversion"/>
  </si>
  <si>
    <t>디핑)에그햄꼬마김밥</t>
    <phoneticPr fontId="3" type="noConversion"/>
  </si>
  <si>
    <t>커플)곱창김참치&amp;비빔밥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</si>
</sst>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mm&quot;월&quot;\ dd&quot;일&quot;"/>
    <numFmt numFmtId="178" formatCode="0.0%"/>
    <numFmt numFmtId="179" formatCode="@&quot;명&quot;"/>
    <numFmt numFmtId="180" formatCode="#,##0&quot;명&quot;"/>
  </numFmts>
  <fonts count="49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color rgb="FFFF0000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EE0000"/>
      <name val="Arial"/>
      <family val="2"/>
    </font>
    <font>
      <sz val="1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9"/>
      <color theme="1"/>
      <name val="돋움"/>
      <family val="3"/>
      <charset val="129"/>
    </font>
    <font>
      <b/>
      <sz val="10"/>
      <color theme="9" tint="-0.249977111117893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b/>
      <sz val="1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b/>
      <sz val="10"/>
      <color theme="9" tint="-0.249977111117893"/>
      <name val="Arial"/>
      <family val="2"/>
    </font>
    <font>
      <b/>
      <sz val="10"/>
      <color rgb="FF002060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/>
      <diagonal/>
    </border>
    <border>
      <left style="thin">
        <color theme="0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/>
      </right>
      <top/>
      <bottom style="thin">
        <color theme="1" tint="0.499984740745262"/>
      </bottom>
      <diagonal/>
    </border>
    <border>
      <left style="thin">
        <color theme="0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176" fontId="32" fillId="0" borderId="0" applyFont="0" applyFill="0" applyBorder="0" applyAlignment="0" applyProtection="0"/>
  </cellStyleXfs>
  <cellXfs count="237">
    <xf numFmtId="0" fontId="0" fillId="0" borderId="0" xfId="0">
      <alignment vertical="center"/>
    </xf>
    <xf numFmtId="0" fontId="0" fillId="2" borderId="0" xfId="0" applyFill="1">
      <alignment vertical="center"/>
    </xf>
    <xf numFmtId="9" fontId="4" fillId="2" borderId="0" xfId="2" applyFont="1" applyFill="1">
      <alignment vertical="center"/>
    </xf>
    <xf numFmtId="0" fontId="12" fillId="0" borderId="0" xfId="0" quotePrefix="1" applyFont="1">
      <alignment vertical="center"/>
    </xf>
    <xf numFmtId="0" fontId="12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9" fontId="4" fillId="3" borderId="0" xfId="2" applyFont="1" applyFill="1">
      <alignment vertical="center"/>
    </xf>
    <xf numFmtId="176" fontId="10" fillId="3" borderId="0" xfId="1" applyFont="1" applyFill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quotePrefix="1" applyFont="1" applyBorder="1">
      <alignment vertical="center"/>
    </xf>
    <xf numFmtId="9" fontId="4" fillId="2" borderId="1" xfId="2" applyFont="1" applyFill="1" applyBorder="1">
      <alignment vertical="center"/>
    </xf>
    <xf numFmtId="176" fontId="8" fillId="3" borderId="1" xfId="1" applyFont="1" applyFill="1" applyBorder="1">
      <alignment vertical="center"/>
    </xf>
    <xf numFmtId="9" fontId="5" fillId="3" borderId="1" xfId="2" applyFont="1" applyFill="1" applyBorder="1">
      <alignment vertical="center"/>
    </xf>
    <xf numFmtId="9" fontId="5" fillId="0" borderId="1" xfId="2" applyFont="1" applyFill="1" applyBorder="1">
      <alignment vertical="center"/>
    </xf>
    <xf numFmtId="0" fontId="6" fillId="0" borderId="0" xfId="0" quotePrefix="1" applyFont="1">
      <alignment vertical="center"/>
    </xf>
    <xf numFmtId="176" fontId="9" fillId="2" borderId="0" xfId="1" applyFont="1" applyFill="1" applyBorder="1">
      <alignment vertical="center"/>
    </xf>
    <xf numFmtId="176" fontId="8" fillId="2" borderId="1" xfId="1" applyFont="1" applyFill="1" applyBorder="1">
      <alignment vertical="center"/>
    </xf>
    <xf numFmtId="9" fontId="4" fillId="0" borderId="1" xfId="2" applyFont="1" applyFill="1" applyBorder="1">
      <alignment vertical="center"/>
    </xf>
    <xf numFmtId="9" fontId="4" fillId="3" borderId="0" xfId="2" applyFont="1" applyFill="1" applyBorder="1">
      <alignment vertical="center"/>
    </xf>
    <xf numFmtId="176" fontId="10" fillId="3" borderId="0" xfId="1" applyFont="1" applyFill="1" applyBorder="1">
      <alignment vertical="center"/>
    </xf>
    <xf numFmtId="176" fontId="10" fillId="0" borderId="0" xfId="1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>
      <alignment vertical="center"/>
    </xf>
    <xf numFmtId="176" fontId="4" fillId="2" borderId="1" xfId="1" applyFont="1" applyFill="1" applyBorder="1">
      <alignment vertical="center"/>
    </xf>
    <xf numFmtId="176" fontId="14" fillId="2" borderId="0" xfId="1" applyFont="1" applyFill="1" applyBorder="1">
      <alignment vertical="center"/>
    </xf>
    <xf numFmtId="0" fontId="0" fillId="0" borderId="0" xfId="0" applyAlignment="1">
      <alignment horizontal="center" vertical="center"/>
    </xf>
    <xf numFmtId="9" fontId="4" fillId="0" borderId="1" xfId="2" applyFont="1" applyFill="1" applyBorder="1" applyAlignment="1">
      <alignment horizontal="center" vertical="center"/>
    </xf>
    <xf numFmtId="176" fontId="10" fillId="0" borderId="0" xfId="1" applyFont="1" applyFill="1" applyAlignment="1">
      <alignment horizontal="center" vertical="center"/>
    </xf>
    <xf numFmtId="9" fontId="5" fillId="0" borderId="1" xfId="2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2" xfId="0" quotePrefix="1" applyFont="1" applyBorder="1">
      <alignment vertical="center"/>
    </xf>
    <xf numFmtId="9" fontId="4" fillId="2" borderId="2" xfId="2" applyFont="1" applyFill="1" applyBorder="1">
      <alignment vertical="center"/>
    </xf>
    <xf numFmtId="176" fontId="8" fillId="2" borderId="2" xfId="1" applyFont="1" applyFill="1" applyBorder="1">
      <alignment vertical="center"/>
    </xf>
    <xf numFmtId="9" fontId="4" fillId="0" borderId="2" xfId="2" applyFont="1" applyFill="1" applyBorder="1" applyAlignment="1">
      <alignment horizontal="center" vertical="center"/>
    </xf>
    <xf numFmtId="0" fontId="6" fillId="0" borderId="3" xfId="0" quotePrefix="1" applyFont="1" applyBorder="1">
      <alignment vertical="center"/>
    </xf>
    <xf numFmtId="0" fontId="0" fillId="2" borderId="3" xfId="0" applyFill="1" applyBorder="1">
      <alignment vertical="center"/>
    </xf>
    <xf numFmtId="176" fontId="9" fillId="2" borderId="3" xfId="1" applyFont="1" applyFill="1" applyBorder="1">
      <alignment vertical="center"/>
    </xf>
    <xf numFmtId="176" fontId="14" fillId="2" borderId="3" xfId="1" applyFont="1" applyFill="1" applyBorder="1">
      <alignment vertical="center"/>
    </xf>
    <xf numFmtId="0" fontId="15" fillId="0" borderId="3" xfId="0" applyFont="1" applyBorder="1" applyAlignment="1">
      <alignment horizontal="center" vertical="center"/>
    </xf>
    <xf numFmtId="176" fontId="11" fillId="2" borderId="2" xfId="1" applyFont="1" applyFill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8" fillId="0" borderId="0" xfId="0" applyFont="1" applyProtection="1">
      <alignment vertical="center"/>
      <protection locked="0"/>
    </xf>
    <xf numFmtId="0" fontId="18" fillId="0" borderId="0" xfId="0" applyFont="1" applyAlignment="1" applyProtection="1">
      <alignment horizontal="right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Protection="1">
      <alignment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Protection="1">
      <alignment vertical="center"/>
      <protection locked="0"/>
    </xf>
    <xf numFmtId="176" fontId="18" fillId="0" borderId="6" xfId="1" applyFont="1" applyFill="1" applyBorder="1" applyProtection="1">
      <alignment vertical="center"/>
      <protection locked="0"/>
    </xf>
    <xf numFmtId="9" fontId="19" fillId="0" borderId="6" xfId="2" applyFont="1" applyFill="1" applyBorder="1" applyAlignment="1" applyProtection="1">
      <alignment horizontal="right" vertical="center"/>
      <protection locked="0"/>
    </xf>
    <xf numFmtId="3" fontId="22" fillId="6" borderId="5" xfId="1" applyNumberFormat="1" applyFont="1" applyFill="1" applyBorder="1" applyProtection="1">
      <alignment vertical="center"/>
      <protection locked="0"/>
    </xf>
    <xf numFmtId="3" fontId="22" fillId="2" borderId="5" xfId="1" applyNumberFormat="1" applyFont="1" applyFill="1" applyBorder="1" applyProtection="1">
      <alignment vertical="center"/>
      <protection locked="0"/>
    </xf>
    <xf numFmtId="3" fontId="22" fillId="4" borderId="5" xfId="1" applyNumberFormat="1" applyFont="1" applyFill="1" applyBorder="1" applyProtection="1">
      <alignment vertical="center"/>
      <protection locked="0"/>
    </xf>
    <xf numFmtId="3" fontId="22" fillId="6" borderId="0" xfId="1" applyNumberFormat="1" applyFont="1" applyFill="1" applyBorder="1" applyProtection="1">
      <alignment vertical="center"/>
      <protection locked="0"/>
    </xf>
    <xf numFmtId="3" fontId="22" fillId="2" borderId="0" xfId="1" applyNumberFormat="1" applyFont="1" applyFill="1" applyBorder="1" applyProtection="1">
      <alignment vertical="center"/>
      <protection locked="0"/>
    </xf>
    <xf numFmtId="3" fontId="22" fillId="4" borderId="0" xfId="1" applyNumberFormat="1" applyFont="1" applyFill="1" applyBorder="1" applyProtection="1">
      <alignment vertical="center"/>
      <protection locked="0"/>
    </xf>
    <xf numFmtId="0" fontId="18" fillId="0" borderId="6" xfId="0" applyFont="1" applyBorder="1" applyAlignment="1" applyProtection="1">
      <alignment horizontal="right" vertical="center"/>
      <protection locked="0"/>
    </xf>
    <xf numFmtId="3" fontId="22" fillId="6" borderId="6" xfId="1" applyNumberFormat="1" applyFont="1" applyFill="1" applyBorder="1" applyAlignment="1" applyProtection="1">
      <alignment vertical="center" shrinkToFit="1"/>
      <protection locked="0"/>
    </xf>
    <xf numFmtId="3" fontId="22" fillId="2" borderId="6" xfId="1" applyNumberFormat="1" applyFont="1" applyFill="1" applyBorder="1" applyAlignment="1" applyProtection="1">
      <alignment vertical="center" shrinkToFit="1"/>
      <protection locked="0"/>
    </xf>
    <xf numFmtId="3" fontId="22" fillId="4" borderId="6" xfId="1" applyNumberFormat="1" applyFont="1" applyFill="1" applyBorder="1" applyAlignment="1" applyProtection="1">
      <alignment vertical="center" shrinkToFit="1"/>
      <protection locked="0"/>
    </xf>
    <xf numFmtId="3" fontId="22" fillId="6" borderId="6" xfId="1" applyNumberFormat="1" applyFont="1" applyFill="1" applyBorder="1" applyProtection="1">
      <alignment vertical="center"/>
    </xf>
    <xf numFmtId="3" fontId="22" fillId="2" borderId="6" xfId="1" applyNumberFormat="1" applyFont="1" applyFill="1" applyBorder="1" applyProtection="1">
      <alignment vertical="center"/>
    </xf>
    <xf numFmtId="3" fontId="22" fillId="8" borderId="6" xfId="1" applyNumberFormat="1" applyFont="1" applyFill="1" applyBorder="1" applyProtection="1">
      <alignment vertical="center"/>
    </xf>
    <xf numFmtId="3" fontId="22" fillId="4" borderId="6" xfId="1" applyNumberFormat="1" applyFont="1" applyFill="1" applyBorder="1" applyProtection="1">
      <alignment vertical="center"/>
    </xf>
    <xf numFmtId="3" fontId="22" fillId="5" borderId="6" xfId="1" applyNumberFormat="1" applyFont="1" applyFill="1" applyBorder="1" applyProtection="1">
      <alignment vertical="center"/>
    </xf>
    <xf numFmtId="178" fontId="23" fillId="11" borderId="13" xfId="2" applyNumberFormat="1" applyFont="1" applyFill="1" applyBorder="1" applyAlignment="1" applyProtection="1">
      <alignment horizontal="right" vertical="center"/>
    </xf>
    <xf numFmtId="3" fontId="22" fillId="8" borderId="6" xfId="1" applyNumberFormat="1" applyFont="1" applyFill="1" applyBorder="1" applyAlignment="1" applyProtection="1">
      <alignment vertical="center" shrinkToFit="1"/>
    </xf>
    <xf numFmtId="3" fontId="22" fillId="5" borderId="6" xfId="1" applyNumberFormat="1" applyFont="1" applyFill="1" applyBorder="1" applyAlignment="1" applyProtection="1">
      <alignment vertical="center" shrinkToFit="1"/>
    </xf>
    <xf numFmtId="3" fontId="22" fillId="8" borderId="5" xfId="1" applyNumberFormat="1" applyFont="1" applyFill="1" applyBorder="1" applyProtection="1">
      <alignment vertical="center"/>
    </xf>
    <xf numFmtId="3" fontId="22" fillId="8" borderId="0" xfId="1" applyNumberFormat="1" applyFont="1" applyFill="1" applyBorder="1" applyProtection="1">
      <alignment vertical="center"/>
    </xf>
    <xf numFmtId="178" fontId="23" fillId="11" borderId="10" xfId="2" applyNumberFormat="1" applyFont="1" applyFill="1" applyBorder="1" applyAlignment="1" applyProtection="1">
      <alignment horizontal="right" vertical="center"/>
    </xf>
    <xf numFmtId="178" fontId="23" fillId="11" borderId="7" xfId="2" applyNumberFormat="1" applyFont="1" applyFill="1" applyBorder="1" applyAlignment="1" applyProtection="1">
      <alignment horizontal="right" vertical="center"/>
    </xf>
    <xf numFmtId="3" fontId="22" fillId="5" borderId="5" xfId="1" applyNumberFormat="1" applyFont="1" applyFill="1" applyBorder="1" applyProtection="1">
      <alignment vertical="center"/>
    </xf>
    <xf numFmtId="3" fontId="22" fillId="5" borderId="0" xfId="1" applyNumberFormat="1" applyFont="1" applyFill="1" applyBorder="1" applyProtection="1">
      <alignment vertical="center"/>
    </xf>
    <xf numFmtId="0" fontId="18" fillId="0" borderId="5" xfId="0" applyFont="1" applyBorder="1" applyAlignment="1" applyProtection="1">
      <alignment vertical="center" shrinkToFit="1"/>
      <protection locked="0"/>
    </xf>
    <xf numFmtId="0" fontId="18" fillId="0" borderId="0" xfId="0" applyFont="1" applyAlignment="1" applyProtection="1">
      <alignment vertical="center" shrinkToFit="1"/>
      <protection locked="0"/>
    </xf>
    <xf numFmtId="3" fontId="22" fillId="12" borderId="4" xfId="1" applyNumberFormat="1" applyFont="1" applyFill="1" applyBorder="1" applyProtection="1">
      <alignment vertical="center"/>
    </xf>
    <xf numFmtId="178" fontId="23" fillId="12" borderId="12" xfId="2" applyNumberFormat="1" applyFont="1" applyFill="1" applyBorder="1" applyAlignment="1" applyProtection="1">
      <alignment horizontal="right" vertical="center"/>
    </xf>
    <xf numFmtId="0" fontId="18" fillId="15" borderId="0" xfId="0" applyFont="1" applyFill="1" applyAlignment="1" applyProtection="1">
      <alignment horizontal="center" vertical="center"/>
      <protection locked="0"/>
    </xf>
    <xf numFmtId="0" fontId="18" fillId="7" borderId="0" xfId="0" applyFont="1" applyFill="1" applyProtection="1">
      <alignment vertical="center"/>
      <protection locked="0"/>
    </xf>
    <xf numFmtId="0" fontId="18" fillId="7" borderId="0" xfId="0" applyFont="1" applyFill="1" applyAlignment="1" applyProtection="1">
      <alignment horizontal="right" vertical="center"/>
      <protection locked="0"/>
    </xf>
    <xf numFmtId="0" fontId="18" fillId="7" borderId="11" xfId="0" applyFont="1" applyFill="1" applyBorder="1" applyProtection="1">
      <alignment vertical="center"/>
      <protection locked="0"/>
    </xf>
    <xf numFmtId="9" fontId="18" fillId="7" borderId="11" xfId="2" applyFont="1" applyFill="1" applyBorder="1" applyProtection="1">
      <alignment vertical="center"/>
      <protection locked="0"/>
    </xf>
    <xf numFmtId="0" fontId="18" fillId="7" borderId="5" xfId="0" applyFont="1" applyFill="1" applyBorder="1" applyProtection="1">
      <alignment vertical="center"/>
      <protection locked="0"/>
    </xf>
    <xf numFmtId="0" fontId="18" fillId="7" borderId="5" xfId="0" applyFont="1" applyFill="1" applyBorder="1" applyAlignment="1" applyProtection="1">
      <alignment horizontal="right" vertical="center"/>
      <protection locked="0"/>
    </xf>
    <xf numFmtId="0" fontId="18" fillId="7" borderId="7" xfId="0" applyFont="1" applyFill="1" applyBorder="1" applyProtection="1">
      <alignment vertical="center"/>
      <protection locked="0"/>
    </xf>
    <xf numFmtId="0" fontId="20" fillId="11" borderId="10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2" borderId="4" xfId="0" applyNumberFormat="1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9" fontId="20" fillId="11" borderId="12" xfId="2" applyFont="1" applyFill="1" applyBorder="1" applyAlignment="1" applyProtection="1">
      <alignment horizontal="center" vertical="center"/>
    </xf>
    <xf numFmtId="0" fontId="18" fillId="0" borderId="4" xfId="0" applyFont="1" applyBorder="1" applyAlignment="1">
      <alignment horizontal="right" vertical="center"/>
    </xf>
    <xf numFmtId="0" fontId="18" fillId="12" borderId="8" xfId="0" applyFont="1" applyFill="1" applyBorder="1" applyAlignment="1">
      <alignment horizontal="center" vertical="center"/>
    </xf>
    <xf numFmtId="0" fontId="20" fillId="12" borderId="4" xfId="0" applyFont="1" applyFill="1" applyBorder="1" applyAlignment="1">
      <alignment horizontal="center" vertical="center"/>
    </xf>
    <xf numFmtId="176" fontId="18" fillId="16" borderId="0" xfId="1" applyFont="1" applyFill="1" applyBorder="1" applyProtection="1">
      <alignment vertical="center"/>
      <protection locked="0"/>
    </xf>
    <xf numFmtId="0" fontId="18" fillId="16" borderId="0" xfId="0" applyFont="1" applyFill="1" applyAlignment="1" applyProtection="1">
      <alignment horizontal="center" vertical="center"/>
      <protection locked="0"/>
    </xf>
    <xf numFmtId="3" fontId="18" fillId="7" borderId="11" xfId="0" applyNumberFormat="1" applyFont="1" applyFill="1" applyBorder="1" applyProtection="1">
      <alignment vertical="center"/>
      <protection locked="0"/>
    </xf>
    <xf numFmtId="3" fontId="22" fillId="5" borderId="5" xfId="1" applyNumberFormat="1" applyFont="1" applyFill="1" applyBorder="1" applyProtection="1">
      <alignment vertical="center"/>
      <protection locked="0"/>
    </xf>
    <xf numFmtId="3" fontId="22" fillId="8" borderId="5" xfId="1" applyNumberFormat="1" applyFont="1" applyFill="1" applyBorder="1" applyProtection="1">
      <alignment vertical="center"/>
      <protection locked="0"/>
    </xf>
    <xf numFmtId="0" fontId="0" fillId="16" borderId="0" xfId="0" applyFill="1">
      <alignment vertical="center"/>
    </xf>
    <xf numFmtId="0" fontId="0" fillId="4" borderId="0" xfId="0" applyFill="1">
      <alignment vertical="center"/>
    </xf>
    <xf numFmtId="3" fontId="22" fillId="8" borderId="0" xfId="1" applyNumberFormat="1" applyFont="1" applyFill="1" applyBorder="1" applyProtection="1">
      <alignment vertical="center"/>
      <protection locked="0"/>
    </xf>
    <xf numFmtId="3" fontId="22" fillId="5" borderId="0" xfId="1" applyNumberFormat="1" applyFont="1" applyFill="1" applyBorder="1" applyProtection="1">
      <alignment vertical="center"/>
      <protection locked="0"/>
    </xf>
    <xf numFmtId="0" fontId="20" fillId="12" borderId="11" xfId="0" applyFont="1" applyFill="1" applyBorder="1" applyAlignment="1">
      <alignment horizontal="center" vertical="center"/>
    </xf>
    <xf numFmtId="0" fontId="19" fillId="0" borderId="0" xfId="0" applyFont="1" applyAlignment="1" applyProtection="1">
      <alignment vertical="center" shrinkToFit="1"/>
      <protection locked="0"/>
    </xf>
    <xf numFmtId="3" fontId="23" fillId="6" borderId="0" xfId="1" applyNumberFormat="1" applyFont="1" applyFill="1" applyBorder="1" applyProtection="1">
      <alignment vertical="center"/>
      <protection locked="0"/>
    </xf>
    <xf numFmtId="3" fontId="23" fillId="2" borderId="0" xfId="1" applyNumberFormat="1" applyFont="1" applyFill="1" applyBorder="1" applyProtection="1">
      <alignment vertical="center"/>
      <protection locked="0"/>
    </xf>
    <xf numFmtId="3" fontId="23" fillId="8" borderId="0" xfId="1" applyNumberFormat="1" applyFont="1" applyFill="1" applyBorder="1" applyProtection="1">
      <alignment vertical="center"/>
    </xf>
    <xf numFmtId="3" fontId="23" fillId="4" borderId="0" xfId="1" applyNumberFormat="1" applyFont="1" applyFill="1" applyBorder="1" applyProtection="1">
      <alignment vertical="center"/>
      <protection locked="0"/>
    </xf>
    <xf numFmtId="3" fontId="23" fillId="5" borderId="0" xfId="1" applyNumberFormat="1" applyFont="1" applyFill="1" applyBorder="1" applyProtection="1">
      <alignment vertical="center"/>
    </xf>
    <xf numFmtId="0" fontId="26" fillId="16" borderId="0" xfId="0" applyFont="1" applyFill="1">
      <alignment vertical="center"/>
    </xf>
    <xf numFmtId="177" fontId="20" fillId="10" borderId="5" xfId="0" applyNumberFormat="1" applyFont="1" applyFill="1" applyBorder="1">
      <alignment vertical="center"/>
    </xf>
    <xf numFmtId="0" fontId="15" fillId="0" borderId="0" xfId="0" applyFont="1">
      <alignment vertical="center"/>
    </xf>
    <xf numFmtId="0" fontId="21" fillId="3" borderId="0" xfId="0" applyFont="1" applyFill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3" fontId="22" fillId="11" borderId="5" xfId="1" applyNumberFormat="1" applyFont="1" applyFill="1" applyBorder="1" applyProtection="1">
      <alignment vertical="center"/>
      <protection locked="0"/>
    </xf>
    <xf numFmtId="3" fontId="22" fillId="11" borderId="0" xfId="1" applyNumberFormat="1" applyFont="1" applyFill="1" applyBorder="1" applyProtection="1">
      <alignment vertical="center"/>
      <protection locked="0"/>
    </xf>
    <xf numFmtId="3" fontId="22" fillId="4" borderId="5" xfId="1" applyNumberFormat="1" applyFont="1" applyFill="1" applyBorder="1" applyProtection="1">
      <alignment vertical="center"/>
    </xf>
    <xf numFmtId="3" fontId="22" fillId="4" borderId="0" xfId="1" applyNumberFormat="1" applyFont="1" applyFill="1" applyBorder="1" applyProtection="1">
      <alignment vertical="center"/>
    </xf>
    <xf numFmtId="3" fontId="22" fillId="11" borderId="5" xfId="1" applyNumberFormat="1" applyFont="1" applyFill="1" applyBorder="1" applyAlignment="1" applyProtection="1">
      <alignment horizontal="center" vertical="center"/>
      <protection locked="0"/>
    </xf>
    <xf numFmtId="3" fontId="22" fillId="5" borderId="0" xfId="1" applyNumberFormat="1" applyFont="1" applyFill="1" applyBorder="1" applyAlignment="1" applyProtection="1">
      <alignment horizontal="center" vertical="center"/>
      <protection locked="0"/>
    </xf>
    <xf numFmtId="9" fontId="21" fillId="11" borderId="12" xfId="2" applyFont="1" applyFill="1" applyBorder="1" applyAlignment="1" applyProtection="1">
      <alignment horizontal="center" vertical="center"/>
    </xf>
    <xf numFmtId="0" fontId="23" fillId="11" borderId="10" xfId="2" applyNumberFormat="1" applyFont="1" applyFill="1" applyBorder="1" applyAlignment="1" applyProtection="1">
      <alignment horizontal="center" vertical="center"/>
    </xf>
    <xf numFmtId="0" fontId="30" fillId="11" borderId="7" xfId="2" applyNumberFormat="1" applyFont="1" applyFill="1" applyBorder="1" applyAlignment="1" applyProtection="1">
      <alignment horizontal="center" vertical="center"/>
    </xf>
    <xf numFmtId="0" fontId="31" fillId="11" borderId="7" xfId="2" applyNumberFormat="1" applyFont="1" applyFill="1" applyBorder="1" applyAlignment="1" applyProtection="1">
      <alignment horizontal="center" vertical="center"/>
    </xf>
    <xf numFmtId="0" fontId="23" fillId="11" borderId="7" xfId="2" applyNumberFormat="1" applyFont="1" applyFill="1" applyBorder="1" applyAlignment="1" applyProtection="1">
      <alignment horizontal="center" vertical="center"/>
    </xf>
    <xf numFmtId="0" fontId="23" fillId="12" borderId="12" xfId="2" applyNumberFormat="1" applyFont="1" applyFill="1" applyBorder="1" applyAlignment="1" applyProtection="1">
      <alignment horizontal="center" vertical="center"/>
    </xf>
    <xf numFmtId="178" fontId="23" fillId="11" borderId="7" xfId="2" applyNumberFormat="1" applyFont="1" applyFill="1" applyBorder="1" applyAlignment="1" applyProtection="1">
      <alignment horizontal="center" vertical="center"/>
    </xf>
    <xf numFmtId="178" fontId="23" fillId="12" borderId="12" xfId="2" applyNumberFormat="1" applyFont="1" applyFill="1" applyBorder="1" applyAlignment="1" applyProtection="1">
      <alignment horizontal="center" vertical="center"/>
    </xf>
    <xf numFmtId="9" fontId="19" fillId="0" borderId="6" xfId="2" applyFont="1" applyFill="1" applyBorder="1" applyAlignment="1" applyProtection="1">
      <alignment horizontal="center" vertical="center"/>
      <protection locked="0"/>
    </xf>
    <xf numFmtId="178" fontId="23" fillId="11" borderId="13" xfId="2" applyNumberFormat="1" applyFont="1" applyFill="1" applyBorder="1" applyAlignment="1" applyProtection="1">
      <alignment horizontal="center" vertical="center"/>
    </xf>
    <xf numFmtId="0" fontId="18" fillId="0" borderId="0" xfId="0" applyFont="1" applyAlignment="1" applyProtection="1">
      <alignment horizontal="center" vertical="center"/>
      <protection locked="0"/>
    </xf>
    <xf numFmtId="0" fontId="18" fillId="17" borderId="0" xfId="0" applyFont="1" applyFill="1" applyAlignment="1" applyProtection="1">
      <alignment vertical="center" shrinkToFit="1"/>
      <protection locked="0"/>
    </xf>
    <xf numFmtId="0" fontId="18" fillId="17" borderId="5" xfId="0" applyFont="1" applyFill="1" applyBorder="1" applyAlignment="1" applyProtection="1">
      <alignment vertical="center" shrinkToFit="1"/>
      <protection locked="0"/>
    </xf>
    <xf numFmtId="0" fontId="29" fillId="11" borderId="7" xfId="2" applyNumberFormat="1" applyFont="1" applyFill="1" applyBorder="1" applyAlignment="1" applyProtection="1">
      <alignment horizontal="center" vertical="center"/>
    </xf>
    <xf numFmtId="3" fontId="23" fillId="11" borderId="0" xfId="1" applyNumberFormat="1" applyFont="1" applyFill="1" applyBorder="1" applyProtection="1">
      <alignment vertical="center"/>
      <protection locked="0"/>
    </xf>
    <xf numFmtId="3" fontId="23" fillId="5" borderId="0" xfId="1" applyNumberFormat="1" applyFont="1" applyFill="1" applyBorder="1" applyProtection="1">
      <alignment vertical="center"/>
      <protection locked="0"/>
    </xf>
    <xf numFmtId="0" fontId="18" fillId="12" borderId="4" xfId="0" applyFont="1" applyFill="1" applyBorder="1" applyAlignment="1">
      <alignment horizontal="center" vertical="center"/>
    </xf>
    <xf numFmtId="3" fontId="23" fillId="4" borderId="0" xfId="1" applyNumberFormat="1" applyFont="1" applyFill="1" applyBorder="1" applyProtection="1">
      <alignment vertical="center"/>
    </xf>
    <xf numFmtId="0" fontId="33" fillId="11" borderId="7" xfId="2" applyNumberFormat="1" applyFont="1" applyFill="1" applyBorder="1" applyAlignment="1" applyProtection="1">
      <alignment horizontal="center" vertical="center"/>
    </xf>
    <xf numFmtId="0" fontId="22" fillId="11" borderId="7" xfId="2" applyNumberFormat="1" applyFont="1" applyFill="1" applyBorder="1" applyAlignment="1" applyProtection="1">
      <alignment horizontal="center" vertical="center"/>
    </xf>
    <xf numFmtId="0" fontId="18" fillId="17" borderId="0" xfId="0" applyFont="1" applyFill="1" applyProtection="1">
      <alignment vertical="center"/>
      <protection locked="0"/>
    </xf>
    <xf numFmtId="178" fontId="34" fillId="11" borderId="7" xfId="2" applyNumberFormat="1" applyFont="1" applyFill="1" applyBorder="1" applyAlignment="1" applyProtection="1">
      <alignment horizontal="center" vertical="center"/>
    </xf>
    <xf numFmtId="0" fontId="34" fillId="11" borderId="7" xfId="2" applyNumberFormat="1" applyFont="1" applyFill="1" applyBorder="1" applyAlignment="1" applyProtection="1">
      <alignment horizontal="center" vertical="center"/>
    </xf>
    <xf numFmtId="0" fontId="19" fillId="17" borderId="0" xfId="0" applyFont="1" applyFill="1" applyAlignment="1" applyProtection="1">
      <alignment vertical="center" shrinkToFit="1"/>
      <protection locked="0"/>
    </xf>
    <xf numFmtId="0" fontId="35" fillId="0" borderId="0" xfId="0" applyFont="1">
      <alignment vertical="center"/>
    </xf>
    <xf numFmtId="0" fontId="18" fillId="12" borderId="18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0" fontId="20" fillId="12" borderId="17" xfId="0" applyFont="1" applyFill="1" applyBorder="1" applyAlignment="1">
      <alignment horizontal="center" vertical="center"/>
    </xf>
    <xf numFmtId="0" fontId="20" fillId="12" borderId="14" xfId="0" applyFont="1" applyFill="1" applyBorder="1" applyAlignment="1">
      <alignment horizontal="center" vertical="center"/>
    </xf>
    <xf numFmtId="0" fontId="20" fillId="12" borderId="16" xfId="0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3" fontId="36" fillId="11" borderId="0" xfId="1" applyNumberFormat="1" applyFont="1" applyFill="1" applyBorder="1" applyProtection="1">
      <alignment vertical="center"/>
      <protection locked="0"/>
    </xf>
    <xf numFmtId="3" fontId="36" fillId="5" borderId="0" xfId="1" applyNumberFormat="1" applyFont="1" applyFill="1" applyBorder="1" applyProtection="1">
      <alignment vertical="center"/>
      <protection locked="0"/>
    </xf>
    <xf numFmtId="3" fontId="36" fillId="4" borderId="0" xfId="1" applyNumberFormat="1" applyFont="1" applyFill="1" applyBorder="1" applyProtection="1">
      <alignment vertical="center"/>
    </xf>
    <xf numFmtId="0" fontId="37" fillId="11" borderId="7" xfId="2" applyNumberFormat="1" applyFont="1" applyFill="1" applyBorder="1" applyAlignment="1" applyProtection="1">
      <alignment horizontal="center" vertical="center"/>
    </xf>
    <xf numFmtId="0" fontId="22" fillId="12" borderId="12" xfId="2" applyNumberFormat="1" applyFont="1" applyFill="1" applyBorder="1" applyAlignment="1" applyProtection="1">
      <alignment horizontal="center" vertical="center"/>
    </xf>
    <xf numFmtId="0" fontId="22" fillId="11" borderId="10" xfId="2" applyNumberFormat="1" applyFont="1" applyFill="1" applyBorder="1" applyAlignment="1" applyProtection="1">
      <alignment horizontal="center" vertical="center"/>
    </xf>
    <xf numFmtId="178" fontId="22" fillId="11" borderId="7" xfId="2" applyNumberFormat="1" applyFont="1" applyFill="1" applyBorder="1" applyAlignment="1" applyProtection="1">
      <alignment horizontal="center" vertical="center"/>
    </xf>
    <xf numFmtId="0" fontId="20" fillId="18" borderId="4" xfId="0" applyFont="1" applyFill="1" applyBorder="1" applyAlignment="1">
      <alignment horizontal="center" vertical="center"/>
    </xf>
    <xf numFmtId="0" fontId="38" fillId="17" borderId="0" xfId="0" applyFont="1" applyFill="1" applyAlignment="1" applyProtection="1">
      <alignment vertical="center" shrinkToFit="1"/>
      <protection locked="0"/>
    </xf>
    <xf numFmtId="0" fontId="18" fillId="19" borderId="7" xfId="0" applyFont="1" applyFill="1" applyBorder="1" applyProtection="1">
      <alignment vertical="center"/>
      <protection locked="0"/>
    </xf>
    <xf numFmtId="0" fontId="19" fillId="19" borderId="7" xfId="0" applyFont="1" applyFill="1" applyBorder="1" applyProtection="1">
      <alignment vertical="center"/>
      <protection locked="0"/>
    </xf>
    <xf numFmtId="3" fontId="22" fillId="0" borderId="0" xfId="1" applyNumberFormat="1" applyFont="1" applyFill="1" applyBorder="1" applyProtection="1">
      <alignment vertical="center"/>
      <protection locked="0"/>
    </xf>
    <xf numFmtId="3" fontId="22" fillId="0" borderId="0" xfId="1" applyNumberFormat="1" applyFont="1" applyFill="1" applyBorder="1" applyProtection="1">
      <alignment vertical="center"/>
    </xf>
    <xf numFmtId="0" fontId="18" fillId="19" borderId="0" xfId="0" applyFont="1" applyFill="1" applyProtection="1">
      <alignment vertical="center"/>
      <protection locked="0"/>
    </xf>
    <xf numFmtId="0" fontId="28" fillId="19" borderId="7" xfId="0" applyFont="1" applyFill="1" applyBorder="1" applyProtection="1">
      <alignment vertical="center"/>
      <protection locked="0"/>
    </xf>
    <xf numFmtId="0" fontId="18" fillId="19" borderId="0" xfId="0" applyFont="1" applyFill="1" applyAlignment="1" applyProtection="1">
      <alignment horizontal="center" vertical="center"/>
      <protection locked="0"/>
    </xf>
    <xf numFmtId="0" fontId="18" fillId="19" borderId="0" xfId="0" applyFont="1" applyFill="1" applyAlignment="1" applyProtection="1">
      <alignment horizontal="right" vertical="center"/>
      <protection locked="0"/>
    </xf>
    <xf numFmtId="0" fontId="18" fillId="19" borderId="11" xfId="0" applyFont="1" applyFill="1" applyBorder="1" applyProtection="1">
      <alignment vertical="center"/>
      <protection locked="0"/>
    </xf>
    <xf numFmtId="9" fontId="18" fillId="19" borderId="11" xfId="2" applyFont="1" applyFill="1" applyBorder="1" applyProtection="1">
      <alignment vertical="center"/>
      <protection locked="0"/>
    </xf>
    <xf numFmtId="9" fontId="28" fillId="19" borderId="11" xfId="2" applyFont="1" applyFill="1" applyBorder="1" applyProtection="1">
      <alignment vertical="center"/>
      <protection locked="0"/>
    </xf>
    <xf numFmtId="9" fontId="19" fillId="19" borderId="11" xfId="2" applyFont="1" applyFill="1" applyBorder="1" applyProtection="1">
      <alignment vertical="center"/>
      <protection locked="0"/>
    </xf>
    <xf numFmtId="3" fontId="18" fillId="19" borderId="11" xfId="0" applyNumberFormat="1" applyFont="1" applyFill="1" applyBorder="1" applyProtection="1">
      <alignment vertical="center"/>
      <protection locked="0"/>
    </xf>
    <xf numFmtId="0" fontId="18" fillId="19" borderId="5" xfId="0" applyFont="1" applyFill="1" applyBorder="1" applyProtection="1">
      <alignment vertical="center"/>
      <protection locked="0"/>
    </xf>
    <xf numFmtId="0" fontId="18" fillId="19" borderId="5" xfId="0" applyFont="1" applyFill="1" applyBorder="1" applyAlignment="1" applyProtection="1">
      <alignment horizontal="center" vertical="center"/>
      <protection locked="0"/>
    </xf>
    <xf numFmtId="0" fontId="18" fillId="17" borderId="0" xfId="0" applyFont="1" applyFill="1" applyAlignment="1" applyProtection="1">
      <alignment horizontal="center" vertical="center"/>
      <protection locked="0"/>
    </xf>
    <xf numFmtId="0" fontId="22" fillId="0" borderId="7" xfId="2" applyNumberFormat="1" applyFont="1" applyFill="1" applyBorder="1" applyAlignment="1" applyProtection="1">
      <alignment horizontal="center" vertical="center"/>
    </xf>
    <xf numFmtId="0" fontId="39" fillId="0" borderId="0" xfId="0" applyFont="1">
      <alignment vertical="center"/>
    </xf>
    <xf numFmtId="0" fontId="43" fillId="19" borderId="0" xfId="0" applyFont="1" applyFill="1" applyProtection="1">
      <alignment vertical="center"/>
      <protection locked="0"/>
    </xf>
    <xf numFmtId="3" fontId="44" fillId="4" borderId="6" xfId="1" applyNumberFormat="1" applyFont="1" applyFill="1" applyBorder="1" applyProtection="1">
      <alignment vertical="center"/>
    </xf>
    <xf numFmtId="178" fontId="42" fillId="11" borderId="13" xfId="2" applyNumberFormat="1" applyFont="1" applyFill="1" applyBorder="1" applyAlignment="1" applyProtection="1">
      <alignment horizontal="center" vertical="center"/>
    </xf>
    <xf numFmtId="0" fontId="40" fillId="19" borderId="7" xfId="0" applyFont="1" applyFill="1" applyBorder="1" applyProtection="1">
      <alignment vertical="center"/>
      <protection locked="0"/>
    </xf>
    <xf numFmtId="0" fontId="41" fillId="11" borderId="7" xfId="2" applyNumberFormat="1" applyFont="1" applyFill="1" applyBorder="1" applyAlignment="1" applyProtection="1">
      <alignment horizontal="center" vertical="center"/>
    </xf>
    <xf numFmtId="9" fontId="40" fillId="19" borderId="11" xfId="2" applyFont="1" applyFill="1" applyBorder="1" applyProtection="1">
      <alignment vertical="center"/>
      <protection locked="0"/>
    </xf>
    <xf numFmtId="0" fontId="6" fillId="19" borderId="7" xfId="0" applyFont="1" applyFill="1" applyBorder="1" applyProtection="1">
      <alignment vertical="center"/>
      <protection locked="0"/>
    </xf>
    <xf numFmtId="0" fontId="46" fillId="11" borderId="7" xfId="2" applyNumberFormat="1" applyFont="1" applyFill="1" applyBorder="1" applyAlignment="1" applyProtection="1">
      <alignment horizontal="center" vertical="center"/>
    </xf>
    <xf numFmtId="0" fontId="6" fillId="19" borderId="11" xfId="0" applyFont="1" applyFill="1" applyBorder="1" applyProtection="1">
      <alignment vertical="center"/>
      <protection locked="0"/>
    </xf>
    <xf numFmtId="0" fontId="16" fillId="0" borderId="0" xfId="0" applyFont="1">
      <alignment vertical="center"/>
    </xf>
    <xf numFmtId="0" fontId="1" fillId="0" borderId="0" xfId="0" applyFont="1">
      <alignment vertical="center"/>
    </xf>
    <xf numFmtId="0" fontId="18" fillId="6" borderId="0" xfId="0" applyFont="1" applyFill="1" applyAlignment="1" applyProtection="1">
      <alignment vertical="center" shrinkToFit="1"/>
      <protection locked="0"/>
    </xf>
    <xf numFmtId="0" fontId="20" fillId="17" borderId="0" xfId="0" applyFont="1" applyFill="1" applyAlignment="1" applyProtection="1">
      <alignment vertical="center" shrinkToFit="1"/>
      <protection locked="0"/>
    </xf>
    <xf numFmtId="3" fontId="47" fillId="11" borderId="0" xfId="1" applyNumberFormat="1" applyFont="1" applyFill="1" applyBorder="1" applyProtection="1">
      <alignment vertical="center"/>
      <protection locked="0"/>
    </xf>
    <xf numFmtId="3" fontId="47" fillId="5" borderId="0" xfId="1" applyNumberFormat="1" applyFont="1" applyFill="1" applyBorder="1" applyProtection="1">
      <alignment vertical="center"/>
      <protection locked="0"/>
    </xf>
    <xf numFmtId="3" fontId="47" fillId="4" borderId="0" xfId="1" applyNumberFormat="1" applyFont="1" applyFill="1" applyBorder="1" applyProtection="1">
      <alignment vertical="center"/>
    </xf>
    <xf numFmtId="3" fontId="36" fillId="12" borderId="4" xfId="1" applyNumberFormat="1" applyFont="1" applyFill="1" applyBorder="1" applyProtection="1">
      <alignment vertical="center"/>
    </xf>
    <xf numFmtId="3" fontId="36" fillId="6" borderId="4" xfId="1" applyNumberFormat="1" applyFont="1" applyFill="1" applyBorder="1" applyProtection="1">
      <alignment vertical="center"/>
    </xf>
    <xf numFmtId="0" fontId="48" fillId="16" borderId="0" xfId="0" applyFont="1" applyFill="1">
      <alignment vertical="center"/>
    </xf>
    <xf numFmtId="0" fontId="18" fillId="0" borderId="0" xfId="0" applyFont="1">
      <alignment vertical="center"/>
    </xf>
    <xf numFmtId="0" fontId="18" fillId="9" borderId="0" xfId="0" applyFont="1" applyFill="1">
      <alignment vertical="center"/>
    </xf>
    <xf numFmtId="0" fontId="18" fillId="4" borderId="0" xfId="0" applyFont="1" applyFill="1">
      <alignment vertical="center"/>
    </xf>
    <xf numFmtId="0" fontId="20" fillId="16" borderId="0" xfId="0" applyFont="1" applyFill="1" applyAlignment="1" applyProtection="1">
      <alignment horizontal="center" vertical="center"/>
      <protection locked="0"/>
    </xf>
    <xf numFmtId="176" fontId="20" fillId="16" borderId="0" xfId="1" applyFont="1" applyFill="1" applyBorder="1" applyProtection="1">
      <alignment vertical="center"/>
      <protection locked="0"/>
    </xf>
    <xf numFmtId="0" fontId="20" fillId="3" borderId="0" xfId="0" applyFont="1" applyFill="1" applyProtection="1">
      <alignment vertical="center"/>
      <protection locked="0"/>
    </xf>
    <xf numFmtId="0" fontId="38" fillId="0" borderId="0" xfId="0" applyFont="1" applyAlignment="1" applyProtection="1">
      <alignment vertical="center" shrinkToFit="1"/>
      <protection locked="0"/>
    </xf>
    <xf numFmtId="0" fontId="20" fillId="3" borderId="0" xfId="0" applyFont="1" applyFill="1" applyAlignment="1" applyProtection="1">
      <alignment vertical="center" shrinkToFit="1"/>
      <protection locked="0"/>
    </xf>
    <xf numFmtId="0" fontId="18" fillId="3" borderId="0" xfId="0" applyFont="1" applyFill="1" applyAlignment="1" applyProtection="1">
      <alignment vertical="center" shrinkToFit="1"/>
      <protection locked="0"/>
    </xf>
    <xf numFmtId="0" fontId="26" fillId="16" borderId="0" xfId="0" applyFont="1" applyFill="1" applyAlignment="1">
      <alignment horizontal="center" vertical="center"/>
    </xf>
    <xf numFmtId="0" fontId="45" fillId="14" borderId="9" xfId="0" applyFont="1" applyFill="1" applyBorder="1" applyAlignment="1">
      <alignment horizontal="center" vertical="center"/>
    </xf>
    <xf numFmtId="0" fontId="45" fillId="14" borderId="6" xfId="0" applyFont="1" applyFill="1" applyBorder="1" applyAlignment="1">
      <alignment horizontal="center" vertical="center"/>
    </xf>
    <xf numFmtId="0" fontId="20" fillId="12" borderId="11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180" fontId="22" fillId="4" borderId="6" xfId="1" applyNumberFormat="1" applyFont="1" applyFill="1" applyBorder="1" applyAlignment="1" applyProtection="1">
      <alignment horizontal="center" vertical="center" shrinkToFit="1"/>
      <protection locked="0"/>
    </xf>
    <xf numFmtId="0" fontId="25" fillId="13" borderId="9" xfId="0" applyFont="1" applyFill="1" applyBorder="1" applyAlignment="1">
      <alignment horizontal="center" vertical="center"/>
    </xf>
    <xf numFmtId="0" fontId="25" fillId="13" borderId="6" xfId="0" applyFont="1" applyFill="1" applyBorder="1" applyAlignment="1">
      <alignment horizontal="center" vertical="center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8" xfId="0" applyFont="1" applyFill="1" applyBorder="1" applyAlignment="1">
      <alignment horizontal="center" vertical="center" wrapText="1"/>
    </xf>
    <xf numFmtId="0" fontId="20" fillId="12" borderId="18" xfId="0" applyFont="1" applyFill="1" applyBorder="1" applyAlignment="1">
      <alignment horizontal="center" vertical="center"/>
    </xf>
    <xf numFmtId="0" fontId="20" fillId="12" borderId="19" xfId="0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4" fillId="14" borderId="9" xfId="0" applyFont="1" applyFill="1" applyBorder="1" applyAlignment="1">
      <alignment horizontal="center" vertical="center"/>
    </xf>
    <xf numFmtId="0" fontId="24" fillId="14" borderId="6" xfId="0" applyFont="1" applyFill="1" applyBorder="1" applyAlignment="1">
      <alignment horizontal="center" vertical="center"/>
    </xf>
    <xf numFmtId="179" fontId="22" fillId="6" borderId="6" xfId="1" applyNumberFormat="1" applyFont="1" applyFill="1" applyBorder="1" applyAlignment="1" applyProtection="1">
      <alignment horizontal="center" vertical="center" shrinkToFit="1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0" fontId="20" fillId="12" borderId="14" xfId="0" applyFont="1" applyFill="1" applyBorder="1" applyAlignment="1">
      <alignment horizontal="center" vertical="center"/>
    </xf>
    <xf numFmtId="0" fontId="20" fillId="12" borderId="16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0" fontId="20" fillId="12" borderId="17" xfId="0" applyFont="1" applyFill="1" applyBorder="1" applyAlignment="1">
      <alignment horizontal="center" vertical="center"/>
    </xf>
    <xf numFmtId="177" fontId="20" fillId="9" borderId="5" xfId="0" applyNumberFormat="1" applyFont="1" applyFill="1" applyBorder="1" applyAlignment="1">
      <alignment horizontal="center" vertical="center"/>
    </xf>
    <xf numFmtId="177" fontId="20" fillId="10" borderId="5" xfId="0" applyNumberFormat="1" applyFont="1" applyFill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쉼표 [0] 2 2" xfId="4" xr:uid="{78544443-1D6A-4F51-B489-CA4B28C564D1}"/>
    <cellStyle name="표준" xfId="0" builtinId="0"/>
    <cellStyle name="표준 2" xfId="3" xr:uid="{5239B0CE-0282-478A-9917-80AD66959F76}"/>
  </cellStyles>
  <dxfs count="0"/>
  <tableStyles count="0" defaultTableStyle="TableStyleMedium2" defaultPivotStyle="PivotStyleLight16"/>
  <colors>
    <mruColors>
      <color rgb="FFFFEDB3"/>
      <color rgb="FFFFF6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s\Desktop\GS&#47532;&#53580;&#51068;_GFS&#49688;&#51452;_1&#54200;&#9734;.xlsx" TargetMode="External"/><Relationship Id="rId1" Type="http://schemas.openxmlformats.org/officeDocument/2006/relationships/externalLinkPath" Target="GS&#47532;&#53580;&#51068;_GFS&#49688;&#51452;_1&#54200;&#973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s\Desktop\GS&#47532;&#53580;&#51068;_GFS&#49688;&#51452;_2&#54200;&#9733;.xlsx" TargetMode="External"/><Relationship Id="rId1" Type="http://schemas.openxmlformats.org/officeDocument/2006/relationships/externalLinkPath" Target="GS&#47532;&#53580;&#51068;_GFS&#49688;&#51452;_2&#54200;&#97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S25"/>
      <sheetName val="작업지시서(출력용"/>
      <sheetName val="작업지시서( 출하장)"/>
      <sheetName val="수주집계"/>
      <sheetName val="작업지시서"/>
      <sheetName val="온라인주문도시락"/>
      <sheetName val="박스"/>
      <sheetName val="추가작업지시서"/>
      <sheetName val="김해"/>
      <sheetName val="해인CVS"/>
      <sheetName val="경산2일배"/>
      <sheetName val="경산3일배 "/>
      <sheetName val="진주"/>
      <sheetName val="신광주"/>
      <sheetName val="청주"/>
      <sheetName val="공주"/>
      <sheetName val="익산"/>
      <sheetName val="경산"/>
      <sheetName val="김해2"/>
      <sheetName val="신광주2"/>
      <sheetName val="김해GS슈퍼"/>
      <sheetName val="부산GS슈퍼"/>
      <sheetName val="추가발행"/>
    </sheetNames>
    <sheetDataSet>
      <sheetData sheetId="0"/>
      <sheetData sheetId="1"/>
      <sheetData sheetId="2"/>
      <sheetData sheetId="3"/>
      <sheetData sheetId="4">
        <row r="6">
          <cell r="D6" t="str">
            <v>상   품   명</v>
          </cell>
          <cell r="E6" t="str">
            <v>GSR
확정수량</v>
          </cell>
        </row>
        <row r="7">
          <cell r="D7" t="str">
            <v/>
          </cell>
          <cell r="E7" t="str">
            <v/>
          </cell>
        </row>
        <row r="8">
          <cell r="D8" t="str">
            <v>더큰)맥적구이한상</v>
          </cell>
          <cell r="E8">
            <v>730</v>
          </cell>
        </row>
        <row r="9">
          <cell r="D9" t="str">
            <v>더큰)들기름묵은지참치</v>
          </cell>
          <cell r="E9">
            <v>2430</v>
          </cell>
        </row>
        <row r="10">
          <cell r="D10" t="str">
            <v>더큰)리챔참치마요</v>
          </cell>
          <cell r="E10">
            <v>1735</v>
          </cell>
        </row>
        <row r="11">
          <cell r="D11" t="str">
            <v/>
          </cell>
          <cell r="E11" t="str">
            <v/>
          </cell>
        </row>
        <row r="12">
          <cell r="D12" t="str">
            <v>더큰)오징어제육깻잎쌈밥</v>
          </cell>
          <cell r="E12">
            <v>888</v>
          </cell>
        </row>
        <row r="13">
          <cell r="D13" t="str">
            <v>더큰)스팸계란볶음밥</v>
          </cell>
          <cell r="E13">
            <v>2522</v>
          </cell>
        </row>
        <row r="14">
          <cell r="D14" t="str">
            <v/>
          </cell>
          <cell r="E14" t="str">
            <v/>
          </cell>
        </row>
        <row r="15">
          <cell r="D15" t="str">
            <v>커플)곱창김참치&amp;비빔밥 파프리카밥</v>
          </cell>
          <cell r="E15">
            <v>2234</v>
          </cell>
        </row>
        <row r="16">
          <cell r="D16" t="str">
            <v/>
          </cell>
          <cell r="E16" t="str">
            <v/>
          </cell>
        </row>
        <row r="17">
          <cell r="D17" t="str">
            <v/>
          </cell>
          <cell r="E17" t="str">
            <v/>
          </cell>
        </row>
        <row r="18">
          <cell r="D18" t="str">
            <v/>
          </cell>
          <cell r="E18" t="str">
            <v/>
          </cell>
        </row>
        <row r="19">
          <cell r="D19" t="str">
            <v/>
          </cell>
          <cell r="E19" t="str">
            <v/>
          </cell>
        </row>
        <row r="20">
          <cell r="D20" t="str">
            <v/>
          </cell>
          <cell r="E20" t="str">
            <v/>
          </cell>
        </row>
        <row r="21">
          <cell r="D21" t="str">
            <v>더큰)스팸김치볶음밥</v>
          </cell>
          <cell r="E21">
            <v>2881</v>
          </cell>
        </row>
        <row r="22">
          <cell r="D22" t="str">
            <v/>
          </cell>
          <cell r="E22" t="str">
            <v/>
          </cell>
        </row>
        <row r="23">
          <cell r="D23" t="str">
            <v/>
          </cell>
          <cell r="E23" t="str">
            <v/>
          </cell>
        </row>
        <row r="24">
          <cell r="D24" t="str">
            <v/>
          </cell>
          <cell r="E24" t="str">
            <v/>
          </cell>
        </row>
        <row r="25">
          <cell r="D25" t="str">
            <v/>
          </cell>
          <cell r="E25" t="str">
            <v/>
          </cell>
        </row>
        <row r="26">
          <cell r="D26" t="str">
            <v/>
          </cell>
          <cell r="E26" t="str">
            <v/>
          </cell>
        </row>
        <row r="27">
          <cell r="D27" t="str">
            <v/>
          </cell>
          <cell r="E27" t="str">
            <v/>
          </cell>
        </row>
        <row r="28">
          <cell r="D28" t="str">
            <v/>
          </cell>
          <cell r="E28" t="str">
            <v/>
          </cell>
        </row>
        <row r="29">
          <cell r="D29" t="str">
            <v>삼각)전주비빔</v>
          </cell>
          <cell r="E29">
            <v>1583</v>
          </cell>
        </row>
        <row r="30">
          <cell r="D30" t="str">
            <v/>
          </cell>
          <cell r="E30" t="str">
            <v/>
          </cell>
        </row>
        <row r="31">
          <cell r="D31" t="str">
            <v>커플)곱창김참치&amp;비빔밥</v>
          </cell>
          <cell r="E31">
            <v>2234</v>
          </cell>
        </row>
        <row r="32">
          <cell r="D32" t="str">
            <v>무스비)햄&amp;참치김치볶음밥</v>
          </cell>
          <cell r="E32">
            <v>458</v>
          </cell>
        </row>
        <row r="33">
          <cell r="D33" t="str">
            <v>NEW스팸무스비</v>
          </cell>
          <cell r="E33">
            <v>935</v>
          </cell>
        </row>
        <row r="34">
          <cell r="D34" t="str">
            <v>무스비)햄&amp;청양불고기</v>
          </cell>
          <cell r="E34">
            <v>141</v>
          </cell>
        </row>
        <row r="35">
          <cell r="E35" t="str">
            <v/>
          </cell>
        </row>
        <row r="36">
          <cell r="D36" t="str">
            <v/>
          </cell>
          <cell r="E36" t="str">
            <v/>
          </cell>
        </row>
        <row r="37">
          <cell r="D37" t="str">
            <v/>
          </cell>
          <cell r="E37" t="str">
            <v/>
          </cell>
        </row>
        <row r="38">
          <cell r="D38" t="str">
            <v/>
          </cell>
          <cell r="E38" t="str">
            <v/>
          </cell>
        </row>
        <row r="39">
          <cell r="D39" t="str">
            <v/>
          </cell>
          <cell r="E39" t="str">
            <v/>
          </cell>
        </row>
        <row r="40">
          <cell r="D40" t="str">
            <v>12 Unit</v>
          </cell>
          <cell r="E40">
            <v>18771</v>
          </cell>
        </row>
        <row r="44">
          <cell r="D44" t="str">
            <v>상   품   명</v>
          </cell>
          <cell r="E44" t="str">
            <v>GSR
확정수량</v>
          </cell>
        </row>
        <row r="45">
          <cell r="D45" t="str">
            <v>스팸계란치즈김밥</v>
          </cell>
          <cell r="E45">
            <v>613</v>
          </cell>
        </row>
        <row r="46">
          <cell r="D46" t="str">
            <v>넷플)더담은K떡갈비김밥</v>
          </cell>
          <cell r="E46">
            <v>986</v>
          </cell>
        </row>
        <row r="47">
          <cell r="D47" t="str">
            <v>착한김치김밥</v>
          </cell>
          <cell r="E47">
            <v>200</v>
          </cell>
        </row>
        <row r="48">
          <cell r="D48" t="str">
            <v>직화)한돈제육쌈김밥</v>
          </cell>
          <cell r="E48">
            <v>512</v>
          </cell>
        </row>
        <row r="49">
          <cell r="D49" t="str">
            <v>불고기치즈김밥</v>
          </cell>
          <cell r="E49">
            <v>497</v>
          </cell>
        </row>
        <row r="50">
          <cell r="D50" t="str">
            <v>착한참치마요김밥</v>
          </cell>
          <cell r="E50">
            <v>254</v>
          </cell>
        </row>
        <row r="51">
          <cell r="D51" t="str">
            <v>왕돈까스김밥</v>
          </cell>
          <cell r="E51">
            <v>559</v>
          </cell>
        </row>
        <row r="52">
          <cell r="D52" t="str">
            <v>진미채치즈김밥</v>
          </cell>
          <cell r="E52">
            <v>353</v>
          </cell>
        </row>
        <row r="53">
          <cell r="D53" t="str">
            <v>참치김치볶음김밥</v>
          </cell>
          <cell r="E53">
            <v>858</v>
          </cell>
        </row>
        <row r="54">
          <cell r="D54" t="str">
            <v>THE근본김밥</v>
          </cell>
          <cell r="E54">
            <v>1310</v>
          </cell>
        </row>
        <row r="55">
          <cell r="D55" t="str">
            <v>디핑)시장꼬마김밥</v>
          </cell>
          <cell r="E55">
            <v>383</v>
          </cell>
        </row>
        <row r="56">
          <cell r="D56" t="str">
            <v>더블치즈소시지김밥</v>
          </cell>
          <cell r="E56">
            <v>615</v>
          </cell>
        </row>
        <row r="57">
          <cell r="D57" t="str">
            <v>디핑)에그햄꼬마김밥</v>
          </cell>
          <cell r="E57">
            <v>1565</v>
          </cell>
        </row>
        <row r="58">
          <cell r="D58" t="str">
            <v>13 Unit</v>
          </cell>
          <cell r="E58">
            <v>8705</v>
          </cell>
        </row>
        <row r="60">
          <cell r="D60" t="str">
            <v>상   품   명</v>
          </cell>
          <cell r="E60" t="str">
            <v>GSR
확정수량</v>
          </cell>
        </row>
        <row r="61">
          <cell r="D61" t="str">
            <v>혜자)돌아온명불허전</v>
          </cell>
          <cell r="E61">
            <v>1102</v>
          </cell>
        </row>
        <row r="62">
          <cell r="D62" t="str">
            <v>N혜자)불고기오징어제육</v>
          </cell>
          <cell r="E62" t="str">
            <v/>
          </cell>
        </row>
        <row r="63">
          <cell r="D63" t="str">
            <v>NEW혜자)백설갈비양념제육</v>
          </cell>
          <cell r="E63">
            <v>460</v>
          </cell>
        </row>
        <row r="64">
          <cell r="D64" t="str">
            <v/>
          </cell>
          <cell r="E64" t="str">
            <v/>
          </cell>
        </row>
        <row r="65">
          <cell r="D65" t="str">
            <v/>
          </cell>
          <cell r="E65" t="str">
            <v/>
          </cell>
        </row>
        <row r="66">
          <cell r="D66" t="str">
            <v/>
          </cell>
          <cell r="E66" t="str">
            <v/>
          </cell>
        </row>
        <row r="67">
          <cell r="D67" t="str">
            <v>혜자)돌아온등심돈까스</v>
          </cell>
          <cell r="E67">
            <v>379</v>
          </cell>
        </row>
        <row r="68">
          <cell r="D68" t="str">
            <v/>
          </cell>
          <cell r="E68" t="str">
            <v/>
          </cell>
        </row>
        <row r="69">
          <cell r="D69" t="str">
            <v>혜자)두툼돈까스&amp;순창제육</v>
          </cell>
          <cell r="E69">
            <v>925</v>
          </cell>
        </row>
        <row r="70">
          <cell r="D70" t="str">
            <v>NEW뭘좋아할지몰라다넣어봤어</v>
          </cell>
          <cell r="E70">
            <v>568</v>
          </cell>
        </row>
        <row r="71">
          <cell r="D71" t="str">
            <v/>
          </cell>
          <cell r="E71" t="str">
            <v/>
          </cell>
        </row>
        <row r="72">
          <cell r="D72" t="str">
            <v>혜자)반반제육도시락</v>
          </cell>
          <cell r="E72">
            <v>731</v>
          </cell>
        </row>
        <row r="73">
          <cell r="D73" t="str">
            <v>혜자)두부김치제육</v>
          </cell>
          <cell r="E73">
            <v>817</v>
          </cell>
        </row>
        <row r="74">
          <cell r="D74" t="str">
            <v/>
          </cell>
          <cell r="E74" t="str">
            <v/>
          </cell>
        </row>
        <row r="75">
          <cell r="D75" t="str">
            <v/>
          </cell>
          <cell r="E75" t="str">
            <v/>
          </cell>
        </row>
        <row r="76">
          <cell r="D76" t="str">
            <v/>
          </cell>
          <cell r="E76" t="str">
            <v/>
          </cell>
        </row>
        <row r="77">
          <cell r="D77" t="str">
            <v>착한)제육덮밥(3,900원)</v>
          </cell>
          <cell r="E77">
            <v>23</v>
          </cell>
        </row>
        <row r="78">
          <cell r="D78" t="str">
            <v>착한제육비빔밥</v>
          </cell>
          <cell r="E78">
            <v>60</v>
          </cell>
        </row>
        <row r="79">
          <cell r="D79" t="str">
            <v>혜자)통등심돈까스&amp;치킨까스</v>
          </cell>
          <cell r="E79">
            <v>1297</v>
          </cell>
        </row>
        <row r="80">
          <cell r="D80" t="str">
            <v>이달의도시락10월(혜자)</v>
          </cell>
          <cell r="E80">
            <v>242</v>
          </cell>
        </row>
        <row r="81">
          <cell r="D81" t="str">
            <v/>
          </cell>
          <cell r="E81" t="str">
            <v/>
          </cell>
        </row>
        <row r="82">
          <cell r="D82" t="str">
            <v/>
          </cell>
          <cell r="E82" t="str">
            <v/>
          </cell>
        </row>
        <row r="83">
          <cell r="D83" t="str">
            <v>12 Unit</v>
          </cell>
          <cell r="E83">
            <v>6604</v>
          </cell>
        </row>
        <row r="85">
          <cell r="D85" t="str">
            <v>상   품   명</v>
          </cell>
          <cell r="E85" t="str">
            <v>GSR
확정수량</v>
          </cell>
        </row>
        <row r="86">
          <cell r="D86" t="str">
            <v>(주문)혜자)돌아온명불허전</v>
          </cell>
          <cell r="E86" t="str">
            <v/>
          </cell>
        </row>
        <row r="87">
          <cell r="D87" t="str">
            <v>(주문)넷플)더담은K떡갈비김밥</v>
          </cell>
          <cell r="E87" t="str">
            <v/>
          </cell>
        </row>
        <row r="88">
          <cell r="D88" t="str">
            <v>(주문)더큰)들기름묵은지참치</v>
          </cell>
          <cell r="E88" t="str">
            <v/>
          </cell>
        </row>
        <row r="89">
          <cell r="D89" t="str">
            <v>(주문)혜자)돌아온등심돈까스</v>
          </cell>
          <cell r="E89" t="str">
            <v/>
          </cell>
        </row>
        <row r="90">
          <cell r="D90" t="str">
            <v>(주문)혜자)백설갈비양념제육</v>
          </cell>
          <cell r="E90" t="str">
            <v/>
          </cell>
        </row>
        <row r="91">
          <cell r="D91" t="str">
            <v>(주문)이달의도시락10월(혜자)</v>
          </cell>
          <cell r="E91" t="str">
            <v/>
          </cell>
        </row>
        <row r="92">
          <cell r="D92" t="str">
            <v>(주문)디핑)시장꼬마김밥</v>
          </cell>
          <cell r="E92" t="str">
            <v/>
          </cell>
        </row>
        <row r="93">
          <cell r="D93" t="str">
            <v>(주문)아동)더큰스팸김치볶음밥</v>
          </cell>
          <cell r="E93" t="str">
            <v/>
          </cell>
        </row>
        <row r="94">
          <cell r="D94" t="str">
            <v>(주문)불고기치즈김밥</v>
          </cell>
          <cell r="E94" t="str">
            <v/>
          </cell>
        </row>
        <row r="95">
          <cell r="D95" t="str">
            <v>(주문)커플)곱창김참치&amp;비빔밥</v>
          </cell>
          <cell r="E95" t="str">
            <v/>
          </cell>
        </row>
        <row r="96">
          <cell r="D96" t="str">
            <v>(주문)N혜자)불고기오징어제육</v>
          </cell>
          <cell r="E96" t="str">
            <v/>
          </cell>
        </row>
        <row r="97">
          <cell r="E97" t="str">
            <v/>
          </cell>
        </row>
        <row r="98">
          <cell r="E98" t="str">
            <v/>
          </cell>
        </row>
        <row r="99">
          <cell r="E99" t="str">
            <v/>
          </cell>
        </row>
        <row r="100">
          <cell r="D100" t="str">
            <v>(주문)삼각)전주비빔</v>
          </cell>
          <cell r="E100" t="str">
            <v/>
          </cell>
        </row>
        <row r="101">
          <cell r="D101" t="str">
            <v>(주문)더큰)닭갈비깻잎쌈밥</v>
          </cell>
          <cell r="E101" t="str">
            <v/>
          </cell>
        </row>
        <row r="102">
          <cell r="D102" t="str">
            <v>(주문)더블치즈소시지김밥</v>
          </cell>
          <cell r="E102" t="str">
            <v/>
          </cell>
        </row>
        <row r="103">
          <cell r="D103" t="str">
            <v/>
          </cell>
          <cell r="E103" t="str">
            <v/>
          </cell>
        </row>
        <row r="104">
          <cell r="D104" t="str">
            <v>(주문)더큰)스팸김치볶음밥</v>
          </cell>
          <cell r="E104" t="str">
            <v/>
          </cell>
        </row>
        <row r="105">
          <cell r="D105" t="str">
            <v/>
          </cell>
          <cell r="E105" t="str">
            <v/>
          </cell>
        </row>
        <row r="106">
          <cell r="D106" t="str">
            <v/>
          </cell>
          <cell r="E106" t="str">
            <v/>
          </cell>
        </row>
        <row r="107">
          <cell r="D107" t="str">
            <v>(주문)더큰)스팸계란볶음밥</v>
          </cell>
          <cell r="E107" t="str">
            <v/>
          </cell>
        </row>
        <row r="108">
          <cell r="D108" t="str">
            <v>(주문)종가)김치제육김밥</v>
          </cell>
          <cell r="E108" t="str">
            <v/>
          </cell>
        </row>
        <row r="109">
          <cell r="D109" t="str">
            <v/>
          </cell>
          <cell r="E109" t="str">
            <v/>
          </cell>
        </row>
        <row r="110">
          <cell r="D110" t="str">
            <v>(주문)THE근본김밥</v>
          </cell>
          <cell r="E110" t="str">
            <v/>
          </cell>
        </row>
        <row r="111">
          <cell r="D111" t="str">
            <v>(주문)종가)묵은지김치제육</v>
          </cell>
          <cell r="E111" t="str">
            <v/>
          </cell>
        </row>
        <row r="112">
          <cell r="D112" t="str">
            <v>(주문)참치김치볶음김밥</v>
          </cell>
          <cell r="E112" t="str">
            <v/>
          </cell>
        </row>
        <row r="113">
          <cell r="D113" t="str">
            <v>(주문)더큰)리챔참치마요</v>
          </cell>
          <cell r="E113" t="str">
            <v/>
          </cell>
        </row>
        <row r="114">
          <cell r="D114" t="str">
            <v>(주문)스팸계란치즈김밥</v>
          </cell>
          <cell r="E114" t="str">
            <v/>
          </cell>
        </row>
        <row r="115">
          <cell r="D115" t="str">
            <v>(주문)왕돈까스김밥</v>
          </cell>
          <cell r="E115" t="str">
            <v/>
          </cell>
        </row>
        <row r="116">
          <cell r="D116" t="str">
            <v/>
          </cell>
          <cell r="E116" t="str">
            <v/>
          </cell>
        </row>
        <row r="117">
          <cell r="D117" t="str">
            <v>(주문)NEW혜자)반반제육</v>
          </cell>
          <cell r="E117" t="str">
            <v/>
          </cell>
        </row>
        <row r="118">
          <cell r="D118" t="str">
            <v>(주문)직화)한돈제육쌈김밥</v>
          </cell>
          <cell r="E118" t="str">
            <v/>
          </cell>
        </row>
        <row r="119">
          <cell r="E119" t="str">
            <v/>
          </cell>
        </row>
        <row r="120">
          <cell r="D120" t="str">
            <v/>
          </cell>
          <cell r="E120" t="str">
            <v/>
          </cell>
        </row>
        <row r="121">
          <cell r="E121" t="str">
            <v/>
          </cell>
        </row>
        <row r="122">
          <cell r="D122" t="str">
            <v/>
          </cell>
          <cell r="E122" t="str">
            <v/>
          </cell>
        </row>
        <row r="123">
          <cell r="D123" t="str">
            <v/>
          </cell>
          <cell r="E123" t="str">
            <v/>
          </cell>
        </row>
        <row r="124">
          <cell r="D124" t="str">
            <v>(주문)더큰)오징어제육깻잎쌈밥</v>
          </cell>
          <cell r="E124" t="str">
            <v/>
          </cell>
        </row>
        <row r="125">
          <cell r="D125" t="str">
            <v>(주문)NEW혜자)백설갈비양념제육</v>
          </cell>
          <cell r="E125" t="str">
            <v/>
          </cell>
        </row>
        <row r="126">
          <cell r="D126" t="str">
            <v>(주문)NEW뭘좋아할지몰라다넣어봤어</v>
          </cell>
          <cell r="E126" t="str">
            <v/>
          </cell>
        </row>
        <row r="127">
          <cell r="D127" t="str">
            <v>(주문)혜자)반반제육도시락</v>
          </cell>
          <cell r="E127" t="str">
            <v/>
          </cell>
        </row>
        <row r="128">
          <cell r="D128" t="str">
            <v/>
          </cell>
          <cell r="E128" t="str">
            <v/>
          </cell>
        </row>
        <row r="129">
          <cell r="D129" t="str">
            <v>(주문)혜자)두부김치제육</v>
          </cell>
          <cell r="E129" t="str">
            <v/>
          </cell>
        </row>
        <row r="130">
          <cell r="D130" t="str">
            <v>(주문)진미채치즈김밥</v>
          </cell>
          <cell r="E130" t="str">
            <v/>
          </cell>
        </row>
        <row r="131">
          <cell r="D131" t="str">
            <v>(주문)쯔양)매콤흑당치킨골뱅이</v>
          </cell>
          <cell r="E131" t="str">
            <v/>
          </cell>
        </row>
        <row r="132">
          <cell r="D132" t="str">
            <v/>
          </cell>
          <cell r="E132" t="str">
            <v/>
          </cell>
        </row>
        <row r="133">
          <cell r="D133" t="str">
            <v>(주문)근본김밥&amp;순살닭강정</v>
          </cell>
          <cell r="E133" t="str">
            <v/>
          </cell>
        </row>
        <row r="134">
          <cell r="E134" t="str">
            <v/>
          </cell>
        </row>
        <row r="135">
          <cell r="D135" t="str">
            <v>(주문)더큰)맥적구이한상</v>
          </cell>
          <cell r="E135" t="str">
            <v/>
          </cell>
        </row>
        <row r="136">
          <cell r="D136" t="str">
            <v>예약)더큰)스팸2배계란볶음밥</v>
          </cell>
          <cell r="E136" t="str">
            <v/>
          </cell>
        </row>
        <row r="137">
          <cell r="D137" t="str">
            <v>예약)더큰)스팸2배김치볶음밥</v>
          </cell>
          <cell r="E137" t="str">
            <v/>
          </cell>
        </row>
        <row r="138">
          <cell r="D138" t="str">
            <v/>
          </cell>
          <cell r="E138" t="str">
            <v/>
          </cell>
        </row>
        <row r="139">
          <cell r="D139" t="str">
            <v/>
          </cell>
          <cell r="E139" t="str">
            <v/>
          </cell>
        </row>
        <row r="140">
          <cell r="D140" t="str">
            <v/>
          </cell>
          <cell r="E140" t="str">
            <v/>
          </cell>
        </row>
        <row r="141">
          <cell r="D141" t="str">
            <v/>
          </cell>
          <cell r="E141" t="str">
            <v/>
          </cell>
        </row>
        <row r="142">
          <cell r="D142" t="str">
            <v/>
          </cell>
          <cell r="E142" t="str">
            <v/>
          </cell>
        </row>
        <row r="143">
          <cell r="D143" t="str">
            <v/>
          </cell>
          <cell r="E143" t="str">
            <v/>
          </cell>
        </row>
        <row r="144">
          <cell r="D144" t="str">
            <v/>
          </cell>
          <cell r="E144" t="str">
            <v/>
          </cell>
        </row>
        <row r="145">
          <cell r="D145" t="str">
            <v/>
          </cell>
          <cell r="E145" t="str">
            <v/>
          </cell>
        </row>
        <row r="146">
          <cell r="D146" t="str">
            <v/>
          </cell>
          <cell r="E146" t="str">
            <v/>
          </cell>
        </row>
        <row r="147">
          <cell r="D147" t="str">
            <v/>
          </cell>
          <cell r="E147" t="str">
            <v/>
          </cell>
        </row>
        <row r="148">
          <cell r="D148" t="str">
            <v/>
          </cell>
          <cell r="E148" t="str">
            <v/>
          </cell>
        </row>
        <row r="149">
          <cell r="D149" t="str">
            <v/>
          </cell>
          <cell r="E149" t="str">
            <v/>
          </cell>
        </row>
        <row r="150">
          <cell r="D150" t="str">
            <v/>
          </cell>
          <cell r="E150" t="str">
            <v/>
          </cell>
        </row>
        <row r="151">
          <cell r="D151" t="str">
            <v/>
          </cell>
          <cell r="E151" t="str">
            <v/>
          </cell>
        </row>
        <row r="152">
          <cell r="D152" t="str">
            <v>38 Unit</v>
          </cell>
          <cell r="E152" t="str">
            <v/>
          </cell>
        </row>
        <row r="156">
          <cell r="D156" t="str">
            <v>상   품   명</v>
          </cell>
          <cell r="E156" t="str">
            <v>GSR
확정수량</v>
          </cell>
        </row>
        <row r="157">
          <cell r="D157" t="str">
            <v>쯔양)매콤흑당치킨&amp;골뱅이</v>
          </cell>
          <cell r="E157" t="str">
            <v/>
          </cell>
        </row>
        <row r="158">
          <cell r="D158" t="str">
            <v/>
          </cell>
          <cell r="E158" t="str">
            <v/>
          </cell>
        </row>
        <row r="159">
          <cell r="D159" t="str">
            <v/>
          </cell>
          <cell r="E159" t="str">
            <v/>
          </cell>
        </row>
        <row r="160">
          <cell r="D160" t="str">
            <v/>
          </cell>
          <cell r="E160" t="str">
            <v/>
          </cell>
        </row>
        <row r="161">
          <cell r="D161" t="str">
            <v/>
          </cell>
          <cell r="E161" t="str">
            <v/>
          </cell>
        </row>
        <row r="162">
          <cell r="D162" t="str">
            <v/>
          </cell>
          <cell r="E162" t="str">
            <v/>
          </cell>
        </row>
        <row r="163">
          <cell r="D163" t="str">
            <v>1 Unit</v>
          </cell>
          <cell r="E163" t="str">
            <v/>
          </cell>
        </row>
        <row r="166">
          <cell r="D166" t="str">
            <v>상   품   명</v>
          </cell>
          <cell r="E166" t="str">
            <v>GSR
확정수량</v>
          </cell>
        </row>
        <row r="167">
          <cell r="D167" t="str">
            <v/>
          </cell>
          <cell r="E167" t="str">
            <v/>
          </cell>
        </row>
        <row r="168">
          <cell r="D168" t="str">
            <v/>
          </cell>
          <cell r="E168" t="str">
            <v/>
          </cell>
        </row>
        <row r="169">
          <cell r="D169" t="str">
            <v/>
          </cell>
          <cell r="E169" t="str">
            <v/>
          </cell>
        </row>
        <row r="170">
          <cell r="D170" t="str">
            <v/>
          </cell>
          <cell r="E170" t="str">
            <v/>
          </cell>
        </row>
        <row r="171">
          <cell r="D171" t="str">
            <v/>
          </cell>
          <cell r="E171" t="str">
            <v/>
          </cell>
        </row>
        <row r="172">
          <cell r="D172" t="str">
            <v/>
          </cell>
          <cell r="E172" t="str">
            <v/>
          </cell>
        </row>
        <row r="173">
          <cell r="D173" t="str">
            <v/>
          </cell>
          <cell r="E173" t="str">
            <v/>
          </cell>
        </row>
        <row r="174">
          <cell r="D174" t="str">
            <v/>
          </cell>
          <cell r="E174" t="str">
            <v/>
          </cell>
        </row>
        <row r="175">
          <cell r="D175" t="str">
            <v/>
          </cell>
          <cell r="E175" t="str">
            <v/>
          </cell>
        </row>
        <row r="176">
          <cell r="D176" t="str">
            <v/>
          </cell>
          <cell r="E176" t="str">
            <v/>
          </cell>
        </row>
        <row r="177">
          <cell r="D177" t="str">
            <v/>
          </cell>
          <cell r="E177" t="str">
            <v/>
          </cell>
        </row>
        <row r="178">
          <cell r="D178" t="str">
            <v/>
          </cell>
          <cell r="E178" t="str">
            <v/>
          </cell>
        </row>
        <row r="179">
          <cell r="D179" t="str">
            <v>착한1900핫도그(양배추사라다)</v>
          </cell>
          <cell r="E179">
            <v>90</v>
          </cell>
        </row>
        <row r="180">
          <cell r="D180" t="str">
            <v>착한1900핫도그(오리지널)</v>
          </cell>
          <cell r="E180">
            <v>104</v>
          </cell>
        </row>
        <row r="181">
          <cell r="D181" t="str">
            <v/>
          </cell>
          <cell r="E181" t="str">
            <v/>
          </cell>
        </row>
        <row r="182">
          <cell r="D182" t="str">
            <v/>
          </cell>
          <cell r="E182" t="str">
            <v/>
          </cell>
        </row>
        <row r="183">
          <cell r="D183" t="str">
            <v/>
          </cell>
          <cell r="E183" t="str">
            <v/>
          </cell>
        </row>
        <row r="184">
          <cell r="D184" t="str">
            <v/>
          </cell>
          <cell r="E184" t="str">
            <v/>
          </cell>
        </row>
        <row r="185">
          <cell r="D185" t="str">
            <v/>
          </cell>
          <cell r="E185" t="str">
            <v/>
          </cell>
        </row>
        <row r="186">
          <cell r="D186" t="str">
            <v/>
          </cell>
          <cell r="E186" t="str">
            <v/>
          </cell>
        </row>
        <row r="187">
          <cell r="D187" t="str">
            <v/>
          </cell>
          <cell r="E187" t="str">
            <v/>
          </cell>
        </row>
        <row r="188">
          <cell r="D188" t="str">
            <v>2 Unit</v>
          </cell>
          <cell r="E188">
            <v>194</v>
          </cell>
        </row>
        <row r="191">
          <cell r="D191" t="str">
            <v>상   품   명</v>
          </cell>
          <cell r="E191" t="str">
            <v>GSR
확정수량</v>
          </cell>
        </row>
        <row r="192">
          <cell r="E192" t="str">
            <v/>
          </cell>
        </row>
        <row r="193">
          <cell r="E193" t="str">
            <v/>
          </cell>
        </row>
        <row r="194">
          <cell r="D194" t="str">
            <v/>
          </cell>
          <cell r="E194" t="str">
            <v/>
          </cell>
        </row>
        <row r="195">
          <cell r="D195" t="str">
            <v/>
          </cell>
          <cell r="E195" t="str">
            <v/>
          </cell>
        </row>
        <row r="196">
          <cell r="D196" t="str">
            <v/>
          </cell>
          <cell r="E196" t="str">
            <v/>
          </cell>
        </row>
        <row r="197">
          <cell r="D197" t="str">
            <v/>
          </cell>
          <cell r="E197" t="str">
            <v/>
          </cell>
        </row>
        <row r="198">
          <cell r="D198" t="str">
            <v/>
          </cell>
          <cell r="E198" t="str">
            <v/>
          </cell>
        </row>
        <row r="199">
          <cell r="D199" t="str">
            <v/>
          </cell>
          <cell r="E199" t="str">
            <v/>
          </cell>
        </row>
        <row r="200">
          <cell r="D200" t="str">
            <v/>
          </cell>
          <cell r="E200" t="str">
            <v/>
          </cell>
        </row>
        <row r="201">
          <cell r="D201" t="str">
            <v/>
          </cell>
          <cell r="E201" t="str">
            <v/>
          </cell>
        </row>
        <row r="202">
          <cell r="D202" t="str">
            <v/>
          </cell>
          <cell r="E202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S25"/>
      <sheetName val="수주집계"/>
      <sheetName val="작업지시서 (출하장)"/>
      <sheetName val="작업지시서"/>
      <sheetName val="온라인주문도시락"/>
      <sheetName val="박스"/>
      <sheetName val="김해"/>
      <sheetName val="해인CVS"/>
      <sheetName val="경산2일배"/>
      <sheetName val="경산3일배 "/>
      <sheetName val="진주"/>
      <sheetName val="신광주"/>
      <sheetName val="청주"/>
      <sheetName val="공주"/>
      <sheetName val="익산"/>
      <sheetName val="경산"/>
      <sheetName val="김해2"/>
      <sheetName val="신광주2"/>
      <sheetName val="김해GS슈퍼"/>
      <sheetName val="추가작업지시서"/>
      <sheetName val="김해박스"/>
      <sheetName val="추가발행"/>
      <sheetName val="해인박스"/>
      <sheetName val="경산박스"/>
      <sheetName val="진주박스"/>
      <sheetName val="장성박스"/>
      <sheetName val="익산박스"/>
      <sheetName val="경산일배박스"/>
    </sheetNames>
    <sheetDataSet>
      <sheetData sheetId="0"/>
      <sheetData sheetId="1"/>
      <sheetData sheetId="2"/>
      <sheetData sheetId="3">
        <row r="7">
          <cell r="D7" t="str">
            <v/>
          </cell>
          <cell r="E7" t="str">
            <v/>
          </cell>
        </row>
        <row r="8">
          <cell r="D8" t="str">
            <v>더큰)맥적구이한상</v>
          </cell>
          <cell r="E8">
            <v>472</v>
          </cell>
        </row>
        <row r="9">
          <cell r="D9" t="str">
            <v>더큰)들기름묵은지참치</v>
          </cell>
          <cell r="E9">
            <v>1680</v>
          </cell>
        </row>
        <row r="10">
          <cell r="D10" t="str">
            <v>더큰)리챔참치마요</v>
          </cell>
          <cell r="E10">
            <v>1178</v>
          </cell>
        </row>
        <row r="11">
          <cell r="D11" t="str">
            <v/>
          </cell>
          <cell r="E11" t="str">
            <v/>
          </cell>
        </row>
        <row r="12">
          <cell r="D12" t="str">
            <v>더큰)오징어제육깻잎쌈밥</v>
          </cell>
          <cell r="E12">
            <v>541</v>
          </cell>
        </row>
        <row r="13">
          <cell r="D13" t="str">
            <v>더큰)스팸계란볶음밥</v>
          </cell>
          <cell r="E13">
            <v>1776</v>
          </cell>
        </row>
        <row r="14">
          <cell r="D14" t="str">
            <v/>
          </cell>
          <cell r="E14" t="str">
            <v/>
          </cell>
        </row>
        <row r="15">
          <cell r="D15" t="str">
            <v/>
          </cell>
          <cell r="E15" t="str">
            <v/>
          </cell>
        </row>
        <row r="16">
          <cell r="D16" t="str">
            <v/>
          </cell>
          <cell r="E16" t="str">
            <v/>
          </cell>
        </row>
        <row r="17">
          <cell r="D17" t="str">
            <v/>
          </cell>
          <cell r="E17" t="str">
            <v/>
          </cell>
        </row>
        <row r="18">
          <cell r="D18" t="str">
            <v/>
          </cell>
          <cell r="E18" t="str">
            <v/>
          </cell>
        </row>
        <row r="19">
          <cell r="D19" t="str">
            <v/>
          </cell>
          <cell r="E19" t="str">
            <v/>
          </cell>
        </row>
        <row r="20">
          <cell r="D20" t="str">
            <v/>
          </cell>
          <cell r="E20" t="str">
            <v/>
          </cell>
        </row>
        <row r="21">
          <cell r="D21" t="str">
            <v>더큰)스팸김치볶음밥</v>
          </cell>
          <cell r="E21">
            <v>2128</v>
          </cell>
        </row>
        <row r="22">
          <cell r="D22" t="str">
            <v/>
          </cell>
          <cell r="E22" t="str">
            <v/>
          </cell>
        </row>
        <row r="23">
          <cell r="D23" t="str">
            <v/>
          </cell>
          <cell r="E23" t="str">
            <v/>
          </cell>
        </row>
        <row r="24">
          <cell r="D24" t="str">
            <v/>
          </cell>
          <cell r="E24" t="str">
            <v/>
          </cell>
        </row>
        <row r="25">
          <cell r="D25" t="str">
            <v/>
          </cell>
          <cell r="E25" t="str">
            <v/>
          </cell>
        </row>
        <row r="26">
          <cell r="D26" t="str">
            <v/>
          </cell>
          <cell r="E26" t="str">
            <v/>
          </cell>
        </row>
        <row r="27">
          <cell r="D27" t="str">
            <v/>
          </cell>
          <cell r="E27" t="str">
            <v/>
          </cell>
        </row>
        <row r="28">
          <cell r="D28" t="str">
            <v/>
          </cell>
          <cell r="E28" t="str">
            <v/>
          </cell>
        </row>
        <row r="29">
          <cell r="D29" t="str">
            <v/>
          </cell>
          <cell r="E29" t="str">
            <v/>
          </cell>
        </row>
        <row r="30">
          <cell r="D30" t="str">
            <v>삼각)전주비빔</v>
          </cell>
          <cell r="E30">
            <v>1094</v>
          </cell>
        </row>
        <row r="31">
          <cell r="D31" t="str">
            <v>커플)곱창김참치&amp;비빔밥 파프리카밥</v>
          </cell>
          <cell r="E31">
            <v>1927</v>
          </cell>
        </row>
        <row r="32">
          <cell r="D32" t="str">
            <v>커플)곱창김참치&amp;비빔밥</v>
          </cell>
          <cell r="E32">
            <v>1927</v>
          </cell>
        </row>
        <row r="33">
          <cell r="D33" t="str">
            <v>NEW스팸무스비</v>
          </cell>
          <cell r="E33">
            <v>691</v>
          </cell>
        </row>
        <row r="34">
          <cell r="D34" t="str">
            <v>무스비)햄&amp;참치김치볶음밥</v>
          </cell>
          <cell r="E34">
            <v>392</v>
          </cell>
        </row>
        <row r="35">
          <cell r="D35" t="str">
            <v>무스비)햄&amp;청양불고기</v>
          </cell>
          <cell r="E35">
            <v>149</v>
          </cell>
        </row>
        <row r="36">
          <cell r="E36" t="str">
            <v/>
          </cell>
        </row>
        <row r="37">
          <cell r="D37" t="str">
            <v>12 Unit</v>
          </cell>
          <cell r="E37">
            <v>13955</v>
          </cell>
        </row>
        <row r="40">
          <cell r="D40" t="str">
            <v>상   품   명</v>
          </cell>
          <cell r="E40" t="str">
            <v>GSR
확정수량</v>
          </cell>
        </row>
        <row r="41">
          <cell r="D41" t="str">
            <v>스팸계란치즈김밥</v>
          </cell>
          <cell r="E41">
            <v>437</v>
          </cell>
        </row>
        <row r="42">
          <cell r="D42" t="str">
            <v>넷플)더담은K떡갈비김밥</v>
          </cell>
          <cell r="E42">
            <v>624</v>
          </cell>
        </row>
        <row r="43">
          <cell r="D43" t="str">
            <v>참치김치볶음김밥</v>
          </cell>
          <cell r="E43">
            <v>601</v>
          </cell>
        </row>
        <row r="44">
          <cell r="D44" t="str">
            <v>직화)한돈제육쌈김밥</v>
          </cell>
          <cell r="E44">
            <v>382</v>
          </cell>
        </row>
        <row r="45">
          <cell r="D45" t="str">
            <v>불고기치즈김밥</v>
          </cell>
          <cell r="E45">
            <v>345</v>
          </cell>
        </row>
        <row r="46">
          <cell r="D46" t="str">
            <v>진미채치즈김밥</v>
          </cell>
          <cell r="E46">
            <v>238</v>
          </cell>
        </row>
        <row r="47">
          <cell r="D47" t="str">
            <v>왕돈까스김밥</v>
          </cell>
          <cell r="E47">
            <v>364</v>
          </cell>
        </row>
        <row r="48">
          <cell r="D48" t="str">
            <v>THE근본김밥</v>
          </cell>
          <cell r="E48">
            <v>1183</v>
          </cell>
        </row>
        <row r="49">
          <cell r="D49" t="str">
            <v>더블치즈소시지김밥</v>
          </cell>
          <cell r="E49">
            <v>428</v>
          </cell>
        </row>
        <row r="50">
          <cell r="D50" t="str">
            <v>디핑)시장꼬마김밥</v>
          </cell>
          <cell r="E50">
            <v>209</v>
          </cell>
        </row>
        <row r="51">
          <cell r="D51" t="str">
            <v>디핑)에그햄꼬마김밥</v>
          </cell>
          <cell r="E51">
            <v>1323</v>
          </cell>
        </row>
        <row r="52">
          <cell r="E52" t="str">
            <v/>
          </cell>
        </row>
        <row r="53">
          <cell r="D53" t="str">
            <v/>
          </cell>
          <cell r="E53" t="str">
            <v/>
          </cell>
        </row>
        <row r="54">
          <cell r="D54" t="str">
            <v>11 Unit</v>
          </cell>
          <cell r="E54">
            <v>6134</v>
          </cell>
        </row>
        <row r="56">
          <cell r="D56" t="str">
            <v>상   품   명</v>
          </cell>
          <cell r="E56" t="str">
            <v>GSR
확정수량</v>
          </cell>
        </row>
        <row r="57">
          <cell r="D57" t="str">
            <v>N혜자)불고기오징어제육</v>
          </cell>
          <cell r="E57" t="str">
            <v/>
          </cell>
        </row>
        <row r="58">
          <cell r="D58" t="str">
            <v>혜자)돌아온명불허전</v>
          </cell>
          <cell r="E58">
            <v>856</v>
          </cell>
        </row>
        <row r="59">
          <cell r="D59" t="str">
            <v/>
          </cell>
          <cell r="E59" t="str">
            <v/>
          </cell>
        </row>
        <row r="60">
          <cell r="D60" t="str">
            <v>혜자)돌아온등심돈까스</v>
          </cell>
          <cell r="E60">
            <v>216</v>
          </cell>
        </row>
        <row r="61">
          <cell r="D61" t="str">
            <v>혜자)두툼돈까스&amp;순창제육</v>
          </cell>
          <cell r="E61">
            <v>608</v>
          </cell>
        </row>
        <row r="62">
          <cell r="D62" t="str">
            <v/>
          </cell>
          <cell r="E62" t="str">
            <v/>
          </cell>
        </row>
        <row r="63">
          <cell r="D63" t="str">
            <v/>
          </cell>
          <cell r="E63" t="str">
            <v/>
          </cell>
        </row>
        <row r="64">
          <cell r="D64" t="str">
            <v/>
          </cell>
          <cell r="E64" t="str">
            <v/>
          </cell>
        </row>
        <row r="65">
          <cell r="D65" t="str">
            <v>NEW뭘좋아할지몰라다넣어봤어</v>
          </cell>
          <cell r="E65">
            <v>383</v>
          </cell>
        </row>
        <row r="66">
          <cell r="D66" t="str">
            <v>혜자)반반제육도시락</v>
          </cell>
          <cell r="E66">
            <v>410</v>
          </cell>
        </row>
        <row r="67">
          <cell r="D67" t="str">
            <v>NEW혜자)백설갈비양념제육</v>
          </cell>
          <cell r="E67">
            <v>287</v>
          </cell>
        </row>
        <row r="68">
          <cell r="D68" t="str">
            <v>혜자)두부김치제육</v>
          </cell>
          <cell r="E68">
            <v>544</v>
          </cell>
        </row>
        <row r="69">
          <cell r="D69" t="str">
            <v/>
          </cell>
          <cell r="E69" t="str">
            <v/>
          </cell>
        </row>
        <row r="70">
          <cell r="D70" t="str">
            <v/>
          </cell>
          <cell r="E70" t="str">
            <v/>
          </cell>
        </row>
        <row r="71">
          <cell r="D71" t="str">
            <v/>
          </cell>
          <cell r="E71" t="str">
            <v/>
          </cell>
        </row>
        <row r="72">
          <cell r="D72" t="str">
            <v>혜자)통등심돈까스&amp;치킨까스</v>
          </cell>
          <cell r="E72">
            <v>869</v>
          </cell>
        </row>
        <row r="73">
          <cell r="D73" t="str">
            <v>이달의도시락10월(혜자)</v>
          </cell>
          <cell r="E73">
            <v>197</v>
          </cell>
        </row>
        <row r="74">
          <cell r="D74" t="str">
            <v>10 Unit</v>
          </cell>
          <cell r="E74">
            <v>4370</v>
          </cell>
        </row>
        <row r="76">
          <cell r="D76" t="str">
            <v>(주문)N혜자)불고기오징어제육</v>
          </cell>
          <cell r="E76" t="str">
            <v/>
          </cell>
        </row>
        <row r="77">
          <cell r="D77" t="str">
            <v>(주문)넷플)더담은K떡갈비김밥</v>
          </cell>
          <cell r="E77" t="str">
            <v/>
          </cell>
        </row>
        <row r="78">
          <cell r="D78" t="str">
            <v>(주문)디핑)시장꼬마김밥</v>
          </cell>
          <cell r="E78" t="str">
            <v/>
          </cell>
        </row>
        <row r="79">
          <cell r="D79" t="str">
            <v>(주문)종가)들기름묵은지참치</v>
          </cell>
          <cell r="E79" t="str">
            <v/>
          </cell>
        </row>
        <row r="80">
          <cell r="D80" t="str">
            <v>(주문)더큰)들기름묵은지참치</v>
          </cell>
          <cell r="E80" t="str">
            <v/>
          </cell>
        </row>
        <row r="81">
          <cell r="D81" t="str">
            <v>(주문)디핑)에그햄꼬마김밥</v>
          </cell>
          <cell r="E81" t="str">
            <v/>
          </cell>
        </row>
        <row r="82">
          <cell r="D82" t="str">
            <v>(주문)더큰)닭갈비깻잎쌈밥</v>
          </cell>
          <cell r="E82" t="str">
            <v/>
          </cell>
        </row>
        <row r="83">
          <cell r="D83" t="str">
            <v>(주문)아동더큰스팸김치볶음밥</v>
          </cell>
          <cell r="E83" t="str">
            <v/>
          </cell>
        </row>
        <row r="84">
          <cell r="D84" t="str">
            <v>(주문)커플)곱창김참치&amp;비빔밥</v>
          </cell>
          <cell r="E84" t="str">
            <v/>
          </cell>
        </row>
        <row r="85">
          <cell r="D85" t="str">
            <v>(주문)종가)묵은지김치제육</v>
          </cell>
          <cell r="E85" t="str">
            <v/>
          </cell>
        </row>
        <row r="86">
          <cell r="D86" t="str">
            <v>(주문)더큰)스팸김치볶음밥</v>
          </cell>
          <cell r="E86" t="str">
            <v/>
          </cell>
        </row>
        <row r="87">
          <cell r="D87" t="str">
            <v>(주문)THE근본김밥</v>
          </cell>
          <cell r="E87" t="str">
            <v/>
          </cell>
        </row>
        <row r="88">
          <cell r="D88" t="str">
            <v>(주문)더블치즈소시지김밥</v>
          </cell>
          <cell r="E88" t="str">
            <v/>
          </cell>
        </row>
        <row r="89">
          <cell r="D89" t="str">
            <v/>
          </cell>
          <cell r="E89" t="str">
            <v/>
          </cell>
        </row>
        <row r="90">
          <cell r="D90" t="str">
            <v/>
          </cell>
          <cell r="E90" t="str">
            <v/>
          </cell>
        </row>
        <row r="91">
          <cell r="D91" t="str">
            <v>(주문)혜자)돌아온명불허전</v>
          </cell>
          <cell r="E91" t="str">
            <v/>
          </cell>
        </row>
        <row r="92">
          <cell r="D92" t="str">
            <v>(주문)뭘좋아할지몰라다넣어</v>
          </cell>
          <cell r="E92" t="str">
            <v/>
          </cell>
        </row>
        <row r="93">
          <cell r="D93" t="str">
            <v>(주문)혜자)돌아온등심돈까스</v>
          </cell>
          <cell r="E93" t="str">
            <v/>
          </cell>
        </row>
        <row r="94">
          <cell r="D94" t="str">
            <v/>
          </cell>
          <cell r="E94" t="str">
            <v/>
          </cell>
        </row>
        <row r="95">
          <cell r="D95" t="str">
            <v>(주문)혜자)백설갈비양념제육</v>
          </cell>
          <cell r="E95" t="str">
            <v/>
          </cell>
        </row>
        <row r="96">
          <cell r="D96" t="str">
            <v>(주문)혜자)한돈반반제육</v>
          </cell>
          <cell r="E96" t="str">
            <v/>
          </cell>
        </row>
        <row r="97">
          <cell r="D97" t="str">
            <v>(주문)스팸계란치즈김밥</v>
          </cell>
          <cell r="E97" t="str">
            <v/>
          </cell>
        </row>
        <row r="98">
          <cell r="D98" t="str">
            <v>(주문)왕돈까스김밥</v>
          </cell>
          <cell r="E98" t="str">
            <v/>
          </cell>
        </row>
        <row r="99">
          <cell r="D99" t="str">
            <v/>
          </cell>
          <cell r="E99" t="str">
            <v/>
          </cell>
        </row>
        <row r="100">
          <cell r="D100" t="str">
            <v/>
          </cell>
          <cell r="E100" t="str">
            <v/>
          </cell>
        </row>
        <row r="101">
          <cell r="D101" t="str">
            <v/>
          </cell>
          <cell r="E101" t="str">
            <v/>
          </cell>
        </row>
        <row r="102">
          <cell r="D102" t="str">
            <v/>
          </cell>
          <cell r="E102" t="str">
            <v/>
          </cell>
        </row>
        <row r="103">
          <cell r="D103" t="str">
            <v/>
          </cell>
          <cell r="E103" t="str">
            <v/>
          </cell>
        </row>
        <row r="104">
          <cell r="D104" t="str">
            <v>(주문)더큰)스팸계란볶음밥</v>
          </cell>
          <cell r="E104" t="str">
            <v/>
          </cell>
        </row>
        <row r="105">
          <cell r="D105" t="str">
            <v/>
          </cell>
          <cell r="E105" t="str">
            <v/>
          </cell>
        </row>
        <row r="106">
          <cell r="D106" t="str">
            <v>(주문)불고기치즈김밥</v>
          </cell>
          <cell r="E106" t="str">
            <v/>
          </cell>
        </row>
        <row r="107">
          <cell r="D107" t="str">
            <v>(주문)왕돈까스김밥</v>
          </cell>
          <cell r="E107" t="str">
            <v/>
          </cell>
        </row>
        <row r="108">
          <cell r="D108" t="str">
            <v>(주문)더큰)리챔참치마요</v>
          </cell>
          <cell r="E108" t="str">
            <v/>
          </cell>
        </row>
        <row r="109">
          <cell r="D109" t="str">
            <v>(주문)아동)THE근본김밥</v>
          </cell>
          <cell r="E109" t="str">
            <v/>
          </cell>
        </row>
        <row r="110">
          <cell r="D110" t="str">
            <v>(주문)종가)열무김치말이국수</v>
          </cell>
          <cell r="E110" t="str">
            <v/>
          </cell>
        </row>
        <row r="111">
          <cell r="D111" t="str">
            <v>(주문)NEW혜자)반반제육</v>
          </cell>
          <cell r="E111" t="str">
            <v/>
          </cell>
        </row>
        <row r="112">
          <cell r="D112" t="str">
            <v>(주문)참치김치볶음김밥</v>
          </cell>
          <cell r="E112" t="str">
            <v/>
          </cell>
        </row>
        <row r="113">
          <cell r="D113" t="str">
            <v/>
          </cell>
          <cell r="E113" t="str">
            <v/>
          </cell>
        </row>
        <row r="114">
          <cell r="D114" t="str">
            <v/>
          </cell>
          <cell r="E114" t="str">
            <v/>
          </cell>
        </row>
        <row r="115">
          <cell r="D115" t="str">
            <v/>
          </cell>
          <cell r="E115" t="str">
            <v/>
          </cell>
        </row>
        <row r="116">
          <cell r="D116" t="str">
            <v/>
          </cell>
          <cell r="E116" t="str">
            <v/>
          </cell>
        </row>
        <row r="117">
          <cell r="D117" t="str">
            <v/>
          </cell>
          <cell r="E117" t="str">
            <v/>
          </cell>
        </row>
        <row r="118">
          <cell r="D118" t="str">
            <v/>
          </cell>
          <cell r="E118" t="str">
            <v/>
          </cell>
        </row>
        <row r="119">
          <cell r="D119" t="str">
            <v/>
          </cell>
          <cell r="E119" t="str">
            <v/>
          </cell>
        </row>
        <row r="120">
          <cell r="D120" t="str">
            <v/>
          </cell>
          <cell r="E120" t="str">
            <v/>
          </cell>
        </row>
        <row r="121">
          <cell r="D121" t="str">
            <v/>
          </cell>
          <cell r="E121" t="str">
            <v/>
          </cell>
        </row>
        <row r="122">
          <cell r="D122" t="str">
            <v>(주문)삼각)전주비빔</v>
          </cell>
          <cell r="E122" t="str">
            <v/>
          </cell>
        </row>
        <row r="123">
          <cell r="D123" t="str">
            <v>(주문)이달의도시락10월(혜자)</v>
          </cell>
          <cell r="E123" t="str">
            <v/>
          </cell>
        </row>
        <row r="124">
          <cell r="D124" t="str">
            <v/>
          </cell>
          <cell r="E124" t="str">
            <v/>
          </cell>
        </row>
        <row r="125">
          <cell r="D125" t="str">
            <v/>
          </cell>
          <cell r="E125" t="str">
            <v/>
          </cell>
        </row>
        <row r="126">
          <cell r="D126" t="str">
            <v>(주문)여름보양)매콤양념오리</v>
          </cell>
          <cell r="E126" t="str">
            <v/>
          </cell>
        </row>
        <row r="127">
          <cell r="D127" t="str">
            <v>(주문)종가)열무비빔국수</v>
          </cell>
          <cell r="E127" t="str">
            <v/>
          </cell>
        </row>
        <row r="128">
          <cell r="D128" t="str">
            <v>(주문)더큰)오징어제육깻잎쌈밥</v>
          </cell>
          <cell r="E128" t="str">
            <v/>
          </cell>
        </row>
        <row r="129">
          <cell r="D129" t="str">
            <v/>
          </cell>
          <cell r="E129" t="str">
            <v/>
          </cell>
        </row>
        <row r="130">
          <cell r="D130" t="str">
            <v>(주문)NEW혜자)백설갈비양념제육</v>
          </cell>
          <cell r="E130" t="str">
            <v/>
          </cell>
        </row>
        <row r="131">
          <cell r="D131" t="str">
            <v>(주문)NEW뭘좋아할지몰라다넣어봤어</v>
          </cell>
          <cell r="E131" t="str">
            <v/>
          </cell>
        </row>
        <row r="132">
          <cell r="D132" t="str">
            <v>(주문)혜자)반반제육도시락</v>
          </cell>
          <cell r="E132" t="str">
            <v/>
          </cell>
        </row>
        <row r="133">
          <cell r="D133" t="str">
            <v>(주문)비빔참치우동</v>
          </cell>
          <cell r="E133" t="str">
            <v/>
          </cell>
        </row>
        <row r="134">
          <cell r="D134" t="str">
            <v>(주문)혜자)두부김치제육</v>
          </cell>
          <cell r="E134" t="str">
            <v/>
          </cell>
        </row>
        <row r="135">
          <cell r="D135" t="str">
            <v>(주문)직화)한돈제육쌈김밥</v>
          </cell>
          <cell r="E135" t="str">
            <v/>
          </cell>
        </row>
        <row r="136">
          <cell r="D136" t="str">
            <v>(주문)진미채치즈김밥</v>
          </cell>
          <cell r="E136" t="str">
            <v/>
          </cell>
        </row>
        <row r="137">
          <cell r="D137" t="str">
            <v>(주문)쯔양)매콤흑당치킨골뱅이</v>
          </cell>
          <cell r="E137" t="str">
            <v/>
          </cell>
        </row>
        <row r="138">
          <cell r="D138" t="str">
            <v/>
          </cell>
          <cell r="E138" t="str">
            <v/>
          </cell>
        </row>
        <row r="139">
          <cell r="D139" t="str">
            <v>(주문)근본김밥&amp;순살닭강정</v>
          </cell>
          <cell r="E139" t="str">
            <v/>
          </cell>
        </row>
        <row r="140">
          <cell r="D140" t="str">
            <v>(주문)더큰)스팸계란볶음밥</v>
          </cell>
          <cell r="E140" t="str">
            <v/>
          </cell>
        </row>
        <row r="141">
          <cell r="D141" t="str">
            <v>(주문)더큰)맥적구이한상</v>
          </cell>
          <cell r="E141" t="str">
            <v/>
          </cell>
        </row>
        <row r="142">
          <cell r="D142" t="str">
            <v>44 Unit</v>
          </cell>
          <cell r="E142" t="str">
            <v/>
          </cell>
        </row>
        <row r="145">
          <cell r="D145" t="str">
            <v>상   품   명</v>
          </cell>
          <cell r="E145" t="str">
            <v>GSR
확정수량</v>
          </cell>
        </row>
        <row r="146">
          <cell r="D146" t="str">
            <v>쯔양)매콤흑당치킨&amp;골뱅이</v>
          </cell>
          <cell r="E146" t="str">
            <v/>
          </cell>
        </row>
        <row r="147">
          <cell r="D147" t="str">
            <v/>
          </cell>
          <cell r="E147" t="str">
            <v/>
          </cell>
        </row>
        <row r="148">
          <cell r="D148" t="str">
            <v/>
          </cell>
          <cell r="E148" t="str">
            <v/>
          </cell>
        </row>
        <row r="149">
          <cell r="D149" t="str">
            <v/>
          </cell>
          <cell r="E149" t="str">
            <v/>
          </cell>
        </row>
        <row r="150">
          <cell r="D150" t="str">
            <v/>
          </cell>
          <cell r="E150" t="str">
            <v/>
          </cell>
        </row>
        <row r="151">
          <cell r="D151" t="str">
            <v/>
          </cell>
          <cell r="E151" t="str">
            <v/>
          </cell>
        </row>
        <row r="152">
          <cell r="D152" t="str">
            <v>1 Unit</v>
          </cell>
          <cell r="E152" t="str">
            <v/>
          </cell>
        </row>
        <row r="155">
          <cell r="D155" t="str">
            <v>상   품   명</v>
          </cell>
          <cell r="E155" t="str">
            <v>GSR
확정수량</v>
          </cell>
        </row>
        <row r="156">
          <cell r="D156" t="str">
            <v/>
          </cell>
          <cell r="E156" t="str">
            <v/>
          </cell>
        </row>
        <row r="157">
          <cell r="D157" t="str">
            <v/>
          </cell>
          <cell r="E157" t="str">
            <v/>
          </cell>
        </row>
        <row r="158">
          <cell r="D158" t="str">
            <v/>
          </cell>
          <cell r="E158" t="str">
            <v/>
          </cell>
        </row>
        <row r="159">
          <cell r="D159" t="str">
            <v/>
          </cell>
          <cell r="E159" t="str">
            <v/>
          </cell>
        </row>
        <row r="160">
          <cell r="D160" t="str">
            <v/>
          </cell>
          <cell r="E160" t="str">
            <v/>
          </cell>
        </row>
        <row r="161">
          <cell r="D161" t="str">
            <v/>
          </cell>
          <cell r="E161" t="str">
            <v/>
          </cell>
        </row>
        <row r="162">
          <cell r="D162" t="str">
            <v/>
          </cell>
          <cell r="E162" t="str">
            <v/>
          </cell>
        </row>
        <row r="163">
          <cell r="D163" t="str">
            <v/>
          </cell>
          <cell r="E163" t="str">
            <v/>
          </cell>
        </row>
        <row r="164">
          <cell r="D164" t="str">
            <v/>
          </cell>
          <cell r="E164" t="str">
            <v/>
          </cell>
        </row>
        <row r="165">
          <cell r="D165" t="str">
            <v/>
          </cell>
          <cell r="E165" t="str">
            <v/>
          </cell>
        </row>
        <row r="166">
          <cell r="D166" t="str">
            <v/>
          </cell>
          <cell r="E166" t="str">
            <v/>
          </cell>
        </row>
        <row r="167">
          <cell r="D167" t="str">
            <v/>
          </cell>
          <cell r="E167" t="str">
            <v/>
          </cell>
        </row>
        <row r="168">
          <cell r="D168" t="str">
            <v/>
          </cell>
          <cell r="E168" t="str">
            <v/>
          </cell>
        </row>
        <row r="169">
          <cell r="D169" t="str">
            <v/>
          </cell>
          <cell r="E169" t="str">
            <v/>
          </cell>
        </row>
        <row r="170">
          <cell r="D170" t="str">
            <v/>
          </cell>
          <cell r="E170" t="str">
            <v/>
          </cell>
        </row>
        <row r="171">
          <cell r="D171" t="str">
            <v/>
          </cell>
          <cell r="E171" t="str">
            <v/>
          </cell>
        </row>
        <row r="172">
          <cell r="D172" t="str">
            <v/>
          </cell>
          <cell r="E172" t="str">
            <v/>
          </cell>
        </row>
        <row r="173">
          <cell r="D173" t="str">
            <v/>
          </cell>
          <cell r="E173" t="str">
            <v/>
          </cell>
        </row>
        <row r="174">
          <cell r="D174" t="str">
            <v/>
          </cell>
          <cell r="E174" t="str">
            <v/>
          </cell>
        </row>
        <row r="175">
          <cell r="E175" t="str">
            <v/>
          </cell>
        </row>
        <row r="176">
          <cell r="D176" t="str">
            <v>0 Unit</v>
          </cell>
          <cell r="E176" t="str">
            <v/>
          </cell>
        </row>
        <row r="179">
          <cell r="D179" t="str">
            <v>상   품   명</v>
          </cell>
          <cell r="E179" t="str">
            <v>GSR
확정수량</v>
          </cell>
        </row>
        <row r="180">
          <cell r="D180" t="str">
            <v/>
          </cell>
          <cell r="E180" t="str">
            <v/>
          </cell>
        </row>
        <row r="181">
          <cell r="D181" t="str">
            <v/>
          </cell>
          <cell r="E181" t="str">
            <v/>
          </cell>
        </row>
        <row r="182">
          <cell r="D182" t="str">
            <v/>
          </cell>
          <cell r="E182" t="str">
            <v/>
          </cell>
        </row>
        <row r="183">
          <cell r="D183" t="str">
            <v/>
          </cell>
          <cell r="E183" t="str">
            <v/>
          </cell>
        </row>
        <row r="184">
          <cell r="D184" t="str">
            <v/>
          </cell>
          <cell r="E184" t="str">
            <v/>
          </cell>
        </row>
        <row r="185">
          <cell r="D185" t="str">
            <v/>
          </cell>
          <cell r="E185" t="str">
            <v/>
          </cell>
        </row>
        <row r="186">
          <cell r="D186" t="str">
            <v/>
          </cell>
          <cell r="E186" t="str">
            <v/>
          </cell>
        </row>
        <row r="187">
          <cell r="D187" t="str">
            <v/>
          </cell>
          <cell r="E187" t="str">
            <v/>
          </cell>
        </row>
        <row r="188">
          <cell r="D188" t="str">
            <v/>
          </cell>
          <cell r="E188" t="str">
            <v/>
          </cell>
        </row>
        <row r="189">
          <cell r="D189" t="str">
            <v/>
          </cell>
          <cell r="E189" t="str">
            <v/>
          </cell>
        </row>
        <row r="190">
          <cell r="D190" t="str">
            <v/>
          </cell>
          <cell r="E190" t="str">
            <v/>
          </cell>
        </row>
        <row r="191">
          <cell r="D191" t="str">
            <v/>
          </cell>
          <cell r="E191" t="str">
            <v/>
          </cell>
        </row>
        <row r="192">
          <cell r="D192" t="str">
            <v/>
          </cell>
          <cell r="E192" t="str">
            <v/>
          </cell>
        </row>
        <row r="193">
          <cell r="D193" t="str">
            <v/>
          </cell>
          <cell r="E193" t="str">
            <v/>
          </cell>
        </row>
        <row r="194">
          <cell r="D194" t="str">
            <v/>
          </cell>
          <cell r="E194" t="str">
            <v/>
          </cell>
        </row>
        <row r="195">
          <cell r="D195" t="str">
            <v/>
          </cell>
          <cell r="E195" t="str">
            <v/>
          </cell>
        </row>
        <row r="197">
          <cell r="D197" t="str">
            <v>34 Unit</v>
          </cell>
          <cell r="E197">
            <v>24459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45FE-503D-4448-B80D-985BFD9B932D}">
  <sheetPr codeName="Sheet2">
    <tabColor rgb="FF00B0F0"/>
    <pageSetUpPr fitToPage="1"/>
  </sheetPr>
  <dimension ref="A1:M125"/>
  <sheetViews>
    <sheetView showGridLines="0" tabSelected="1" topLeftCell="A37" zoomScale="85" zoomScaleNormal="85" workbookViewId="0">
      <selection activeCell="B2" sqref="B2:G118"/>
    </sheetView>
  </sheetViews>
  <sheetFormatPr defaultRowHeight="15" customHeight="1"/>
  <cols>
    <col min="1" max="1" width="5" style="44" customWidth="1"/>
    <col min="2" max="2" width="6.625" style="44" customWidth="1"/>
    <col min="3" max="3" width="22.875" style="44" customWidth="1"/>
    <col min="4" max="6" width="10.625" style="44" customWidth="1"/>
    <col min="7" max="7" width="12.5" style="133" customWidth="1"/>
    <col min="8" max="8" width="10.875" style="44" customWidth="1"/>
    <col min="9" max="9" width="25.625" style="44" bestFit="1" customWidth="1"/>
    <col min="10" max="10" width="11.5" style="45" customWidth="1"/>
    <col min="11" max="11" width="11.75" style="44" customWidth="1"/>
    <col min="12" max="13" width="10.625" style="44" customWidth="1"/>
    <col min="14" max="14" width="11.625" bestFit="1" customWidth="1"/>
    <col min="15" max="15" width="29.625" bestFit="1" customWidth="1"/>
    <col min="16" max="16" width="5.875" bestFit="1" customWidth="1"/>
  </cols>
  <sheetData>
    <row r="1" spans="1:13" ht="9.9499999999999993" customHeight="1">
      <c r="A1" s="168"/>
      <c r="B1" s="168"/>
      <c r="C1" s="168"/>
      <c r="D1" s="168"/>
      <c r="E1" s="168"/>
      <c r="F1" s="168"/>
      <c r="G1" s="170"/>
      <c r="H1" s="168"/>
      <c r="I1" s="168"/>
      <c r="J1" s="171"/>
      <c r="K1" s="168"/>
    </row>
    <row r="2" spans="1:13" ht="15" customHeight="1">
      <c r="A2" s="168"/>
      <c r="B2" s="210" t="s">
        <v>77</v>
      </c>
      <c r="C2" s="210"/>
      <c r="D2" s="210"/>
      <c r="E2" s="210"/>
      <c r="F2" s="210"/>
      <c r="G2" s="210"/>
      <c r="H2" s="112"/>
      <c r="I2" s="200"/>
      <c r="J2" s="200"/>
      <c r="K2" s="168"/>
    </row>
    <row r="3" spans="1:13" ht="15" customHeight="1">
      <c r="A3" s="168"/>
      <c r="B3" s="47"/>
      <c r="C3" s="47"/>
      <c r="D3" s="46"/>
      <c r="E3" s="46"/>
      <c r="F3" s="46"/>
      <c r="G3" s="46"/>
      <c r="H3" s="46"/>
      <c r="I3" s="46"/>
      <c r="J3" s="93" t="s">
        <v>76</v>
      </c>
      <c r="K3" s="168"/>
      <c r="L3" s="115"/>
      <c r="M3" s="115" t="s">
        <v>81</v>
      </c>
    </row>
    <row r="4" spans="1:13" ht="15" customHeight="1">
      <c r="A4" s="164"/>
      <c r="B4" s="151" t="s">
        <v>69</v>
      </c>
      <c r="C4" s="149" t="s">
        <v>2</v>
      </c>
      <c r="D4" s="113">
        <f ca="1">TODAY()</f>
        <v>46324</v>
      </c>
      <c r="E4" s="113">
        <f ca="1">D4+1</f>
        <v>46325</v>
      </c>
      <c r="F4" s="113"/>
      <c r="G4" s="88" t="s">
        <v>92</v>
      </c>
      <c r="H4" s="172"/>
      <c r="I4" s="80" t="s">
        <v>82</v>
      </c>
      <c r="J4" s="80" t="s">
        <v>67</v>
      </c>
      <c r="K4" s="80" t="s">
        <v>68</v>
      </c>
      <c r="L4" s="80" t="s">
        <v>91</v>
      </c>
      <c r="M4" s="116" t="s">
        <v>85</v>
      </c>
    </row>
    <row r="5" spans="1:13" ht="15" customHeight="1">
      <c r="A5" s="164"/>
      <c r="B5" s="152"/>
      <c r="C5" s="150"/>
      <c r="D5" s="121" t="s">
        <v>89</v>
      </c>
      <c r="E5" s="122" t="s">
        <v>90</v>
      </c>
      <c r="F5" s="91" t="s">
        <v>72</v>
      </c>
      <c r="G5" s="123"/>
      <c r="H5" s="172"/>
      <c r="J5" s="44"/>
      <c r="L5" s="201"/>
      <c r="M5" s="201"/>
    </row>
    <row r="6" spans="1:13" ht="15" customHeight="1">
      <c r="A6" s="164"/>
      <c r="B6" s="220" t="s">
        <v>48</v>
      </c>
      <c r="C6" s="76" t="s">
        <v>125</v>
      </c>
      <c r="D6" s="117">
        <f>L6</f>
        <v>1583</v>
      </c>
      <c r="E6" s="99">
        <f t="shared" ref="D6:E14" si="0">M6</f>
        <v>1094</v>
      </c>
      <c r="F6" s="119">
        <f t="shared" ref="F6:F9" si="1">D6+E6</f>
        <v>2677</v>
      </c>
      <c r="G6" s="124" t="str">
        <f>IFERROR(F6/#REF!,"")</f>
        <v/>
      </c>
      <c r="H6" s="173"/>
      <c r="I6" s="44" t="s">
        <v>125</v>
      </c>
      <c r="J6" s="44">
        <f>IFERROR(IF(I6="","",SUMIF([1]작업지시서!$D$7:$D$118,"*"&amp;$I6,[1]작업지시서!$E$7:$E$119)),"")</f>
        <v>1583</v>
      </c>
      <c r="K6" s="44">
        <f>IFERROR(IF(I6="","",SUMIF([2]작업지시서!$D$7:$D$123,"*"&amp;$I6,[2]작업지시서!$E$7:$E$123)),"")</f>
        <v>1094</v>
      </c>
      <c r="L6" s="202">
        <f t="shared" ref="L6:M14" si="2">J6</f>
        <v>1583</v>
      </c>
      <c r="M6" s="203">
        <f t="shared" si="2"/>
        <v>1094</v>
      </c>
    </row>
    <row r="7" spans="1:13" ht="15" hidden="1" customHeight="1">
      <c r="A7" s="164"/>
      <c r="B7" s="213"/>
      <c r="C7" s="77"/>
      <c r="D7" s="118" t="str">
        <f t="shared" ref="D7" si="3">L7</f>
        <v/>
      </c>
      <c r="E7" s="104" t="str">
        <f t="shared" ref="E7" si="4">M7</f>
        <v/>
      </c>
      <c r="F7" s="120"/>
      <c r="G7" s="125"/>
      <c r="H7" s="173"/>
      <c r="J7" s="44" t="str">
        <f>IFERROR(IF(I7="","",SUMIF([1]작업지시서!$D$7:$D$118,"*"&amp;$I7,[1]작업지시서!$E$7:$E$119)),"")</f>
        <v/>
      </c>
      <c r="K7" s="44" t="str">
        <f>IFERROR(IF(I7="","",SUMIF([2]작업지시서!$D$7:$D$123,"*"&amp;$I7,[2]작업지시서!$E$7:$E$123)),"")</f>
        <v/>
      </c>
      <c r="L7" s="202" t="str">
        <f t="shared" ref="L7" si="5">J7</f>
        <v/>
      </c>
      <c r="M7" s="203" t="str">
        <f t="shared" ref="M7" si="6">K7</f>
        <v/>
      </c>
    </row>
    <row r="8" spans="1:13" ht="15" hidden="1" customHeight="1">
      <c r="A8" s="164"/>
      <c r="B8" s="213"/>
      <c r="C8" s="77"/>
      <c r="D8" s="118" t="str">
        <f t="shared" si="0"/>
        <v/>
      </c>
      <c r="E8" s="104" t="str">
        <f t="shared" si="0"/>
        <v/>
      </c>
      <c r="F8" s="120"/>
      <c r="G8" s="125"/>
      <c r="H8" s="173"/>
      <c r="J8" s="44" t="str">
        <f>IFERROR(IF(I8="","",SUMIF([1]작업지시서!$D$7:$D$118,"*"&amp;$I8,[1]작업지시서!$E$7:$E$119)),"")</f>
        <v/>
      </c>
      <c r="K8" s="44" t="str">
        <f>IFERROR(IF(I8="","",SUMIF([2]작업지시서!$D$7:$D$123,"*"&amp;$I8,[2]작업지시서!$E$7:$E$123)),"")</f>
        <v/>
      </c>
      <c r="L8" s="202" t="str">
        <f t="shared" si="2"/>
        <v/>
      </c>
      <c r="M8" s="203" t="str">
        <f t="shared" si="2"/>
        <v/>
      </c>
    </row>
    <row r="9" spans="1:13" ht="15" hidden="1" customHeight="1">
      <c r="A9" s="164"/>
      <c r="B9" s="213"/>
      <c r="C9" s="77" t="s">
        <v>121</v>
      </c>
      <c r="D9" s="118">
        <f t="shared" si="0"/>
        <v>0</v>
      </c>
      <c r="E9" s="104">
        <f t="shared" si="0"/>
        <v>0</v>
      </c>
      <c r="F9" s="120">
        <f t="shared" si="1"/>
        <v>0</v>
      </c>
      <c r="G9" s="126"/>
      <c r="H9" s="173"/>
      <c r="I9" s="44" t="s">
        <v>122</v>
      </c>
      <c r="J9" s="44">
        <f>IFERROR(IF(I9="","",SUMIF([1]작업지시서!$D$7:$D$118,"*"&amp;$I9,[1]작업지시서!$E$7:$E$119)),"")</f>
        <v>0</v>
      </c>
      <c r="K9" s="44">
        <f>IFERROR(IF(I9="","",SUMIF([2]작업지시서!$D$7:$D$123,"*"&amp;$I9,[2]작업지시서!$E$7:$E$123)),"")</f>
        <v>0</v>
      </c>
      <c r="L9" s="202">
        <f t="shared" si="2"/>
        <v>0</v>
      </c>
      <c r="M9" s="203">
        <f t="shared" si="2"/>
        <v>0</v>
      </c>
    </row>
    <row r="10" spans="1:13" ht="15" hidden="1" customHeight="1">
      <c r="A10" s="164"/>
      <c r="B10" s="213"/>
      <c r="C10" s="77"/>
      <c r="D10" s="118" t="str">
        <f t="shared" si="0"/>
        <v/>
      </c>
      <c r="E10" s="104" t="str">
        <f t="shared" si="0"/>
        <v/>
      </c>
      <c r="F10" s="120"/>
      <c r="G10" s="127" t="str">
        <f>IFERROR(F10/#REF!,"")</f>
        <v/>
      </c>
      <c r="H10" s="173"/>
      <c r="J10" s="44" t="str">
        <f>IFERROR(IF(I10="","",SUMIF([1]작업지시서!$D$7:$D$118,"*"&amp;$I10,[1]작업지시서!$E$7:$E$119)),"")</f>
        <v/>
      </c>
      <c r="K10" s="44" t="str">
        <f>IFERROR(IF(I10="","",SUMIF([2]작업지시서!$D$7:$D$123,"*"&amp;$I10,[2]작업지시서!$E$7:$E$123)),"")</f>
        <v/>
      </c>
      <c r="L10" s="202" t="str">
        <f t="shared" si="2"/>
        <v/>
      </c>
      <c r="M10" s="203" t="str">
        <f t="shared" si="2"/>
        <v/>
      </c>
    </row>
    <row r="11" spans="1:13" ht="15" hidden="1" customHeight="1">
      <c r="A11" s="164"/>
      <c r="B11" s="213"/>
      <c r="C11" s="77"/>
      <c r="D11" s="118" t="str">
        <f t="shared" si="0"/>
        <v/>
      </c>
      <c r="E11" s="104" t="str">
        <f t="shared" si="0"/>
        <v/>
      </c>
      <c r="F11" s="120"/>
      <c r="G11" s="127" t="str">
        <f>IFERROR(F11/#REF!,"")</f>
        <v/>
      </c>
      <c r="H11" s="173"/>
      <c r="J11" s="44" t="str">
        <f>IFERROR(IF(I11="","",SUMIF([1]작업지시서!$D$7:$D$118,"*"&amp;$I11,[1]작업지시서!$E$7:$E$119)),"")</f>
        <v/>
      </c>
      <c r="K11" s="44" t="str">
        <f>IFERROR(IF(I11="","",SUMIF([2]작업지시서!$D$7:$D$123,"*"&amp;$I11,[2]작업지시서!$E$7:$E$123)),"")</f>
        <v/>
      </c>
      <c r="L11" s="202" t="str">
        <f t="shared" si="2"/>
        <v/>
      </c>
      <c r="M11" s="203" t="str">
        <f t="shared" si="2"/>
        <v/>
      </c>
    </row>
    <row r="12" spans="1:13" ht="15" hidden="1" customHeight="1">
      <c r="A12" s="164"/>
      <c r="B12" s="213"/>
      <c r="C12" s="77"/>
      <c r="D12" s="118" t="str">
        <f t="shared" si="0"/>
        <v/>
      </c>
      <c r="E12" s="104" t="str">
        <f t="shared" si="0"/>
        <v/>
      </c>
      <c r="F12" s="120"/>
      <c r="G12" s="127" t="str">
        <f>IFERROR(F12/#REF!,"")</f>
        <v/>
      </c>
      <c r="H12" s="173"/>
      <c r="J12" s="44" t="str">
        <f>IFERROR(IF(I12="","",SUMIF([1]작업지시서!$D$7:$D$118,""&amp;$I12,[1]작업지시서!$E$7:$E$119)),"")</f>
        <v/>
      </c>
      <c r="K12" s="44" t="str">
        <f>IFERROR(IF(I12="","",SUMIF([2]작업지시서!$D$7:$D$123,"*"&amp;$I12,[2]작업지시서!$E$7:$E$123)),"")</f>
        <v/>
      </c>
      <c r="L12" s="202" t="str">
        <f t="shared" si="2"/>
        <v/>
      </c>
      <c r="M12" s="203" t="str">
        <f t="shared" si="2"/>
        <v/>
      </c>
    </row>
    <row r="13" spans="1:13" ht="15" hidden="1" customHeight="1">
      <c r="A13" s="164"/>
      <c r="B13" s="213"/>
      <c r="C13" s="77"/>
      <c r="D13" s="118" t="str">
        <f t="shared" si="0"/>
        <v/>
      </c>
      <c r="E13" s="104" t="str">
        <f t="shared" si="0"/>
        <v/>
      </c>
      <c r="F13" s="120"/>
      <c r="G13" s="127" t="str">
        <f>IFERROR(F13/#REF!,"")</f>
        <v/>
      </c>
      <c r="H13" s="173"/>
      <c r="J13" s="44" t="str">
        <f>IFERROR(IF(I13="","",SUMIF([1]작업지시서!$D$7:$D$118,""&amp;$I13,[1]작업지시서!$E$7:$E$119)),"")</f>
        <v/>
      </c>
      <c r="K13" s="44" t="str">
        <f>IFERROR(IF(I13="","",SUMIF([2]작업지시서!$D$7:$D$123,"*"&amp;$I13,[2]작업지시서!$E$7:$E$123)),"")</f>
        <v/>
      </c>
      <c r="L13" s="202" t="str">
        <f t="shared" si="2"/>
        <v/>
      </c>
      <c r="M13" s="203" t="str">
        <f t="shared" si="2"/>
        <v/>
      </c>
    </row>
    <row r="14" spans="1:13" ht="15" hidden="1" customHeight="1">
      <c r="A14" s="164"/>
      <c r="B14" s="213"/>
      <c r="C14" s="77"/>
      <c r="D14" s="118" t="str">
        <f t="shared" si="0"/>
        <v/>
      </c>
      <c r="E14" s="104" t="str">
        <f t="shared" si="0"/>
        <v/>
      </c>
      <c r="F14" s="120"/>
      <c r="G14" s="126"/>
      <c r="H14" s="173"/>
      <c r="J14" s="44" t="str">
        <f>IFERROR(IF(I14="","",SUMIF([1]작업지시서!$D$7:$D$118,""&amp;$I14,[1]작업지시서!$E$7:$E$119)),"")</f>
        <v/>
      </c>
      <c r="K14" s="44" t="str">
        <f>IFERROR(IF(I14="","",SUMIF([2]작업지시서!$D$7:$D$123,"*"&amp;$I14,[2]작업지시서!$E$7:$E$123)),"")</f>
        <v/>
      </c>
      <c r="L14" s="202" t="str">
        <f t="shared" si="2"/>
        <v/>
      </c>
      <c r="M14" s="203" t="str">
        <f t="shared" si="2"/>
        <v/>
      </c>
    </row>
    <row r="15" spans="1:13" ht="15" hidden="1" customHeight="1">
      <c r="A15" s="164"/>
      <c r="B15" s="213"/>
      <c r="C15" s="134"/>
      <c r="D15" s="118" t="str">
        <f t="shared" ref="D15:D23" si="7">L15</f>
        <v/>
      </c>
      <c r="E15" s="104" t="str">
        <f t="shared" ref="E15:E23" si="8">M15</f>
        <v/>
      </c>
      <c r="F15" s="120"/>
      <c r="G15" s="126"/>
      <c r="H15" s="173"/>
      <c r="J15" s="44" t="str">
        <f>IFERROR(IF(I15="","",SUMIF([1]작업지시서!$D$7:$D$118,"*"&amp;$I15,[1]작업지시서!$E$7:$E$119)),"")</f>
        <v/>
      </c>
      <c r="K15" s="44" t="str">
        <f>IFERROR(IF(I15="","",SUMIF([2]작업지시서!$D$7:$D$123,"*"&amp;$I15,[2]작업지시서!$E$7:$E$123)),"")</f>
        <v/>
      </c>
      <c r="L15" s="202" t="str">
        <f t="shared" ref="L15:L23" si="9">J15</f>
        <v/>
      </c>
      <c r="M15" s="203" t="str">
        <f t="shared" ref="M15:M23" si="10">K15</f>
        <v/>
      </c>
    </row>
    <row r="16" spans="1:13" s="147" customFormat="1" ht="15" hidden="1" customHeight="1">
      <c r="A16" s="169"/>
      <c r="B16" s="213"/>
      <c r="C16" s="134"/>
      <c r="D16" s="118" t="str">
        <f t="shared" si="7"/>
        <v/>
      </c>
      <c r="E16" s="104" t="str">
        <f t="shared" si="8"/>
        <v/>
      </c>
      <c r="F16" s="120"/>
      <c r="G16" s="136" t="str">
        <f>IFERROR(F16/#REF!,"")</f>
        <v/>
      </c>
      <c r="H16" s="174"/>
      <c r="I16" s="77"/>
      <c r="J16" s="44" t="str">
        <f>IFERROR(IF(I16="","",SUMIF([1]작업지시서!$D$7:$D$118,"*"&amp;$I16,[1]작업지시서!$E$7:$E$119)),"")</f>
        <v/>
      </c>
      <c r="K16" s="44" t="str">
        <f>IFERROR(IF(I16="","",SUMIF([2]작업지시서!$D$7:$D$123,"*"&amp;$I16,[2]작업지시서!$E$7:$E$123)),"")</f>
        <v/>
      </c>
      <c r="L16" s="202" t="str">
        <f t="shared" si="9"/>
        <v/>
      </c>
      <c r="M16" s="203" t="str">
        <f t="shared" si="10"/>
        <v/>
      </c>
    </row>
    <row r="17" spans="1:13" ht="15" hidden="1" customHeight="1">
      <c r="A17" s="164"/>
      <c r="B17" s="213"/>
      <c r="C17" s="134"/>
      <c r="D17" s="118" t="str">
        <f t="shared" si="7"/>
        <v/>
      </c>
      <c r="E17" s="104" t="str">
        <f t="shared" si="8"/>
        <v/>
      </c>
      <c r="F17" s="120"/>
      <c r="G17" s="127" t="str">
        <f>IFERROR(F17/#REF!,"")</f>
        <v/>
      </c>
      <c r="H17" s="173"/>
      <c r="I17" s="77"/>
      <c r="J17" s="44" t="str">
        <f>IFERROR(IF(I17="","",SUMIF([1]작업지시서!$D$7:$D$118,""&amp;$I17,[1]작업지시서!$E$7:$E$119)),"")</f>
        <v/>
      </c>
      <c r="K17" s="44" t="str">
        <f>IFERROR(IF(I17="","",SUMIF([2]작업지시서!$D$7:$D$123,"*"&amp;$I17,[2]작업지시서!$E$7:$E$123)),"")</f>
        <v/>
      </c>
      <c r="L17" s="202" t="str">
        <f t="shared" si="9"/>
        <v/>
      </c>
      <c r="M17" s="203" t="str">
        <f t="shared" si="10"/>
        <v/>
      </c>
    </row>
    <row r="18" spans="1:13" ht="15" hidden="1" customHeight="1">
      <c r="A18" s="164"/>
      <c r="B18" s="213"/>
      <c r="C18" s="146"/>
      <c r="D18" s="137" t="str">
        <f t="shared" ref="D18:E21" si="11">L18</f>
        <v/>
      </c>
      <c r="E18" s="138" t="str">
        <f t="shared" si="11"/>
        <v/>
      </c>
      <c r="F18" s="140"/>
      <c r="G18" s="127" t="str">
        <f>IFERROR(F18/#REF!,"")</f>
        <v/>
      </c>
      <c r="H18" s="173"/>
      <c r="I18" s="77"/>
      <c r="J18" s="44" t="str">
        <f>IFERROR(IF(I18="","",SUMIF([1]작업지시서!$D$7:$D$118,"*"&amp;$I18,[1]작업지시서!$E$7:$E$119)),"")</f>
        <v/>
      </c>
      <c r="K18" s="44" t="str">
        <f>IFERROR(IF(I18="","",SUMIF([2]작업지시서!$D$7:$D$123,"*"&amp;$I18,[2]작업지시서!$E$7:$E$123)),"")</f>
        <v/>
      </c>
      <c r="L18" s="202" t="str">
        <f t="shared" si="9"/>
        <v/>
      </c>
      <c r="M18" s="203" t="str">
        <f t="shared" si="10"/>
        <v/>
      </c>
    </row>
    <row r="19" spans="1:13" ht="15" hidden="1" customHeight="1">
      <c r="A19" s="164"/>
      <c r="B19" s="213"/>
      <c r="C19" s="134"/>
      <c r="D19" s="118" t="str">
        <f t="shared" si="11"/>
        <v/>
      </c>
      <c r="E19" s="104" t="str">
        <f t="shared" si="11"/>
        <v/>
      </c>
      <c r="F19" s="120"/>
      <c r="G19" s="127" t="str">
        <f>IFERROR(F19/#REF!,"")</f>
        <v/>
      </c>
      <c r="H19" s="173"/>
      <c r="I19" s="77"/>
      <c r="J19" s="44" t="str">
        <f>IFERROR(IF(I19="","",SUMIF([1]작업지시서!$D$7:$D$118,"*"&amp;$I19,[1]작업지시서!$E$7:$E$119)),"")</f>
        <v/>
      </c>
      <c r="K19" s="44" t="str">
        <f>IFERROR(IF(I19="","",SUMIF([2]작업지시서!$D$7:$D$123,"*"&amp;$I19,[2]작업지시서!$E$7:$E$123)),"")</f>
        <v/>
      </c>
      <c r="L19" s="202" t="str">
        <f t="shared" ref="L19:M21" si="12">J19</f>
        <v/>
      </c>
      <c r="M19" s="203" t="str">
        <f t="shared" si="12"/>
        <v/>
      </c>
    </row>
    <row r="20" spans="1:13" ht="15" hidden="1" customHeight="1">
      <c r="A20" s="164"/>
      <c r="B20" s="213"/>
      <c r="C20" s="134"/>
      <c r="D20" s="118" t="str">
        <f t="shared" si="11"/>
        <v/>
      </c>
      <c r="E20" s="104" t="str">
        <f t="shared" si="11"/>
        <v/>
      </c>
      <c r="F20" s="120"/>
      <c r="G20" s="127" t="str">
        <f>IFERROR(F20/#REF!,"")</f>
        <v/>
      </c>
      <c r="H20" s="173"/>
      <c r="I20" s="77"/>
      <c r="J20" s="44" t="str">
        <f>IFERROR(IF(I20="","",SUMIF([1]작업지시서!$D$7:$D$118,"*"&amp;$I20,[1]작업지시서!$E$7:$E$119)),"")</f>
        <v/>
      </c>
      <c r="K20" s="44" t="str">
        <f>IFERROR(IF(I20="","",SUMIF([2]작업지시서!$D$7:$D$123,"*"&amp;$I20,[2]작업지시서!$E$7:$E$123)),"")</f>
        <v/>
      </c>
      <c r="L20" s="202" t="str">
        <f t="shared" si="12"/>
        <v/>
      </c>
      <c r="M20" s="203" t="str">
        <f t="shared" si="12"/>
        <v/>
      </c>
    </row>
    <row r="21" spans="1:13" s="114" customFormat="1" ht="15" hidden="1" customHeight="1">
      <c r="A21" s="165"/>
      <c r="B21" s="213"/>
      <c r="C21" s="134"/>
      <c r="D21" s="118" t="str">
        <f t="shared" si="11"/>
        <v/>
      </c>
      <c r="E21" s="104" t="str">
        <f t="shared" si="11"/>
        <v/>
      </c>
      <c r="F21" s="120"/>
      <c r="G21" s="127" t="str">
        <f>IFERROR(F21/#REF!,"")</f>
        <v/>
      </c>
      <c r="H21" s="175"/>
      <c r="I21" s="77"/>
      <c r="J21" s="44" t="str">
        <f>IFERROR(IF(I21="","",SUMIF([1]작업지시서!$D$7:$D$118,"*"&amp;$I21,[1]작업지시서!$E$7:$E$119)),"")</f>
        <v/>
      </c>
      <c r="K21" s="44" t="str">
        <f>IFERROR(IF(I21="","",SUMIF([2]작업지시서!$D$7:$D$123,"*"&amp;$I21,[2]작업지시서!$E$7:$E$123)),"")</f>
        <v/>
      </c>
      <c r="L21" s="202" t="str">
        <f t="shared" si="12"/>
        <v/>
      </c>
      <c r="M21" s="203" t="str">
        <f t="shared" si="12"/>
        <v/>
      </c>
    </row>
    <row r="22" spans="1:13" ht="15" hidden="1" customHeight="1">
      <c r="A22" s="164"/>
      <c r="B22" s="213"/>
      <c r="C22" s="134"/>
      <c r="D22" s="118" t="str">
        <f t="shared" si="7"/>
        <v/>
      </c>
      <c r="E22" s="104" t="str">
        <f t="shared" si="8"/>
        <v/>
      </c>
      <c r="F22" s="120"/>
      <c r="G22" s="127" t="str">
        <f>IFERROR(F22/#REF!,"")</f>
        <v/>
      </c>
      <c r="H22" s="173"/>
      <c r="I22" s="77"/>
      <c r="J22" s="44" t="str">
        <f>IFERROR(IF(I22="","",SUMIF([1]작업지시서!$D$7:$D$118,"*"&amp;$I22,[1]작업지시서!$E$7:$E$119)),"")</f>
        <v/>
      </c>
      <c r="K22" s="44" t="str">
        <f>IFERROR(IF(I22="","",SUMIF([2]작업지시서!$D$7:$D$123,"*"&amp;$I22,[2]작업지시서!$E$7:$E$123)),"")</f>
        <v/>
      </c>
      <c r="L22" s="202" t="str">
        <f t="shared" si="9"/>
        <v/>
      </c>
      <c r="M22" s="203" t="str">
        <f t="shared" si="10"/>
        <v/>
      </c>
    </row>
    <row r="23" spans="1:13" ht="15" hidden="1" customHeight="1">
      <c r="A23" s="164"/>
      <c r="B23" s="213"/>
      <c r="C23" s="134"/>
      <c r="D23" s="118" t="str">
        <f t="shared" si="7"/>
        <v/>
      </c>
      <c r="E23" s="104" t="str">
        <f t="shared" si="8"/>
        <v/>
      </c>
      <c r="F23" s="120"/>
      <c r="G23" s="127" t="str">
        <f>IFERROR(F23/#REF!,"")</f>
        <v/>
      </c>
      <c r="H23" s="173"/>
      <c r="I23" s="77"/>
      <c r="J23" s="44" t="str">
        <f>IFERROR(IF(I23="","",SUMIF([1]작업지시서!$D$7:$D$118,"*"&amp;$I23,[1]작업지시서!$E$7:$E$119)),"")</f>
        <v/>
      </c>
      <c r="K23" s="44" t="str">
        <f>IFERROR(IF(I23="","",SUMIF([2]작업지시서!$D$7:$D$123,"*"&amp;$I23,[2]작업지시서!$E$7:$E$123)),"")</f>
        <v/>
      </c>
      <c r="L23" s="202" t="str">
        <f t="shared" si="9"/>
        <v/>
      </c>
      <c r="M23" s="203" t="str">
        <f t="shared" si="10"/>
        <v/>
      </c>
    </row>
    <row r="24" spans="1:13" s="114" customFormat="1" ht="15" hidden="1" customHeight="1">
      <c r="A24" s="165"/>
      <c r="B24" s="213"/>
      <c r="C24" s="134"/>
      <c r="D24" s="118" t="str">
        <f>L24</f>
        <v/>
      </c>
      <c r="E24" s="104" t="str">
        <f>M24</f>
        <v/>
      </c>
      <c r="F24" s="120"/>
      <c r="G24" s="127" t="str">
        <f>IFERROR(F24/#REF!,"")</f>
        <v/>
      </c>
      <c r="H24" s="175"/>
      <c r="I24" s="77"/>
      <c r="J24" s="44" t="str">
        <f>IFERROR(IF(I24="","",SUMIF([1]작업지시서!$D$7:$D$118,"*"&amp;$I24,[1]작업지시서!$E$7:$E$119)),"")</f>
        <v/>
      </c>
      <c r="K24" s="44" t="str">
        <f>IFERROR(IF(I24="","",SUMIF([2]작업지시서!$D$7:$D$123,"*"&amp;$I24,[2]작업지시서!$E$7:$E$123)),"")</f>
        <v/>
      </c>
      <c r="L24" s="202" t="str">
        <f>J24</f>
        <v/>
      </c>
      <c r="M24" s="203" t="str">
        <f>K24</f>
        <v/>
      </c>
    </row>
    <row r="25" spans="1:13" ht="15" customHeight="1">
      <c r="A25" s="164"/>
      <c r="B25" s="221"/>
      <c r="C25" s="95" t="str">
        <f>B6&amp;" 소계"</f>
        <v>삼각 소계</v>
      </c>
      <c r="D25" s="198">
        <f>SUM(D6:D24)</f>
        <v>1583</v>
      </c>
      <c r="E25" s="198">
        <f>SUM(E6:E24)</f>
        <v>1094</v>
      </c>
      <c r="F25" s="198">
        <f>SUM(F6:F24)</f>
        <v>2677</v>
      </c>
      <c r="G25" s="128" t="str">
        <f>IFERROR(F25/#REF!,"")</f>
        <v/>
      </c>
      <c r="H25" s="173"/>
      <c r="J25" s="44" t="str">
        <f>IFERROR(IF(I25="","",SUMIF([1]작업지시서!$D$7:$D$118,"*"&amp;$I25,[1]작업지시서!$E$7:$E$119)),"")</f>
        <v/>
      </c>
      <c r="K25" s="44" t="str">
        <f>IFERROR(IF(I25="","",SUMIF([2]작업지시서!$D$7:$D$123,"*"&amp;$I25,[2]작업지시서!$E$7:$E$123)),"")</f>
        <v/>
      </c>
      <c r="L25" s="202" t="str">
        <f t="shared" ref="L25:L29" si="13">J25</f>
        <v/>
      </c>
      <c r="M25" s="203" t="str">
        <f t="shared" ref="M25:M29" si="14">K25</f>
        <v/>
      </c>
    </row>
    <row r="26" spans="1:13" ht="15" hidden="1" customHeight="1">
      <c r="A26" s="164"/>
      <c r="B26" s="105"/>
      <c r="C26" s="134"/>
      <c r="D26" s="118" t="str">
        <f t="shared" ref="D26:D42" si="15">L26</f>
        <v/>
      </c>
      <c r="E26" s="104" t="str">
        <f t="shared" ref="E26:E42" si="16">M26</f>
        <v/>
      </c>
      <c r="F26" s="120"/>
      <c r="G26" s="127" t="str">
        <f>IFERROR(F26/#REF!,"")</f>
        <v/>
      </c>
      <c r="H26" s="173"/>
      <c r="J26" s="44" t="str">
        <f>IFERROR(IF(I26="","",SUMIF([1]작업지시서!$D$7:$D$118,"*"&amp;$I26,[1]작업지시서!$E$7:$E$119)),"")</f>
        <v/>
      </c>
      <c r="K26" s="44" t="str">
        <f>IFERROR(IF(I26="","",SUMIF([2]작업지시서!$D$7:$D$123,"*"&amp;$I26,[2]작업지시서!$E$7:$E$123)),"")</f>
        <v/>
      </c>
      <c r="L26" s="202" t="str">
        <f t="shared" si="13"/>
        <v/>
      </c>
      <c r="M26" s="203" t="str">
        <f t="shared" si="14"/>
        <v/>
      </c>
    </row>
    <row r="27" spans="1:13" ht="15" hidden="1" customHeight="1">
      <c r="A27" s="164"/>
      <c r="B27" s="105"/>
      <c r="C27" s="134"/>
      <c r="D27" s="118" t="str">
        <f t="shared" si="15"/>
        <v/>
      </c>
      <c r="E27" s="104" t="str">
        <f t="shared" si="16"/>
        <v/>
      </c>
      <c r="F27" s="120"/>
      <c r="G27" s="127" t="str">
        <f>IFERROR(F27/#REF!,"")</f>
        <v/>
      </c>
      <c r="H27" s="173"/>
      <c r="I27" s="143"/>
      <c r="J27" s="44" t="str">
        <f>IFERROR(IF(I27="","",SUMIF([1]작업지시서!$D$7:$D$118,"*"&amp;$I27,[1]작업지시서!$E$7:$E$119)),"")</f>
        <v/>
      </c>
      <c r="K27" s="44" t="str">
        <f>IFERROR(IF(I27="","",SUMIF([2]작업지시서!$D$7:$D$123,"*"&amp;$I27,[2]작업지시서!$E$7:$E$123)),"")</f>
        <v/>
      </c>
      <c r="L27" s="202" t="str">
        <f t="shared" si="13"/>
        <v/>
      </c>
      <c r="M27" s="203" t="str">
        <f t="shared" si="14"/>
        <v/>
      </c>
    </row>
    <row r="28" spans="1:13" ht="15" hidden="1" customHeight="1">
      <c r="A28" s="164"/>
      <c r="B28" s="105"/>
      <c r="C28" s="134"/>
      <c r="D28" s="118" t="str">
        <f t="shared" si="15"/>
        <v/>
      </c>
      <c r="E28" s="104" t="str">
        <f t="shared" si="16"/>
        <v/>
      </c>
      <c r="F28" s="120"/>
      <c r="G28" s="127" t="str">
        <f>IFERROR(F28/#REF!,"")</f>
        <v/>
      </c>
      <c r="H28" s="173"/>
      <c r="I28" s="143"/>
      <c r="J28" s="44" t="str">
        <f>IFERROR(IF(I28="","",SUMIF([1]작업지시서!$D$7:$D$118,"*"&amp;$I28,[1]작업지시서!$E$7:$E$119)),"")</f>
        <v/>
      </c>
      <c r="K28" s="44" t="str">
        <f>IFERROR(IF(I28="","",SUMIF([2]작업지시서!$D$7:$D$123,"*"&amp;$I28,[2]작업지시서!$E$7:$E$123)),"")</f>
        <v/>
      </c>
      <c r="L28" s="202" t="str">
        <f>J28</f>
        <v/>
      </c>
      <c r="M28" s="203" t="str">
        <f>K28</f>
        <v/>
      </c>
    </row>
    <row r="29" spans="1:13" ht="15" hidden="1" customHeight="1">
      <c r="A29" s="164"/>
      <c r="B29" s="105"/>
      <c r="C29" s="134"/>
      <c r="D29" s="118" t="str">
        <f t="shared" si="15"/>
        <v/>
      </c>
      <c r="E29" s="104" t="str">
        <f t="shared" si="16"/>
        <v/>
      </c>
      <c r="F29" s="120"/>
      <c r="G29" s="127" t="str">
        <f>IFERROR(F29/#REF!,"")</f>
        <v/>
      </c>
      <c r="H29" s="173"/>
      <c r="J29" s="44" t="str">
        <f>IFERROR(IF(I29="","",SUMIF([1]작업지시서!$D$7:$D$118,"*"&amp;$I29,[1]작업지시서!$E$7:$E$119)),"")</f>
        <v/>
      </c>
      <c r="K29" s="44" t="str">
        <f>IFERROR(IF(I29="","",SUMIF([2]작업지시서!$D$7:$D$123,"*"&amp;$I29,[2]작업지시서!$E$7:$E$123)),"")</f>
        <v/>
      </c>
      <c r="L29" s="202" t="str">
        <f t="shared" si="13"/>
        <v/>
      </c>
      <c r="M29" s="203" t="str">
        <f t="shared" si="14"/>
        <v/>
      </c>
    </row>
    <row r="30" spans="1:13" ht="15" hidden="1" customHeight="1">
      <c r="A30" s="164"/>
      <c r="B30" s="105"/>
      <c r="C30" s="134"/>
      <c r="D30" s="118"/>
      <c r="E30" s="104"/>
      <c r="F30" s="120"/>
      <c r="G30" s="127" t="str">
        <f>IFERROR(F30/#REF!,"")</f>
        <v/>
      </c>
      <c r="H30" s="173"/>
      <c r="J30" s="44"/>
      <c r="L30" s="202"/>
      <c r="M30" s="203"/>
    </row>
    <row r="31" spans="1:13" ht="15" hidden="1" customHeight="1">
      <c r="A31" s="164"/>
      <c r="B31" s="105"/>
      <c r="C31" s="134"/>
      <c r="D31" s="118"/>
      <c r="E31" s="104"/>
      <c r="F31" s="120"/>
      <c r="G31" s="127" t="str">
        <f>IFERROR(F31/#REF!,"")</f>
        <v/>
      </c>
      <c r="H31" s="173"/>
      <c r="J31" s="44"/>
      <c r="L31" s="202"/>
      <c r="M31" s="203"/>
    </row>
    <row r="32" spans="1:13" ht="15" customHeight="1">
      <c r="A32" s="164"/>
      <c r="B32" s="218" t="s">
        <v>93</v>
      </c>
      <c r="C32" s="134" t="s">
        <v>52</v>
      </c>
      <c r="D32" s="118">
        <f>L32</f>
        <v>2881</v>
      </c>
      <c r="E32" s="104">
        <f t="shared" si="16"/>
        <v>2128</v>
      </c>
      <c r="F32" s="120">
        <f t="shared" ref="F32:F33" si="17">D32+E32</f>
        <v>5009</v>
      </c>
      <c r="G32" s="127" t="str">
        <f>IFERROR(F32/#REF!,"")</f>
        <v/>
      </c>
      <c r="H32" s="173"/>
      <c r="I32" s="44" t="s">
        <v>116</v>
      </c>
      <c r="J32" s="44">
        <f>IFERROR(IF(I32="","",SUMIF([1]작업지시서!$D$7:$D$118,"*"&amp;$I32,[1]작업지시서!$E$7:$E$119)),"")</f>
        <v>2881</v>
      </c>
      <c r="K32" s="44">
        <f>IFERROR(IF(I32="","",SUMIF([2]작업지시서!$D$7:$D$123,"*"&amp;$I32,[2]작업지시서!$E$7:$E$123)),"")</f>
        <v>2128</v>
      </c>
      <c r="L32" s="202">
        <f t="shared" ref="L32:M37" si="18">J32</f>
        <v>2881</v>
      </c>
      <c r="M32" s="203">
        <f t="shared" si="18"/>
        <v>2128</v>
      </c>
    </row>
    <row r="33" spans="1:13" ht="15" customHeight="1">
      <c r="A33" s="164"/>
      <c r="B33" s="218"/>
      <c r="C33" s="143" t="s">
        <v>123</v>
      </c>
      <c r="D33" s="118">
        <f>L33</f>
        <v>935</v>
      </c>
      <c r="E33" s="104">
        <f t="shared" si="16"/>
        <v>691</v>
      </c>
      <c r="F33" s="120">
        <f t="shared" si="17"/>
        <v>1626</v>
      </c>
      <c r="G33" s="145" t="str">
        <f>IFERROR(F33/#REF!,"")</f>
        <v/>
      </c>
      <c r="H33" s="173"/>
      <c r="I33" s="44" t="s">
        <v>123</v>
      </c>
      <c r="J33" s="44">
        <f>IFERROR(IF(I33="","",SUMIF([1]작업지시서!$D$7:$D$118,"*"&amp;$I33,[1]작업지시서!$E$7:$E$119)),"")</f>
        <v>935</v>
      </c>
      <c r="K33" s="44">
        <f>IFERROR(IF(I33="","",SUMIF([2]작업지시서!$D$7:$D$123,"*"&amp;$I33,[2]작업지시서!$E$7:$E$123)),"")</f>
        <v>691</v>
      </c>
      <c r="L33" s="202">
        <f t="shared" si="18"/>
        <v>935</v>
      </c>
      <c r="M33" s="203">
        <f t="shared" si="18"/>
        <v>691</v>
      </c>
    </row>
    <row r="34" spans="1:13" s="114" customFormat="1" ht="15" customHeight="1">
      <c r="A34" s="165"/>
      <c r="B34" s="218"/>
      <c r="C34" s="143" t="s">
        <v>129</v>
      </c>
      <c r="D34" s="118">
        <f>L34</f>
        <v>458</v>
      </c>
      <c r="E34" s="104">
        <f t="shared" ref="E34" si="19">M34</f>
        <v>392</v>
      </c>
      <c r="F34" s="120">
        <f t="shared" ref="F34:F36" si="20">D34+E34</f>
        <v>850</v>
      </c>
      <c r="G34" s="127" t="str">
        <f>IFERROR(F34/#REF!,"")</f>
        <v/>
      </c>
      <c r="H34" s="175"/>
      <c r="I34" s="44" t="s">
        <v>129</v>
      </c>
      <c r="J34" s="44">
        <f>IFERROR(IF(I34="","",SUMIF([1]작업지시서!$D$7:$D$118,"*"&amp;$I34,[1]작업지시서!$E$7:$E$119)),"")</f>
        <v>458</v>
      </c>
      <c r="K34" s="44">
        <f>IFERROR(IF(I34="","",SUMIF([2]작업지시서!$D$7:$D$123,"*"&amp;$I34,[2]작업지시서!$E$7:$E$123)),"")</f>
        <v>392</v>
      </c>
      <c r="L34" s="202">
        <f t="shared" ref="L34" si="21">J34</f>
        <v>458</v>
      </c>
      <c r="M34" s="203">
        <f t="shared" ref="M34" si="22">K34</f>
        <v>392</v>
      </c>
    </row>
    <row r="35" spans="1:13" ht="15" customHeight="1">
      <c r="A35" s="164"/>
      <c r="B35" s="218"/>
      <c r="C35" s="134" t="s">
        <v>133</v>
      </c>
      <c r="D35" s="118">
        <f t="shared" si="15"/>
        <v>141</v>
      </c>
      <c r="E35" s="104">
        <f t="shared" si="16"/>
        <v>149</v>
      </c>
      <c r="F35" s="120">
        <f t="shared" si="20"/>
        <v>290</v>
      </c>
      <c r="G35" s="127" t="str">
        <f>IFERROR(F35/#REF!,"")</f>
        <v/>
      </c>
      <c r="H35" s="173"/>
      <c r="I35" s="44" t="s">
        <v>133</v>
      </c>
      <c r="J35" s="44">
        <f>IFERROR(IF(I35="","",SUMIF([1]작업지시서!$D$7:$D$118,"*"&amp;$I35,[1]작업지시서!$E$7:$E$119)),"")</f>
        <v>141</v>
      </c>
      <c r="K35" s="44">
        <f>IFERROR(IF(I35="","",SUMIF([2]작업지시서!$D$7:$D$123,"*"&amp;$I35,[2]작업지시서!$E$7:$E$123)),"")</f>
        <v>149</v>
      </c>
      <c r="L35" s="202">
        <f t="shared" si="18"/>
        <v>141</v>
      </c>
      <c r="M35" s="203">
        <f t="shared" si="18"/>
        <v>149</v>
      </c>
    </row>
    <row r="36" spans="1:13" ht="15" customHeight="1">
      <c r="A36" s="164"/>
      <c r="B36" s="218"/>
      <c r="C36" s="134" t="s">
        <v>145</v>
      </c>
      <c r="D36" s="118">
        <f t="shared" si="15"/>
        <v>2430</v>
      </c>
      <c r="E36" s="104">
        <f t="shared" si="16"/>
        <v>1680</v>
      </c>
      <c r="F36" s="120">
        <f t="shared" si="20"/>
        <v>4110</v>
      </c>
      <c r="G36" s="142" t="str">
        <f>IFERROR(F36/#REF!,"")</f>
        <v/>
      </c>
      <c r="H36" s="173"/>
      <c r="I36" s="134" t="s">
        <v>145</v>
      </c>
      <c r="J36" s="44">
        <f>IFERROR(IF(I36="","",SUMIF([1]작업지시서!$D$7:$D$118,"*"&amp;$I36,[1]작업지시서!$E$7:$E$119)),"")</f>
        <v>2430</v>
      </c>
      <c r="K36" s="44">
        <f>IFERROR(IF(I36="","",SUMIF([2]작업지시서!$D$7:$D$123,"*"&amp;$I36,[2]작업지시서!$E$7:$E$123)),"")</f>
        <v>1680</v>
      </c>
      <c r="L36" s="202">
        <f t="shared" si="18"/>
        <v>2430</v>
      </c>
      <c r="M36" s="203">
        <f t="shared" si="18"/>
        <v>1680</v>
      </c>
    </row>
    <row r="37" spans="1:13" ht="15" customHeight="1">
      <c r="A37" s="164"/>
      <c r="B37" s="218"/>
      <c r="C37" s="134" t="s">
        <v>120</v>
      </c>
      <c r="D37" s="118">
        <f t="shared" ref="D37" si="23">L37</f>
        <v>2522</v>
      </c>
      <c r="E37" s="104">
        <f t="shared" ref="E37" si="24">M37</f>
        <v>1776</v>
      </c>
      <c r="F37" s="120">
        <f>D37+E37</f>
        <v>4298</v>
      </c>
      <c r="G37" s="127" t="str">
        <f>IFERROR(F37/#REF!,"")</f>
        <v/>
      </c>
      <c r="H37" s="173"/>
      <c r="I37" s="44" t="s">
        <v>119</v>
      </c>
      <c r="J37" s="44">
        <f>IFERROR(IF(I37="","",SUMIF([1]작업지시서!$D$7:$D$118,"*"&amp;$I37,[1]작업지시서!$E$7:$E$119)),"")</f>
        <v>2522</v>
      </c>
      <c r="K37" s="44">
        <f>IFERROR(IF(I37="","",SUMIF([2]작업지시서!$D$7:$D$123,"*"&amp;$I37,[2]작업지시서!$E$7:$E$123)),"")</f>
        <v>1776</v>
      </c>
      <c r="L37" s="202">
        <f t="shared" si="18"/>
        <v>2522</v>
      </c>
      <c r="M37" s="203">
        <f t="shared" si="18"/>
        <v>1776</v>
      </c>
    </row>
    <row r="38" spans="1:13" ht="15" customHeight="1">
      <c r="A38" s="164"/>
      <c r="B38" s="218"/>
      <c r="C38" s="134" t="s">
        <v>128</v>
      </c>
      <c r="D38" s="118">
        <f t="shared" si="15"/>
        <v>888</v>
      </c>
      <c r="E38" s="104">
        <f t="shared" si="16"/>
        <v>541</v>
      </c>
      <c r="F38" s="120">
        <f>D38+E38</f>
        <v>1429</v>
      </c>
      <c r="G38" s="142" t="str">
        <f>IFERROR(F38/#REF!,"")</f>
        <v/>
      </c>
      <c r="H38" s="173"/>
      <c r="I38" s="44" t="s">
        <v>128</v>
      </c>
      <c r="J38" s="44">
        <f>IFERROR(IF(I38="","",SUMIF([1]작업지시서!$D$7:$D$118,"*"&amp;$I38,[1]작업지시서!$E$7:$E$119)),"")</f>
        <v>888</v>
      </c>
      <c r="K38" s="44">
        <f>IFERROR(IF(I38="","",SUMIF([2]작업지시서!$D$7:$D$123,"*"&amp;$I38,[2]작업지시서!$E$7:$E$123)),"")</f>
        <v>541</v>
      </c>
      <c r="L38" s="202">
        <f t="shared" ref="L38:L41" si="25">J38</f>
        <v>888</v>
      </c>
      <c r="M38" s="203">
        <f t="shared" ref="M38:M41" si="26">K38</f>
        <v>541</v>
      </c>
    </row>
    <row r="39" spans="1:13" ht="15" customHeight="1">
      <c r="A39" s="164"/>
      <c r="B39" s="218"/>
      <c r="C39" s="134" t="s">
        <v>114</v>
      </c>
      <c r="D39" s="118">
        <f t="shared" si="15"/>
        <v>1735</v>
      </c>
      <c r="E39" s="104">
        <f t="shared" si="16"/>
        <v>1178</v>
      </c>
      <c r="F39" s="120">
        <f>D39+E39</f>
        <v>2913</v>
      </c>
      <c r="G39" s="127" t="str">
        <f>IFERROR(F39/#REF!,"")</f>
        <v/>
      </c>
      <c r="H39" s="173"/>
      <c r="I39" s="77" t="s">
        <v>115</v>
      </c>
      <c r="J39" s="44">
        <f>IFERROR(IF(I39="","",SUMIF([1]작업지시서!$D$7:$D$118,"*"&amp;$I39,[1]작업지시서!$E$7:$E$119)),"")</f>
        <v>1735</v>
      </c>
      <c r="K39" s="44">
        <f>IFERROR(IF(I39="","",SUMIF([2]작업지시서!$D$7:$D$123,"*"&amp;$I39,[2]작업지시서!$E$7:$E$123)),"")</f>
        <v>1178</v>
      </c>
      <c r="L39" s="202">
        <f t="shared" si="25"/>
        <v>1735</v>
      </c>
      <c r="M39" s="203">
        <f t="shared" si="26"/>
        <v>1178</v>
      </c>
    </row>
    <row r="40" spans="1:13" ht="15" customHeight="1">
      <c r="A40" s="185"/>
      <c r="B40" s="218"/>
      <c r="C40" s="134" t="s">
        <v>144</v>
      </c>
      <c r="D40" s="118">
        <f t="shared" si="15"/>
        <v>730</v>
      </c>
      <c r="E40" s="104">
        <f t="shared" si="16"/>
        <v>472</v>
      </c>
      <c r="F40" s="120">
        <f>D40+E40</f>
        <v>1202</v>
      </c>
      <c r="G40" s="186" t="str">
        <f>IFERROR(F40/#REF!,"")</f>
        <v/>
      </c>
      <c r="H40" s="187"/>
      <c r="I40" s="134" t="s">
        <v>143</v>
      </c>
      <c r="J40" s="44">
        <f>IFERROR(IF(I40="","",SUMIF([1]작업지시서!$D$7:$D$118,"*"&amp;$I40,[1]작업지시서!$E$7:$E$119)),"")</f>
        <v>730</v>
      </c>
      <c r="K40" s="44">
        <f>IFERROR(IF(I40="","",SUMIF([2]작업지시서!$D$7:$D$123,"*"&amp;$I40,[2]작업지시서!$E$7:$E$123)),"")</f>
        <v>472</v>
      </c>
      <c r="L40" s="202">
        <f t="shared" si="25"/>
        <v>730</v>
      </c>
      <c r="M40" s="203">
        <f t="shared" si="26"/>
        <v>472</v>
      </c>
    </row>
    <row r="41" spans="1:13" ht="15" customHeight="1">
      <c r="A41" s="164"/>
      <c r="B41" s="218"/>
      <c r="C41" s="209" t="s">
        <v>162</v>
      </c>
      <c r="D41" s="118">
        <f t="shared" si="15"/>
        <v>2234</v>
      </c>
      <c r="E41" s="104">
        <f t="shared" si="16"/>
        <v>1927</v>
      </c>
      <c r="F41" s="120">
        <f>D41+E41</f>
        <v>4161</v>
      </c>
      <c r="G41" s="127" t="str">
        <f>IFERROR(F41/#REF!,"")</f>
        <v/>
      </c>
      <c r="H41" s="173"/>
      <c r="I41" s="134" t="s">
        <v>162</v>
      </c>
      <c r="J41" s="44">
        <f>IFERROR(IF(I41="","",SUMIF([1]작업지시서!$D$7:$D$118,"*"&amp;$I41,[1]작업지시서!$E$7:$E$119)),"")</f>
        <v>2234</v>
      </c>
      <c r="K41" s="44">
        <f>IFERROR(IF(I41="","",SUMIF([2]작업지시서!$D$7:$D$123,"*"&amp;$I41,[2]작업지시서!$E$7:$E$123)),"")</f>
        <v>1927</v>
      </c>
      <c r="L41" s="202">
        <f t="shared" si="25"/>
        <v>2234</v>
      </c>
      <c r="M41" s="203">
        <f t="shared" si="26"/>
        <v>1927</v>
      </c>
    </row>
    <row r="42" spans="1:13" ht="15" customHeight="1">
      <c r="A42" s="164"/>
      <c r="B42" s="218"/>
      <c r="C42" s="134"/>
      <c r="D42" s="118" t="str">
        <f t="shared" si="15"/>
        <v/>
      </c>
      <c r="E42" s="104" t="str">
        <f t="shared" si="16"/>
        <v/>
      </c>
      <c r="F42" s="120"/>
      <c r="G42" s="127" t="str">
        <f>IFERROR(F42/#REF!,"")</f>
        <v/>
      </c>
      <c r="H42" s="173"/>
      <c r="I42" s="77"/>
      <c r="J42" s="44" t="str">
        <f>IFERROR(IF(I42="","",SUMIF([1]작업지시서!$D$7:$D$118,"*"&amp;$I42,[1]작업지시서!$E$7:$E$119)),"")</f>
        <v/>
      </c>
      <c r="K42" s="44" t="str">
        <f>IFERROR(IF(I42="","",SUMIF([2]작업지시서!$D$7:$D$123,"*"&amp;$I42,[2]작업지시서!$E$7:$E$123)),"")</f>
        <v/>
      </c>
      <c r="L42" s="202" t="str">
        <f t="shared" ref="L42:L69" si="27">J42</f>
        <v/>
      </c>
      <c r="M42" s="203" t="str">
        <f t="shared" ref="M42:M69" si="28">K42</f>
        <v/>
      </c>
    </row>
    <row r="43" spans="1:13" ht="15.75" customHeight="1">
      <c r="A43" s="164"/>
      <c r="B43" s="219"/>
      <c r="C43" s="154" t="str">
        <f>B6&amp;" 소계"</f>
        <v>삼각 소계</v>
      </c>
      <c r="D43" s="198">
        <f>SUM(D26:D42)</f>
        <v>14954</v>
      </c>
      <c r="E43" s="198">
        <f>SUM(E26:E42)</f>
        <v>10934</v>
      </c>
      <c r="F43" s="198">
        <f>SUM(F26:F42)</f>
        <v>25888</v>
      </c>
      <c r="G43" s="128" t="str">
        <f>IFERROR(F43/#REF!,"")</f>
        <v/>
      </c>
      <c r="H43" s="173"/>
      <c r="J43" s="44" t="str">
        <f>IFERROR(IF(I43="","",SUMIF([1]작업지시서!$D$7:$D$118,"*"&amp;$I43,[1]작업지시서!$E$7:$E$119)),"")</f>
        <v/>
      </c>
      <c r="K43" s="44" t="str">
        <f>IFERROR(IF(I43="","",SUMIF([2]작업지시서!$D$7:$D$123,"*"&amp;$I43,[2]작업지시서!$E$7:$E$123)),"")</f>
        <v/>
      </c>
      <c r="L43" s="202" t="str">
        <f t="shared" si="27"/>
        <v/>
      </c>
      <c r="M43" s="203" t="str">
        <f t="shared" si="28"/>
        <v/>
      </c>
    </row>
    <row r="44" spans="1:13" ht="15" hidden="1" customHeight="1">
      <c r="A44" s="164"/>
      <c r="B44" s="105"/>
      <c r="C44" s="135"/>
      <c r="D44" s="118" t="str">
        <f t="shared" ref="D44:D57" si="29">L44</f>
        <v/>
      </c>
      <c r="E44" s="104" t="str">
        <f t="shared" ref="E44:E57" si="30">M44</f>
        <v/>
      </c>
      <c r="F44" s="119"/>
      <c r="G44" s="125"/>
      <c r="H44" s="173"/>
      <c r="J44" s="44" t="str">
        <f>IFERROR(IF(I44="","",SUMIF([1]작업지시서!$D$7:$D$118,"*"&amp;$I44,[1]작업지시서!$E$7:$E$119)),"")</f>
        <v/>
      </c>
      <c r="K44" s="44" t="str">
        <f>IFERROR(IF(I44="","",SUMIF([2]작업지시서!$D$7:$D$123,"*"&amp;$I44,[2]작업지시서!$E$7:$E$123)),"")</f>
        <v/>
      </c>
      <c r="L44" s="202" t="str">
        <f t="shared" si="27"/>
        <v/>
      </c>
      <c r="M44" s="203" t="str">
        <f t="shared" si="28"/>
        <v/>
      </c>
    </row>
    <row r="45" spans="1:13" ht="15" hidden="1" customHeight="1">
      <c r="A45" s="164"/>
      <c r="B45" s="105" t="s">
        <v>49</v>
      </c>
      <c r="C45" s="134"/>
      <c r="D45" s="118" t="str">
        <f t="shared" si="29"/>
        <v/>
      </c>
      <c r="E45" s="104" t="str">
        <f t="shared" si="30"/>
        <v/>
      </c>
      <c r="F45" s="120"/>
      <c r="G45" s="125"/>
      <c r="H45" s="173"/>
      <c r="J45" s="44" t="str">
        <f>IFERROR(IF(I45="","",SUMIF([1]작업지시서!$D$7:$D$118,"*"&amp;$I45,[1]작업지시서!$E$7:$E$119)),"")</f>
        <v/>
      </c>
      <c r="K45" s="44" t="str">
        <f>IFERROR(IF(I45="","",SUMIF([2]작업지시서!$D$7:$D$123,"*"&amp;$I45,[2]작업지시서!$E$7:$E$123)),"")</f>
        <v/>
      </c>
      <c r="L45" s="202" t="str">
        <f t="shared" si="27"/>
        <v/>
      </c>
      <c r="M45" s="203" t="str">
        <f t="shared" si="28"/>
        <v/>
      </c>
    </row>
    <row r="46" spans="1:13" ht="15" customHeight="1">
      <c r="A46" s="164"/>
      <c r="B46" s="213" t="s">
        <v>108</v>
      </c>
      <c r="C46" s="206" t="s">
        <v>160</v>
      </c>
      <c r="D46" s="155">
        <f t="shared" si="29"/>
        <v>383</v>
      </c>
      <c r="E46" s="156">
        <f t="shared" si="30"/>
        <v>209</v>
      </c>
      <c r="F46" s="157">
        <f t="shared" ref="F46:F57" si="31">D46+E46</f>
        <v>592</v>
      </c>
      <c r="G46" s="145" t="str">
        <f>IFERROR(F46/#REF!,"")</f>
        <v/>
      </c>
      <c r="H46" s="173"/>
      <c r="I46" s="44" t="s">
        <v>148</v>
      </c>
      <c r="J46" s="44">
        <f>IFERROR(IF(I46="","",SUMIF([1]작업지시서!$D$7:$D$118,"*"&amp;$I46,[1]작업지시서!$E$7:$E$119)),"")</f>
        <v>383</v>
      </c>
      <c r="K46" s="44">
        <f>IFERROR(IF(I46="","",SUMIF([2]작업지시서!$D$7:$D$123,"*"&amp;$I46,[2]작업지시서!$E$7:$E$123)),"")</f>
        <v>209</v>
      </c>
      <c r="L46" s="202">
        <f t="shared" si="27"/>
        <v>383</v>
      </c>
      <c r="M46" s="203">
        <f t="shared" si="28"/>
        <v>209</v>
      </c>
    </row>
    <row r="47" spans="1:13" ht="15" customHeight="1">
      <c r="A47" s="164"/>
      <c r="B47" s="213"/>
      <c r="C47" s="208" t="s">
        <v>161</v>
      </c>
      <c r="D47" s="155">
        <f t="shared" ref="D47" si="32">L47</f>
        <v>1565</v>
      </c>
      <c r="E47" s="156">
        <f t="shared" ref="E47" si="33">M47</f>
        <v>1323</v>
      </c>
      <c r="F47" s="157">
        <f t="shared" ref="F47" si="34">D47+E47</f>
        <v>2888</v>
      </c>
      <c r="G47" s="127" t="str">
        <f>IFERROR(F47/#REF!,"")</f>
        <v/>
      </c>
      <c r="H47" s="173"/>
      <c r="I47" s="194" t="s">
        <v>161</v>
      </c>
      <c r="J47" s="44">
        <f>IFERROR(IF(I47="","",SUMIF([1]작업지시서!$D$7:$D$118,"*"&amp;$I47,[1]작업지시서!$E$7:$E$119)),"")</f>
        <v>1565</v>
      </c>
      <c r="K47" s="44">
        <f>IFERROR(IF(I47="","",SUMIF([2]작업지시서!$D$7:$D$123,"*"&amp;$I47,[2]작업지시서!$E$7:$E$123)),"")</f>
        <v>1323</v>
      </c>
      <c r="L47" s="202">
        <f t="shared" ref="L47" si="35">J47</f>
        <v>1565</v>
      </c>
      <c r="M47" s="203">
        <f t="shared" ref="M47" si="36">K47</f>
        <v>1323</v>
      </c>
    </row>
    <row r="48" spans="1:13" ht="15" customHeight="1">
      <c r="A48" s="164"/>
      <c r="B48" s="213"/>
      <c r="C48" s="44" t="s">
        <v>159</v>
      </c>
      <c r="D48" s="155">
        <f t="shared" si="29"/>
        <v>986</v>
      </c>
      <c r="E48" s="156">
        <f t="shared" si="30"/>
        <v>624</v>
      </c>
      <c r="F48" s="157">
        <f t="shared" si="31"/>
        <v>1610</v>
      </c>
      <c r="G48" s="127" t="str">
        <f>IFERROR(F48/#REF!,"")</f>
        <v/>
      </c>
      <c r="H48" s="173"/>
      <c r="I48" s="44" t="s">
        <v>159</v>
      </c>
      <c r="J48" s="44">
        <f>IFERROR(IF(I48="","",SUMIF([1]작업지시서!$D$7:$D$118,"*"&amp;$I48,[1]작업지시서!$E$7:$E$119)),"")</f>
        <v>986</v>
      </c>
      <c r="K48" s="44">
        <f>IFERROR(IF(I48="","",SUMIF([2]작업지시서!$D$7:$D$123,"*"&amp;$I48,[2]작업지시서!$E$7:$E$123)),"")</f>
        <v>624</v>
      </c>
      <c r="L48" s="202">
        <f t="shared" si="27"/>
        <v>986</v>
      </c>
      <c r="M48" s="203">
        <f t="shared" si="28"/>
        <v>624</v>
      </c>
    </row>
    <row r="49" spans="1:13" ht="15" customHeight="1">
      <c r="A49" s="164"/>
      <c r="B49" s="213"/>
      <c r="C49" s="143" t="s">
        <v>113</v>
      </c>
      <c r="D49" s="118">
        <f t="shared" si="29"/>
        <v>559</v>
      </c>
      <c r="E49" s="104">
        <f t="shared" si="30"/>
        <v>364</v>
      </c>
      <c r="F49" s="120">
        <f t="shared" si="31"/>
        <v>923</v>
      </c>
      <c r="G49" s="145" t="str">
        <f>IFERROR(F49/#REF!,"")</f>
        <v/>
      </c>
      <c r="H49" s="173"/>
      <c r="I49" s="44" t="s">
        <v>113</v>
      </c>
      <c r="J49" s="44">
        <f>IFERROR(IF(I49="","",SUMIF([1]작업지시서!$D$7:$D$118,"*"&amp;$I49,[1]작업지시서!$E$7:$E$119)),"")</f>
        <v>559</v>
      </c>
      <c r="K49" s="44">
        <f>IFERROR(IF(I49="","",SUMIF([2]작업지시서!$D$7:$D$123,"*"&amp;$I49,[2]작업지시서!$E$7:$E$123)),"")</f>
        <v>364</v>
      </c>
      <c r="L49" s="202">
        <f t="shared" si="27"/>
        <v>559</v>
      </c>
      <c r="M49" s="203">
        <f t="shared" si="28"/>
        <v>364</v>
      </c>
    </row>
    <row r="50" spans="1:13" ht="15" customHeight="1">
      <c r="A50" s="164"/>
      <c r="B50" s="213"/>
      <c r="C50" s="143" t="s">
        <v>111</v>
      </c>
      <c r="D50" s="118">
        <f t="shared" si="29"/>
        <v>615</v>
      </c>
      <c r="E50" s="104">
        <f t="shared" si="30"/>
        <v>428</v>
      </c>
      <c r="F50" s="120">
        <f t="shared" si="31"/>
        <v>1043</v>
      </c>
      <c r="G50" s="127" t="str">
        <f>IFERROR(F50/#REF!,"")</f>
        <v/>
      </c>
      <c r="H50" s="173"/>
      <c r="I50" s="44" t="s">
        <v>110</v>
      </c>
      <c r="J50" s="44">
        <f>IFERROR(IF(I50="","",SUMIF([1]작업지시서!$D$7:$D$118,"*"&amp;$I50,[1]작업지시서!$E$7:$E$119)),"")</f>
        <v>615</v>
      </c>
      <c r="K50" s="44">
        <f>IFERROR(IF(I50="","",SUMIF([2]작업지시서!$D$7:$D$123,"*"&amp;$I50,[2]작업지시서!$E$7:$E$123)),"")</f>
        <v>428</v>
      </c>
      <c r="L50" s="202">
        <f t="shared" si="27"/>
        <v>615</v>
      </c>
      <c r="M50" s="203">
        <f t="shared" si="28"/>
        <v>428</v>
      </c>
    </row>
    <row r="51" spans="1:13" ht="15" customHeight="1">
      <c r="A51" s="164"/>
      <c r="B51" s="213"/>
      <c r="C51" s="143" t="s">
        <v>127</v>
      </c>
      <c r="D51" s="118">
        <f t="shared" si="29"/>
        <v>858</v>
      </c>
      <c r="E51" s="104">
        <f t="shared" ref="E51" si="37">M51</f>
        <v>601</v>
      </c>
      <c r="F51" s="120">
        <f t="shared" si="31"/>
        <v>1459</v>
      </c>
      <c r="G51" s="141"/>
      <c r="H51" s="172"/>
      <c r="I51" s="44" t="s">
        <v>157</v>
      </c>
      <c r="J51" s="44">
        <f>IFERROR(IF(I51="","",SUMIF([1]작업지시서!$D$7:$D$118,"*"&amp;$I51,[1]작업지시서!$E$7:$E$119)),"")</f>
        <v>858</v>
      </c>
      <c r="K51" s="44">
        <f>IFERROR(IF(I51="","",SUMIF([2]작업지시서!$D$7:$D$123,"*"&amp;$I51,[2]작업지시서!$E$7:$E$123)),"")</f>
        <v>601</v>
      </c>
      <c r="L51" s="202">
        <f t="shared" ref="L51" si="38">J51</f>
        <v>858</v>
      </c>
      <c r="M51" s="203">
        <f t="shared" ref="M51" si="39">K51</f>
        <v>601</v>
      </c>
    </row>
    <row r="52" spans="1:13" ht="15" customHeight="1">
      <c r="A52" s="164"/>
      <c r="B52" s="213"/>
      <c r="C52" s="134" t="s">
        <v>124</v>
      </c>
      <c r="D52" s="118">
        <f t="shared" si="29"/>
        <v>512</v>
      </c>
      <c r="E52" s="104">
        <f t="shared" si="30"/>
        <v>382</v>
      </c>
      <c r="F52" s="120">
        <f t="shared" si="31"/>
        <v>894</v>
      </c>
      <c r="G52" s="127" t="str">
        <f>IFERROR(F52/#REF!,"")</f>
        <v/>
      </c>
      <c r="H52" s="172"/>
      <c r="I52" s="44" t="s">
        <v>147</v>
      </c>
      <c r="J52" s="44">
        <f>IFERROR(IF(I52="","",SUMIF([1]작업지시서!$D$7:$D$118,"*"&amp;$I52,[1]작업지시서!$E$7:$E$119)),"")</f>
        <v>512</v>
      </c>
      <c r="K52" s="44">
        <f>IFERROR(IF(I52="","",SUMIF([2]작업지시서!$D$7:$D$123,"*"&amp;$I52,[2]작업지시서!$E$7:$E$123)),"")</f>
        <v>382</v>
      </c>
      <c r="L52" s="202">
        <f t="shared" si="27"/>
        <v>512</v>
      </c>
      <c r="M52" s="203">
        <f t="shared" si="28"/>
        <v>382</v>
      </c>
    </row>
    <row r="53" spans="1:13" ht="15" customHeight="1">
      <c r="A53" s="164"/>
      <c r="B53" s="213"/>
      <c r="C53" s="134" t="s">
        <v>126</v>
      </c>
      <c r="D53" s="118">
        <f t="shared" si="29"/>
        <v>613</v>
      </c>
      <c r="E53" s="104">
        <f t="shared" si="30"/>
        <v>437</v>
      </c>
      <c r="F53" s="120">
        <f t="shared" si="31"/>
        <v>1050</v>
      </c>
      <c r="G53" s="127" t="str">
        <f>IFERROR(F53/#REF!,"")</f>
        <v/>
      </c>
      <c r="H53" s="172"/>
      <c r="I53" s="77" t="s">
        <v>126</v>
      </c>
      <c r="J53" s="44">
        <f>IFERROR(IF(I53="","",SUMIF([1]작업지시서!$D$7:$D$118,"*"&amp;$I53,[1]작업지시서!$E$7:$E$119)),"")</f>
        <v>613</v>
      </c>
      <c r="K53" s="44">
        <f>IFERROR(IF(I53="","",SUMIF([2]작업지시서!$D$7:$D$123,"*"&amp;$I53,[2]작업지시서!$E$7:$E$123)),"")</f>
        <v>437</v>
      </c>
      <c r="L53" s="202">
        <f t="shared" si="27"/>
        <v>613</v>
      </c>
      <c r="M53" s="203">
        <f t="shared" si="28"/>
        <v>437</v>
      </c>
    </row>
    <row r="54" spans="1:13" ht="15" customHeight="1">
      <c r="A54" s="164"/>
      <c r="B54" s="213"/>
      <c r="C54" s="134" t="s">
        <v>112</v>
      </c>
      <c r="D54" s="118">
        <f t="shared" si="29"/>
        <v>497</v>
      </c>
      <c r="E54" s="104">
        <f t="shared" si="30"/>
        <v>345</v>
      </c>
      <c r="F54" s="120">
        <f t="shared" si="31"/>
        <v>842</v>
      </c>
      <c r="G54" s="127" t="str">
        <f>IFERROR(F54/#REF!,"")</f>
        <v/>
      </c>
      <c r="H54" s="172"/>
      <c r="I54" s="44" t="s">
        <v>112</v>
      </c>
      <c r="J54" s="44">
        <f>IFERROR(IF(I54="","",SUMIF([1]작업지시서!$D$7:$D$118,""&amp;$I54,[1]작업지시서!$E$7:$E$119)),"")</f>
        <v>497</v>
      </c>
      <c r="K54" s="44">
        <f>IFERROR(IF(I54="","",SUMIF([2]작업지시서!$D$7:$D$123,"*"&amp;$I54,[2]작업지시서!$E$7:$E$123)),"")</f>
        <v>345</v>
      </c>
      <c r="L54" s="202">
        <f t="shared" si="27"/>
        <v>497</v>
      </c>
      <c r="M54" s="203">
        <f t="shared" si="28"/>
        <v>345</v>
      </c>
    </row>
    <row r="55" spans="1:13" ht="15" customHeight="1">
      <c r="A55" s="164"/>
      <c r="B55" s="213"/>
      <c r="C55" s="77" t="s">
        <v>138</v>
      </c>
      <c r="D55" s="118">
        <f t="shared" ref="D55" si="40">L55</f>
        <v>353</v>
      </c>
      <c r="E55" s="104">
        <f t="shared" ref="E55" si="41">M55</f>
        <v>238</v>
      </c>
      <c r="F55" s="120">
        <f t="shared" ref="F55" si="42">D55+E55</f>
        <v>591</v>
      </c>
      <c r="G55" s="142"/>
      <c r="H55" s="172"/>
      <c r="I55" s="77" t="s">
        <v>158</v>
      </c>
      <c r="J55" s="44">
        <f>IFERROR(IF(I55="","",SUMIF([1]작업지시서!$D$7:$D$118,"*"&amp;$I55,[1]작업지시서!$E$7:$E$119)),"")</f>
        <v>353</v>
      </c>
      <c r="K55" s="44">
        <f>IFERROR(IF(I55="","",SUMIF([2]작업지시서!$D$7:$D$123,"*"&amp;$I55,[2]작업지시서!$E$7:$E$123)),"")</f>
        <v>238</v>
      </c>
      <c r="L55" s="202">
        <f t="shared" ref="L55" si="43">J55</f>
        <v>353</v>
      </c>
      <c r="M55" s="203">
        <f t="shared" ref="M55" si="44">K55</f>
        <v>238</v>
      </c>
    </row>
    <row r="56" spans="1:13" ht="15" customHeight="1">
      <c r="A56" s="164"/>
      <c r="B56" s="213"/>
      <c r="C56" s="134" t="s">
        <v>109</v>
      </c>
      <c r="D56" s="118">
        <f t="shared" si="29"/>
        <v>1310</v>
      </c>
      <c r="E56" s="104">
        <f t="shared" si="30"/>
        <v>1183</v>
      </c>
      <c r="F56" s="120">
        <f t="shared" si="31"/>
        <v>2493</v>
      </c>
      <c r="G56" s="127" t="str">
        <f>IFERROR(F56/#REF!,"")</f>
        <v/>
      </c>
      <c r="H56" s="172"/>
      <c r="I56" s="44" t="s">
        <v>109</v>
      </c>
      <c r="J56" s="44">
        <f>IFERROR(IF(I56="","",SUMIF([1]작업지시서!$D$7:$D$118,"*"&amp;$I56,[1]작업지시서!$E$7:$E$119)),"")</f>
        <v>1310</v>
      </c>
      <c r="K56" s="44">
        <f>IFERROR(IF(I56="","",SUMIF([2]작업지시서!$D$7:$D$123,"*"&amp;$I56,[2]작업지시서!$E$7:$E$123)),"")</f>
        <v>1183</v>
      </c>
      <c r="L56" s="202">
        <f t="shared" si="27"/>
        <v>1310</v>
      </c>
      <c r="M56" s="203">
        <f t="shared" si="28"/>
        <v>1183</v>
      </c>
    </row>
    <row r="57" spans="1:13" s="191" customFormat="1" ht="15" customHeight="1">
      <c r="A57" s="188"/>
      <c r="B57" s="213"/>
      <c r="C57" s="163" t="s">
        <v>98</v>
      </c>
      <c r="D57" s="195">
        <f t="shared" si="29"/>
        <v>254</v>
      </c>
      <c r="E57" s="196">
        <f t="shared" si="30"/>
        <v>0</v>
      </c>
      <c r="F57" s="197">
        <f t="shared" si="31"/>
        <v>254</v>
      </c>
      <c r="G57" s="189"/>
      <c r="H57" s="190"/>
      <c r="I57" s="134" t="s">
        <v>97</v>
      </c>
      <c r="J57" s="44">
        <f>IFERROR(IF(I57="","",SUMIF([1]작업지시서!$D$7:$D$118,"*"&amp;$I57,[1]작업지시서!$E$7:$E$119)),"")</f>
        <v>254</v>
      </c>
      <c r="K57" s="44">
        <f>IFERROR(IF(I57="","",SUMIF([2]작업지시서!$D$7:$D$123,"*"&amp;$I57,[2]작업지시서!$E$7:$E$123)),"")</f>
        <v>0</v>
      </c>
      <c r="L57" s="202">
        <f t="shared" ref="L57" si="45">J57</f>
        <v>254</v>
      </c>
      <c r="M57" s="203">
        <f t="shared" ref="M57" si="46">K57</f>
        <v>0</v>
      </c>
    </row>
    <row r="58" spans="1:13" s="191" customFormat="1" ht="15" customHeight="1">
      <c r="A58" s="188"/>
      <c r="B58" s="213"/>
      <c r="C58" s="207" t="s">
        <v>99</v>
      </c>
      <c r="D58" s="195">
        <f t="shared" ref="D58" si="47">L58</f>
        <v>200</v>
      </c>
      <c r="E58" s="196">
        <f t="shared" ref="E58" si="48">M58</f>
        <v>0</v>
      </c>
      <c r="F58" s="197">
        <f t="shared" ref="F58" si="49">D58+E58</f>
        <v>200</v>
      </c>
      <c r="G58" s="189"/>
      <c r="H58" s="190"/>
      <c r="I58" s="134" t="s">
        <v>156</v>
      </c>
      <c r="J58" s="44">
        <f>IFERROR(IF(I58="","",SUMIF([1]작업지시서!$D$7:$D$118,"*"&amp;$I58,[1]작업지시서!$E$7:$E$119)),"")</f>
        <v>200</v>
      </c>
      <c r="K58" s="44">
        <f>IFERROR(IF(I58="","",SUMIF([2]작업지시서!$D$7:$D$123,"*"&amp;$I58,[2]작업지시서!$E$7:$E$123)),"")</f>
        <v>0</v>
      </c>
      <c r="L58" s="202">
        <f t="shared" si="27"/>
        <v>200</v>
      </c>
      <c r="M58" s="203">
        <f t="shared" si="28"/>
        <v>0</v>
      </c>
    </row>
    <row r="59" spans="1:13" ht="15" customHeight="1">
      <c r="A59" s="164"/>
      <c r="B59" s="214"/>
      <c r="C59" s="162" t="str">
        <f>B45&amp;" 소계"</f>
        <v>김밥 소계</v>
      </c>
      <c r="D59" s="198">
        <f>SUM(D44:D58)</f>
        <v>8705</v>
      </c>
      <c r="E59" s="199">
        <f>SUM(E45:E58)</f>
        <v>6134</v>
      </c>
      <c r="F59" s="198">
        <f>SUM(F45:F58)</f>
        <v>14839</v>
      </c>
      <c r="G59" s="128" t="str">
        <f>IFERROR(F59/#REF!,"")</f>
        <v/>
      </c>
      <c r="H59" s="172"/>
      <c r="J59" s="44" t="str">
        <f>IFERROR(IF(I59="","",SUMIF([1]작업지시서!$D$7:$D$118,"*"&amp;$I59,[1]작업지시서!$E$7:$E$119)),"")</f>
        <v/>
      </c>
      <c r="K59" s="44" t="str">
        <f>IFERROR(IF(I59="","",SUMIF([2]작업지시서!$D$7:$D$123,"*"&amp;$I59,[2]작업지시서!$E$7:$E$123)),"")</f>
        <v/>
      </c>
      <c r="L59" s="202" t="str">
        <f t="shared" si="27"/>
        <v/>
      </c>
      <c r="M59" s="203" t="str">
        <f t="shared" si="28"/>
        <v/>
      </c>
    </row>
    <row r="60" spans="1:13" ht="15" customHeight="1">
      <c r="A60" s="164"/>
      <c r="B60" s="220" t="s">
        <v>137</v>
      </c>
      <c r="C60" s="135" t="s">
        <v>100</v>
      </c>
      <c r="D60" s="117">
        <f t="shared" ref="D60" si="50">L60</f>
        <v>1102</v>
      </c>
      <c r="E60" s="99">
        <f t="shared" ref="E60" si="51">M60</f>
        <v>856</v>
      </c>
      <c r="F60" s="119">
        <f t="shared" ref="F60" si="52">D60+E60</f>
        <v>1958</v>
      </c>
      <c r="G60" s="125"/>
      <c r="H60" s="172"/>
      <c r="I60" s="44" t="s">
        <v>100</v>
      </c>
      <c r="J60" s="44">
        <f>IFERROR(IF(I60="","",SUMIF([1]작업지시서!$D$7:$D$118,""&amp;$I60,[1]작업지시서!$E$7:$E$119)),"")</f>
        <v>1102</v>
      </c>
      <c r="K60" s="44">
        <f>IFERROR(IF(I60="","",SUMIF([2]작업지시서!$D$7:$D$123,"*"&amp;$I60,[2]작업지시서!$E$7:$E$123)),"")</f>
        <v>856</v>
      </c>
      <c r="L60" s="202">
        <f t="shared" si="27"/>
        <v>1102</v>
      </c>
      <c r="M60" s="203">
        <f t="shared" si="28"/>
        <v>856</v>
      </c>
    </row>
    <row r="61" spans="1:13" ht="16.5" customHeight="1">
      <c r="A61" s="164"/>
      <c r="B61" s="213"/>
      <c r="C61" s="134" t="s">
        <v>154</v>
      </c>
      <c r="D61" s="118">
        <f t="shared" ref="D61" si="53">L61</f>
        <v>242</v>
      </c>
      <c r="E61" s="104">
        <f t="shared" ref="E61" si="54">M61</f>
        <v>197</v>
      </c>
      <c r="F61" s="120">
        <f t="shared" ref="F61" si="55">D61+E61</f>
        <v>439</v>
      </c>
      <c r="G61" s="141"/>
      <c r="H61" s="172"/>
      <c r="I61" s="44" t="s">
        <v>146</v>
      </c>
      <c r="J61" s="44">
        <f>IFERROR(IF(I61="","",SUMIF([1]작업지시서!$D$7:$D$118,""&amp;$I61,[1]작업지시서!$E$7:$E$119)),"")</f>
        <v>242</v>
      </c>
      <c r="K61" s="44">
        <f>IFERROR(IF(I61="","",SUMIF([2]작업지시서!$D$7:$D$123,"*"&amp;$I61,[2]작업지시서!$E$7:$E$123)),"")</f>
        <v>197</v>
      </c>
      <c r="L61" s="202">
        <f t="shared" ref="L61" si="56">J61</f>
        <v>242</v>
      </c>
      <c r="M61" s="203">
        <f t="shared" ref="M61" si="57">K61</f>
        <v>197</v>
      </c>
    </row>
    <row r="62" spans="1:13" ht="15" customHeight="1">
      <c r="A62" s="164"/>
      <c r="B62" s="213"/>
      <c r="C62" s="134" t="s">
        <v>142</v>
      </c>
      <c r="D62" s="118">
        <f t="shared" ref="D62" si="58">L62</f>
        <v>1297</v>
      </c>
      <c r="E62" s="104">
        <f t="shared" ref="E62" si="59">M62</f>
        <v>869</v>
      </c>
      <c r="F62" s="120">
        <f t="shared" ref="F62:F63" si="60">D62+E62</f>
        <v>2166</v>
      </c>
      <c r="G62" s="141"/>
      <c r="H62" s="172"/>
      <c r="I62" s="44" t="s">
        <v>153</v>
      </c>
      <c r="J62" s="44">
        <f>IFERROR(IF(I62="","",SUMIF([1]작업지시서!$D$7:$D$118,""&amp;$I62,[1]작업지시서!$E$7:$E$119)),"")</f>
        <v>1297</v>
      </c>
      <c r="K62" s="44">
        <f>IFERROR(IF(I62="","",SUMIF([2]작업지시서!$D$7:$D$123,"*"&amp;$I62,[2]작업지시서!$E$7:$E$123)),"")</f>
        <v>869</v>
      </c>
      <c r="L62" s="202">
        <f t="shared" ref="L62" si="61">J62</f>
        <v>1297</v>
      </c>
      <c r="M62" s="203">
        <f t="shared" ref="M62" si="62">K62</f>
        <v>869</v>
      </c>
    </row>
    <row r="63" spans="1:13" ht="15" customHeight="1">
      <c r="A63" s="164"/>
      <c r="B63" s="213"/>
      <c r="C63" s="77" t="s">
        <v>155</v>
      </c>
      <c r="D63" s="118">
        <f t="shared" ref="D63" si="63">L63</f>
        <v>460</v>
      </c>
      <c r="E63" s="104">
        <f t="shared" ref="E63:E69" si="64">M63</f>
        <v>287</v>
      </c>
      <c r="F63" s="120">
        <f t="shared" si="60"/>
        <v>747</v>
      </c>
      <c r="G63" s="141"/>
      <c r="H63" s="172"/>
      <c r="I63" s="44" t="s">
        <v>149</v>
      </c>
      <c r="J63" s="44">
        <f>IFERROR(IF(I63="","",SUMIF([1]작업지시서!$D$7:$D$118,""&amp;$I63,[1]작업지시서!$E$7:$E$119)),"")</f>
        <v>460</v>
      </c>
      <c r="K63" s="44">
        <f>IFERROR(IF(I63="","",SUMIF([2]작업지시서!$D$7:$D$123,"*"&amp;$I63,[2]작업지시서!$E$7:$E$123)),"")</f>
        <v>287</v>
      </c>
      <c r="L63" s="202">
        <f t="shared" si="27"/>
        <v>460</v>
      </c>
      <c r="M63" s="203">
        <f t="shared" si="28"/>
        <v>287</v>
      </c>
    </row>
    <row r="64" spans="1:13" ht="15" customHeight="1">
      <c r="A64" s="164"/>
      <c r="B64" s="213"/>
      <c r="C64" s="77" t="s">
        <v>141</v>
      </c>
      <c r="D64" s="118">
        <f t="shared" ref="D64" si="65">L64</f>
        <v>925</v>
      </c>
      <c r="E64" s="104">
        <f t="shared" ref="E64" si="66">M64</f>
        <v>608</v>
      </c>
      <c r="F64" s="120">
        <f t="shared" ref="F64" si="67">D64+E64</f>
        <v>1533</v>
      </c>
      <c r="G64" s="141"/>
      <c r="H64" s="172"/>
      <c r="I64" s="44" t="s">
        <v>140</v>
      </c>
      <c r="J64" s="44">
        <f>IFERROR(IF(I64="","",SUMIF([1]작업지시서!$D$7:$D$118,"*"&amp;$I64,[1]작업지시서!$E$7:$E$119)),"")</f>
        <v>925</v>
      </c>
      <c r="K64" s="44">
        <f>IFERROR(IF(I64="","",SUMIF([2]작업지시서!$D$7:$D$123,"*"&amp;$I64,[2]작업지시서!$E$7:$E$123)),"")</f>
        <v>608</v>
      </c>
      <c r="L64" s="202">
        <f t="shared" ref="L64" si="68">J64</f>
        <v>925</v>
      </c>
      <c r="M64" s="203">
        <f t="shared" ref="M64" si="69">K64</f>
        <v>608</v>
      </c>
    </row>
    <row r="65" spans="1:13" ht="15" hidden="1" customHeight="1">
      <c r="A65" s="164"/>
      <c r="B65" s="213"/>
      <c r="C65" s="193"/>
      <c r="D65" s="118"/>
      <c r="E65" s="104"/>
      <c r="F65" s="120"/>
      <c r="G65" s="141"/>
      <c r="H65" s="172"/>
      <c r="I65" s="193"/>
      <c r="J65" s="44"/>
      <c r="L65" s="202"/>
      <c r="M65" s="203"/>
    </row>
    <row r="66" spans="1:13" ht="15" customHeight="1">
      <c r="A66" s="164"/>
      <c r="B66" s="213"/>
      <c r="C66" s="134" t="s">
        <v>96</v>
      </c>
      <c r="D66" s="118">
        <f t="shared" ref="D66:D69" si="70">L66</f>
        <v>379</v>
      </c>
      <c r="E66" s="104">
        <f t="shared" si="64"/>
        <v>216</v>
      </c>
      <c r="F66" s="120">
        <f>D66+E66</f>
        <v>595</v>
      </c>
      <c r="G66" s="141"/>
      <c r="H66" s="172"/>
      <c r="I66" s="44" t="s">
        <v>95</v>
      </c>
      <c r="J66" s="44">
        <f>IFERROR(IF(I66="","",SUMIF([1]작업지시서!$D$7:$D$118,""&amp;$I66,[1]작업지시서!$E$7:$E$119)),"")</f>
        <v>379</v>
      </c>
      <c r="K66" s="44">
        <f>IFERROR(IF(I66="","",SUMIF([2]작업지시서!$D$7:$D$123,"*"&amp;$I66,[2]작업지시서!$E$7:$E$123)),"")</f>
        <v>216</v>
      </c>
      <c r="L66" s="202">
        <f t="shared" si="27"/>
        <v>379</v>
      </c>
      <c r="M66" s="203">
        <f t="shared" si="28"/>
        <v>216</v>
      </c>
    </row>
    <row r="67" spans="1:13" ht="15" customHeight="1">
      <c r="A67" s="164"/>
      <c r="B67" s="213"/>
      <c r="C67" s="134" t="s">
        <v>106</v>
      </c>
      <c r="D67" s="118">
        <f t="shared" si="70"/>
        <v>0</v>
      </c>
      <c r="E67" s="104">
        <f t="shared" si="64"/>
        <v>0</v>
      </c>
      <c r="F67" s="120">
        <f>D67+E67</f>
        <v>0</v>
      </c>
      <c r="G67" s="141"/>
      <c r="H67" s="172"/>
      <c r="I67" s="77" t="s">
        <v>106</v>
      </c>
      <c r="J67" s="44">
        <f>IFERROR(IF(I67="","",SUMIF([1]작업지시서!$D$7:$D$118,""&amp;$I67,[1]작업지시서!$E$7:$E$119)),"")</f>
        <v>0</v>
      </c>
      <c r="K67" s="44">
        <f>IFERROR(IF(I67="","",SUMIF([2]작업지시서!$D$7:$D$123,"*"&amp;$I67,[2]작업지시서!$E$7:$E$123)),"")</f>
        <v>0</v>
      </c>
      <c r="L67" s="202">
        <f t="shared" si="27"/>
        <v>0</v>
      </c>
      <c r="M67" s="203">
        <f t="shared" si="28"/>
        <v>0</v>
      </c>
    </row>
    <row r="68" spans="1:13" ht="15" customHeight="1">
      <c r="A68" s="164"/>
      <c r="B68" s="213"/>
      <c r="C68" s="134" t="s">
        <v>135</v>
      </c>
      <c r="D68" s="118">
        <f t="shared" si="70"/>
        <v>568</v>
      </c>
      <c r="E68" s="104">
        <f t="shared" si="64"/>
        <v>383</v>
      </c>
      <c r="F68" s="120">
        <f t="shared" ref="F68:F69" si="71">D68+E68</f>
        <v>951</v>
      </c>
      <c r="G68" s="141"/>
      <c r="H68" s="172"/>
      <c r="I68" s="134" t="s">
        <v>150</v>
      </c>
      <c r="J68" s="44">
        <f>IFERROR(IF(I68="","",SUMIF([1]작업지시서!$D$7:$D$118,"*"&amp;$I68,[1]작업지시서!$E$7:$E$119)),"")</f>
        <v>568</v>
      </c>
      <c r="K68" s="44">
        <f>IFERROR(IF(I68="","",SUMIF([2]작업지시서!$D$7:$D$123,"*"&amp;$I68,[2]작업지시서!$E$7:$E$123)),"")</f>
        <v>383</v>
      </c>
      <c r="L68" s="202">
        <f t="shared" si="27"/>
        <v>568</v>
      </c>
      <c r="M68" s="203">
        <f t="shared" si="28"/>
        <v>383</v>
      </c>
    </row>
    <row r="69" spans="1:13" ht="15" customHeight="1">
      <c r="A69" s="164"/>
      <c r="B69" s="213"/>
      <c r="C69" s="134" t="s">
        <v>134</v>
      </c>
      <c r="D69" s="118">
        <f t="shared" si="70"/>
        <v>731</v>
      </c>
      <c r="E69" s="104">
        <f t="shared" si="64"/>
        <v>410</v>
      </c>
      <c r="F69" s="120">
        <f t="shared" si="71"/>
        <v>1141</v>
      </c>
      <c r="G69" s="158"/>
      <c r="H69" s="172"/>
      <c r="I69" s="134" t="s">
        <v>151</v>
      </c>
      <c r="J69" s="44">
        <f>IFERROR(IF(I69="","",SUMIF([1]작업지시서!$D$7:$D$118,"*"&amp;$I69,[1]작업지시서!$E$7:$E$119)),"")</f>
        <v>731</v>
      </c>
      <c r="K69" s="44">
        <f>IFERROR(IF(I69="","",SUMIF([2]작업지시서!$D$7:$D$123,"*"&amp;$I69,[2]작업지시서!$E$7:$E$123)),"")</f>
        <v>410</v>
      </c>
      <c r="L69" s="202">
        <f t="shared" si="27"/>
        <v>731</v>
      </c>
      <c r="M69" s="203">
        <f t="shared" si="28"/>
        <v>410</v>
      </c>
    </row>
    <row r="70" spans="1:13" ht="15" customHeight="1">
      <c r="A70" s="164"/>
      <c r="B70" s="213"/>
      <c r="C70" s="134" t="s">
        <v>136</v>
      </c>
      <c r="D70" s="118">
        <f t="shared" ref="D70:D72" si="72">L70</f>
        <v>817</v>
      </c>
      <c r="E70" s="104">
        <f t="shared" ref="E70:E72" si="73">M70</f>
        <v>544</v>
      </c>
      <c r="F70" s="120">
        <f t="shared" ref="F70:F71" si="74">D70+E70</f>
        <v>1361</v>
      </c>
      <c r="G70" s="141"/>
      <c r="H70" s="172"/>
      <c r="I70" s="77" t="s">
        <v>152</v>
      </c>
      <c r="J70" s="44">
        <f>IFERROR(IF(I70="","",SUMIF([1]작업지시서!$D$7:$D$118,""&amp;$I70,[1]작업지시서!$E$7:$E$119)),"")</f>
        <v>817</v>
      </c>
      <c r="K70" s="44">
        <f>IFERROR(IF(I70="","",SUMIF([2]작업지시서!$D$7:$D$123,"*"&amp;$I70,[2]작업지시서!$E$7:$E$123)),"")</f>
        <v>544</v>
      </c>
      <c r="L70" s="202">
        <f t="shared" ref="L70:L86" si="75">J70</f>
        <v>817</v>
      </c>
      <c r="M70" s="203">
        <f t="shared" ref="M70:M86" si="76">K70</f>
        <v>544</v>
      </c>
    </row>
    <row r="71" spans="1:13" s="192" customFormat="1" ht="14.25" customHeight="1">
      <c r="A71" s="164"/>
      <c r="B71" s="213"/>
      <c r="C71" s="163" t="s">
        <v>105</v>
      </c>
      <c r="D71" s="195">
        <f t="shared" ref="D71" si="77">L71</f>
        <v>60</v>
      </c>
      <c r="E71" s="196">
        <f>M71</f>
        <v>0</v>
      </c>
      <c r="F71" s="197">
        <f t="shared" si="74"/>
        <v>60</v>
      </c>
      <c r="G71" s="141"/>
      <c r="H71" s="172"/>
      <c r="I71" s="134" t="s">
        <v>104</v>
      </c>
      <c r="J71" s="44">
        <f>IFERROR(IF(I71="","",SUMIF([1]작업지시서!$D$7:$D$118,"*"&amp;$I71,[1]작업지시서!$E$7:$E$119)),"")</f>
        <v>60</v>
      </c>
      <c r="K71" s="44">
        <f>IFERROR(IF(I71="","",SUMIF([2]작업지시서!$D$7:$D$123,"*"&amp;$I71,[2]작업지시서!$E$7:$E$123)),"")</f>
        <v>0</v>
      </c>
      <c r="L71" s="202">
        <f t="shared" si="75"/>
        <v>60</v>
      </c>
      <c r="M71" s="203">
        <f>K71</f>
        <v>0</v>
      </c>
    </row>
    <row r="72" spans="1:13" s="192" customFormat="1" ht="14.25" customHeight="1">
      <c r="A72" s="164"/>
      <c r="B72" s="213"/>
      <c r="C72" s="163" t="s">
        <v>118</v>
      </c>
      <c r="D72" s="195">
        <f t="shared" si="72"/>
        <v>23</v>
      </c>
      <c r="E72" s="196">
        <f t="shared" si="73"/>
        <v>0</v>
      </c>
      <c r="F72" s="197">
        <f t="shared" ref="F72" si="78">D72+E72</f>
        <v>23</v>
      </c>
      <c r="G72" s="141"/>
      <c r="H72" s="172"/>
      <c r="I72" s="134" t="s">
        <v>117</v>
      </c>
      <c r="J72" s="44">
        <f>IFERROR(IF(I72="","",SUMIF([1]작업지시서!$D$7:$D$118,"*"&amp;$I72,[1]작업지시서!$E$7:$E$119)),"")</f>
        <v>23</v>
      </c>
      <c r="K72" s="44">
        <f>IFERROR(IF(I72="","",SUMIF([2]작업지시서!$D$7:$D$123,"*"&amp;$I72,[2]작업지시서!$E$7:$E$123)),"")</f>
        <v>0</v>
      </c>
      <c r="L72" s="202">
        <f t="shared" ref="L72" si="79">J72</f>
        <v>23</v>
      </c>
      <c r="M72" s="203">
        <f t="shared" ref="M72" si="80">K72</f>
        <v>0</v>
      </c>
    </row>
    <row r="73" spans="1:13" ht="15" customHeight="1">
      <c r="A73" s="164"/>
      <c r="B73" s="214"/>
      <c r="C73" s="162" t="str">
        <f>B60&amp;" 소계"</f>
        <v>도시락 소계</v>
      </c>
      <c r="D73" s="198">
        <f>SUM(D60:D72)</f>
        <v>6604</v>
      </c>
      <c r="E73" s="198">
        <f>SUM(E60:E72)</f>
        <v>4370</v>
      </c>
      <c r="F73" s="198">
        <f>SUM(F60:F72)</f>
        <v>10974</v>
      </c>
      <c r="G73" s="159" t="str">
        <f>IFERROR(F73/#REF!,"")</f>
        <v/>
      </c>
      <c r="H73" s="172"/>
      <c r="J73" s="44" t="str">
        <f>IFERROR(IF(I73="","",SUMIF([1]작업지시서!$D$7:$D$118,"*"&amp;$I73,[1]작업지시서!$E$7:$E$119)),"")</f>
        <v/>
      </c>
      <c r="K73" s="44" t="str">
        <f>IFERROR(IF(I73="","",SUMIF([2]작업지시서!$D$7:$D$123,"*"&amp;$I73,[2]작업지시서!$E$7:$E$123)),"")</f>
        <v/>
      </c>
      <c r="L73" s="202" t="str">
        <f t="shared" si="75"/>
        <v/>
      </c>
      <c r="M73" s="203" t="str">
        <f t="shared" si="76"/>
        <v/>
      </c>
    </row>
    <row r="74" spans="1:13" ht="15" hidden="1" customHeight="1">
      <c r="A74" s="164"/>
      <c r="B74" s="148"/>
      <c r="C74" s="135"/>
      <c r="D74" s="118" t="str">
        <f t="shared" ref="D74" si="81">L74</f>
        <v/>
      </c>
      <c r="E74" s="104" t="str">
        <f t="shared" ref="E74" si="82">M74</f>
        <v/>
      </c>
      <c r="F74" s="120"/>
      <c r="G74" s="160" t="str">
        <f>IFERROR(F74/#REF!,"")</f>
        <v/>
      </c>
      <c r="H74" s="172"/>
      <c r="J74" s="44" t="str">
        <f>IFERROR(IF(I74="","",SUMIF([1]작업지시서!$D$7:$D$199,""&amp;$I74,[1]작업지시서!$E$7:$E$199)),"")</f>
        <v/>
      </c>
      <c r="K74" s="44" t="str">
        <f>IFERROR(IF(I74="","",SUMIF([2]작업지시서!$D$7:$D$189,"*"&amp;$I74,[2]작업지시서!$E$7:$E$189)),"")</f>
        <v/>
      </c>
      <c r="L74" s="202" t="str">
        <f t="shared" ref="L74" si="83">J74</f>
        <v/>
      </c>
      <c r="M74" s="203" t="str">
        <f t="shared" ref="M74" si="84">K74</f>
        <v/>
      </c>
    </row>
    <row r="75" spans="1:13" ht="15" hidden="1" customHeight="1">
      <c r="A75" s="164"/>
      <c r="B75" s="105" t="s">
        <v>94</v>
      </c>
      <c r="C75" s="134"/>
      <c r="D75" s="118" t="str">
        <f t="shared" ref="D75:E79" si="85">L75</f>
        <v/>
      </c>
      <c r="E75" s="104" t="str">
        <f t="shared" si="85"/>
        <v/>
      </c>
      <c r="F75" s="120"/>
      <c r="G75" s="142" t="str">
        <f>IFERROR(F75/#REF!,"")</f>
        <v/>
      </c>
      <c r="H75" s="172"/>
      <c r="J75" s="44" t="str">
        <f>IFERROR(IF(I75="","",SUMIF([1]작업지시서!$D$7:$D$199,"*"&amp;$I75,[1]작업지시서!$E$7:$E$199)),"")</f>
        <v/>
      </c>
      <c r="K75" s="44" t="str">
        <f>IFERROR(IF(I75="","",SUMIF([2]작업지시서!$D$7:$D$189,"*"&amp;$I75,[2]작업지시서!$E$7:$E$189)),"")</f>
        <v/>
      </c>
      <c r="L75" s="202" t="str">
        <f t="shared" si="75"/>
        <v/>
      </c>
      <c r="M75" s="203" t="str">
        <f t="shared" si="76"/>
        <v/>
      </c>
    </row>
    <row r="76" spans="1:13" ht="15" hidden="1" customHeight="1">
      <c r="A76" s="164"/>
      <c r="B76" s="105"/>
      <c r="C76" s="134"/>
      <c r="D76" s="118" t="str">
        <f t="shared" si="85"/>
        <v/>
      </c>
      <c r="E76" s="104" t="str">
        <f t="shared" si="85"/>
        <v/>
      </c>
      <c r="F76" s="120"/>
      <c r="G76" s="142"/>
      <c r="H76" s="172"/>
      <c r="I76" s="77"/>
      <c r="J76" s="44" t="str">
        <f>IFERROR(IF(I76="","",SUMIF([1]작업지시서!$D$7:$D$199,"*"&amp;$I76,[1]작업지시서!$E$7:$E$199)),"")</f>
        <v/>
      </c>
      <c r="K76" s="44" t="str">
        <f>IFERROR(IF(I76="","",SUMIF([2]작업지시서!$D$7:$D$189,"*"&amp;$I76,[2]작업지시서!$E$7:$E$189)),"")</f>
        <v/>
      </c>
      <c r="L76" s="202" t="str">
        <f t="shared" si="75"/>
        <v/>
      </c>
      <c r="M76" s="203" t="str">
        <f t="shared" si="76"/>
        <v/>
      </c>
    </row>
    <row r="77" spans="1:13" ht="15" hidden="1" customHeight="1">
      <c r="A77" s="164"/>
      <c r="B77" s="105"/>
      <c r="C77" s="134"/>
      <c r="D77" s="118" t="str">
        <f t="shared" si="85"/>
        <v/>
      </c>
      <c r="E77" s="104" t="str">
        <f t="shared" si="85"/>
        <v/>
      </c>
      <c r="F77" s="120"/>
      <c r="G77" s="142"/>
      <c r="H77" s="172"/>
      <c r="I77" s="77"/>
      <c r="J77" s="44" t="str">
        <f>IFERROR(IF(I77="","",SUMIF([1]작업지시서!$D$7:$D$199,"*"&amp;$I77,[1]작업지시서!$E$7:$E$199)),"")</f>
        <v/>
      </c>
      <c r="K77" s="44" t="str">
        <f>IFERROR(IF(I77="","",SUMIF([2]작업지시서!$D$7:$D$189,"*"&amp;$I77,[2]작업지시서!$E$7:$E$189)),"")</f>
        <v/>
      </c>
      <c r="L77" s="202" t="str">
        <f t="shared" si="75"/>
        <v/>
      </c>
      <c r="M77" s="203" t="str">
        <f t="shared" si="76"/>
        <v/>
      </c>
    </row>
    <row r="78" spans="1:13" ht="15" hidden="1" customHeight="1">
      <c r="A78" s="164"/>
      <c r="B78" s="105"/>
      <c r="C78" s="134"/>
      <c r="D78" s="118" t="str">
        <f t="shared" si="85"/>
        <v/>
      </c>
      <c r="E78" s="104" t="str">
        <f t="shared" si="85"/>
        <v/>
      </c>
      <c r="F78" s="120"/>
      <c r="G78" s="142"/>
      <c r="H78" s="172"/>
      <c r="J78" s="44" t="str">
        <f>IFERROR(IF(I78="","",SUMIF([1]작업지시서!$D$7:$D$199,"*"&amp;$I78,[1]작업지시서!$E$7:$E$199)),"")</f>
        <v/>
      </c>
      <c r="K78" s="44" t="str">
        <f>IFERROR(IF(I78="","",SUMIF([2]작업지시서!$D$7:$D$151,"*"&amp;$I78,[2]작업지시서!$E$7:$E$151)),"")</f>
        <v/>
      </c>
      <c r="L78" s="202" t="str">
        <f t="shared" si="75"/>
        <v/>
      </c>
      <c r="M78" s="203" t="str">
        <f t="shared" si="76"/>
        <v/>
      </c>
    </row>
    <row r="79" spans="1:13" ht="15" hidden="1" customHeight="1">
      <c r="A79" s="164"/>
      <c r="B79" s="105"/>
      <c r="C79" s="134"/>
      <c r="D79" s="118" t="str">
        <f t="shared" si="85"/>
        <v/>
      </c>
      <c r="E79" s="104" t="str">
        <f t="shared" si="85"/>
        <v/>
      </c>
      <c r="F79" s="120"/>
      <c r="G79" s="142"/>
      <c r="H79" s="172"/>
      <c r="J79" s="44" t="str">
        <f>IFERROR(IF(I79="","",SUMIF([1]작업지시서!$D$7:$D$169,"*"&amp;$I79,[1]작업지시서!$E$7:$E$169)),"")</f>
        <v/>
      </c>
      <c r="K79" s="44" t="str">
        <f>IFERROR(IF(I79="","",SUMIF([2]작업지시서!$D$7:$D$151,"*"&amp;$I79,[2]작업지시서!$E$7:$E$151)),"")</f>
        <v/>
      </c>
      <c r="L79" s="202" t="str">
        <f t="shared" si="75"/>
        <v/>
      </c>
      <c r="M79" s="203" t="str">
        <f t="shared" si="76"/>
        <v/>
      </c>
    </row>
    <row r="80" spans="1:13" ht="15" hidden="1" customHeight="1">
      <c r="A80" s="164"/>
      <c r="B80" s="94"/>
      <c r="C80" s="139" t="str">
        <f>B75&amp;" 소계"</f>
        <v>간편식 소계</v>
      </c>
      <c r="D80" s="78">
        <f>SUM(D74:D79)</f>
        <v>0</v>
      </c>
      <c r="E80" s="78">
        <f>SUM(E74:E79)</f>
        <v>0</v>
      </c>
      <c r="F80" s="78">
        <f>SUM(F74:F79)</f>
        <v>0</v>
      </c>
      <c r="G80" s="159" t="str">
        <f>IFERROR(F80/#REF!,"")</f>
        <v/>
      </c>
      <c r="H80" s="172"/>
      <c r="J80" s="44" t="str">
        <f>IFERROR(IF(I80="","",SUMIF([1]작업지시서!$D$7:$D$118,"*"&amp;$I80,[1]작업지시서!$E$7:$E$119)),"")</f>
        <v/>
      </c>
      <c r="K80" s="44" t="str">
        <f>IFERROR(IF(I80="","",SUMIF([2]작업지시서!$D$7:$D$123,"*"&amp;$I80,[2]작업지시서!$E$7:$E$123)),"")</f>
        <v/>
      </c>
      <c r="L80" s="202" t="str">
        <f t="shared" si="75"/>
        <v/>
      </c>
      <c r="M80" s="203" t="str">
        <f t="shared" si="76"/>
        <v/>
      </c>
    </row>
    <row r="81" spans="1:13" ht="15" hidden="1" customHeight="1">
      <c r="A81" s="164"/>
      <c r="B81" s="153" t="s">
        <v>51</v>
      </c>
      <c r="C81" s="135"/>
      <c r="D81" s="117" t="str">
        <f t="shared" ref="D81:D94" si="86">L81</f>
        <v/>
      </c>
      <c r="E81" s="99" t="str">
        <f t="shared" ref="E81:E94" si="87">M81</f>
        <v/>
      </c>
      <c r="F81" s="119"/>
      <c r="G81" s="160" t="str">
        <f>IFERROR(F81/#REF!,"")</f>
        <v/>
      </c>
      <c r="H81" s="172"/>
      <c r="J81" s="44" t="str">
        <f>IFERROR(IF(I81="","",SUMIF([1]작업지시서!$D$7:$D$202,"*"&amp;$I81,[1]작업지시서!$E$7:$E$202)),"")</f>
        <v/>
      </c>
      <c r="K81" s="44" t="str">
        <f>IFERROR(IF(I81="","",SUMIF([2]작업지시서!$D$7:$D$203,"*"&amp;$I81,[2]작업지시서!$E$7:$E$203)),"")</f>
        <v/>
      </c>
      <c r="L81" s="202" t="str">
        <f t="shared" si="75"/>
        <v/>
      </c>
      <c r="M81" s="203" t="str">
        <f t="shared" si="76"/>
        <v/>
      </c>
    </row>
    <row r="82" spans="1:13" ht="15" hidden="1" customHeight="1">
      <c r="A82" s="164"/>
      <c r="B82" s="105"/>
      <c r="C82" s="134"/>
      <c r="D82" s="118" t="str">
        <f t="shared" si="86"/>
        <v/>
      </c>
      <c r="E82" s="104" t="str">
        <f t="shared" si="87"/>
        <v/>
      </c>
      <c r="F82" s="120"/>
      <c r="G82" s="142" t="str">
        <f>IFERROR(F82/#REF!,"")</f>
        <v/>
      </c>
      <c r="H82" s="172"/>
      <c r="J82" s="44" t="str">
        <f>IFERROR(IF(I82="","",SUMIF([1]작업지시서!$D$7:$D$202,"*"&amp;$I82,[1]작업지시서!$E$7:$E$202)),"")</f>
        <v/>
      </c>
      <c r="K82" s="44" t="str">
        <f>IFERROR(IF(I82="","",SUMIF([2]작업지시서!$D$7:$D$203,"*"&amp;$I82,[2]작업지시서!$E$7:$E$203)),"")</f>
        <v/>
      </c>
      <c r="L82" s="202" t="str">
        <f t="shared" si="75"/>
        <v/>
      </c>
      <c r="M82" s="203" t="str">
        <f t="shared" si="76"/>
        <v/>
      </c>
    </row>
    <row r="83" spans="1:13" ht="15" hidden="1" customHeight="1">
      <c r="A83" s="164"/>
      <c r="B83" s="105"/>
      <c r="C83" s="134"/>
      <c r="D83" s="118" t="str">
        <f t="shared" si="86"/>
        <v/>
      </c>
      <c r="E83" s="104" t="str">
        <f t="shared" si="87"/>
        <v/>
      </c>
      <c r="F83" s="120"/>
      <c r="G83" s="141"/>
      <c r="H83" s="172"/>
      <c r="J83" s="44" t="str">
        <f>IFERROR(IF(I83="","",SUMIF([1]작업지시서!$D$7:$D$202,""&amp;$I83,[1]작업지시서!$E$7:$E$202)),"")</f>
        <v/>
      </c>
      <c r="K83" s="44" t="str">
        <f>IFERROR(IF(I83="","",SUMIF([2]작업지시서!$D$7:$D$203,""&amp;$I83,[2]작업지시서!$E$7:$E$203)),"")</f>
        <v/>
      </c>
      <c r="L83" s="202" t="str">
        <f t="shared" si="75"/>
        <v/>
      </c>
      <c r="M83" s="203" t="str">
        <f t="shared" si="76"/>
        <v/>
      </c>
    </row>
    <row r="84" spans="1:13" ht="15" hidden="1" customHeight="1">
      <c r="A84" s="164"/>
      <c r="B84" s="105"/>
      <c r="C84" s="134"/>
      <c r="D84" s="118" t="str">
        <f t="shared" si="86"/>
        <v/>
      </c>
      <c r="E84" s="104" t="str">
        <f t="shared" si="87"/>
        <v/>
      </c>
      <c r="F84" s="120"/>
      <c r="G84" s="141"/>
      <c r="H84" s="172"/>
      <c r="J84" s="44" t="str">
        <f>IFERROR(SUM(VLOOKUP(I84,[1]작업지시서!$D$6:$E$202,2,0),SUMIF([1]작업지시서!$D$6:$D$202,"*주문*"&amp;I84,[1]작업지시서!$E$6:$E$202)),"")</f>
        <v/>
      </c>
      <c r="K84" s="44" t="str">
        <f>IFERROR(IF(I84="","",SUMIF([2]작업지시서!$D$7:$D$203,""&amp;$I84,[2]작업지시서!$E$7:$E$203)),"")</f>
        <v/>
      </c>
      <c r="L84" s="202" t="str">
        <f t="shared" si="75"/>
        <v/>
      </c>
      <c r="M84" s="203" t="str">
        <f t="shared" si="76"/>
        <v/>
      </c>
    </row>
    <row r="85" spans="1:13" ht="15" hidden="1" customHeight="1">
      <c r="A85" s="164"/>
      <c r="B85" s="105"/>
      <c r="C85" s="134"/>
      <c r="D85" s="118" t="str">
        <f t="shared" si="86"/>
        <v/>
      </c>
      <c r="E85" s="104" t="str">
        <f t="shared" si="87"/>
        <v/>
      </c>
      <c r="F85" s="120"/>
      <c r="G85" s="141"/>
      <c r="H85" s="172"/>
      <c r="J85" s="44" t="str">
        <f>IFERROR(IF(I85="","",SUMIF([1]작업지시서!$D$7:$D$202,"*"&amp;$I85,[1]작업지시서!$E$7:$E$202)),"")</f>
        <v/>
      </c>
      <c r="K85" s="44" t="str">
        <f>IFERROR(IF(I85="","",SUMIF([2]작업지시서!$D$7:$D$203,"*"&amp;$I85,[2]작업지시서!$E$7:$E$203)),"")</f>
        <v/>
      </c>
      <c r="L85" s="202" t="str">
        <f t="shared" si="75"/>
        <v/>
      </c>
      <c r="M85" s="203" t="str">
        <f t="shared" si="76"/>
        <v/>
      </c>
    </row>
    <row r="86" spans="1:13" ht="15" hidden="1" customHeight="1">
      <c r="A86" s="164"/>
      <c r="B86" s="105"/>
      <c r="C86" s="77"/>
      <c r="D86" s="118" t="str">
        <f t="shared" si="86"/>
        <v/>
      </c>
      <c r="E86" s="104" t="str">
        <f t="shared" si="87"/>
        <v/>
      </c>
      <c r="F86" s="120"/>
      <c r="G86" s="141"/>
      <c r="H86" s="172"/>
      <c r="J86" s="44" t="str">
        <f>IFERROR(IF(I86="","",SUMIF([1]작업지시서!$D$7:$D$202,"*"&amp;$I86,[1]작업지시서!$E$7:$E$202)),"")</f>
        <v/>
      </c>
      <c r="K86" s="44" t="str">
        <f>IFERROR(IF(I86="","",SUMIF([2]작업지시서!$D$7:$D$203,"*"&amp;$I86,[2]작업지시서!$E$7:$E$203)),"")</f>
        <v/>
      </c>
      <c r="L86" s="202" t="str">
        <f t="shared" si="75"/>
        <v/>
      </c>
      <c r="M86" s="203" t="str">
        <f t="shared" si="76"/>
        <v/>
      </c>
    </row>
    <row r="87" spans="1:13" ht="15" hidden="1" customHeight="1">
      <c r="A87" s="164"/>
      <c r="B87" s="105"/>
      <c r="C87" s="77"/>
      <c r="D87" s="118" t="str">
        <f t="shared" si="86"/>
        <v/>
      </c>
      <c r="E87" s="104" t="str">
        <f t="shared" si="87"/>
        <v/>
      </c>
      <c r="F87" s="120"/>
      <c r="G87" s="142" t="str">
        <f>IFERROR(F87/#REF!,"")</f>
        <v/>
      </c>
      <c r="H87" s="172"/>
      <c r="J87" s="44" t="str">
        <f>IFERROR(IF(I87="","",SUMIF([1]작업지시서!$D$7:$D$202,""&amp;$I87,[1]작업지시서!$E$7:$E$202)),"")</f>
        <v/>
      </c>
      <c r="K87" s="44" t="str">
        <f>IFERROR(IF(I87="","",SUMIF([2]작업지시서!$D$7:$D$203,""&amp;$I87,[2]작업지시서!$E$7:$E$203)),"")</f>
        <v/>
      </c>
      <c r="L87" s="202" t="str">
        <f t="shared" ref="L87:L94" si="88">J87</f>
        <v/>
      </c>
      <c r="M87" s="203" t="str">
        <f t="shared" ref="M87:M94" si="89">K87</f>
        <v/>
      </c>
    </row>
    <row r="88" spans="1:13" ht="15" hidden="1" customHeight="1">
      <c r="A88" s="164"/>
      <c r="B88" s="105"/>
      <c r="C88" s="77"/>
      <c r="D88" s="118" t="str">
        <f t="shared" si="86"/>
        <v/>
      </c>
      <c r="E88" s="104" t="str">
        <f t="shared" si="87"/>
        <v/>
      </c>
      <c r="F88" s="120"/>
      <c r="G88" s="142" t="str">
        <f>IFERROR(F88/#REF!,"")</f>
        <v/>
      </c>
      <c r="H88" s="172"/>
      <c r="J88" s="44" t="str">
        <f>IFERROR(IF(I88="","",SUMIF([1]작업지시서!$D$7:$D$202,""&amp;$I88,[1]작업지시서!$E$7:$E$202)),"")</f>
        <v/>
      </c>
      <c r="K88" s="44" t="str">
        <f>IFERROR(IF(I88="","",SUMIF([2]작업지시서!$D$7:$D$203,""&amp;$I88,[2]작업지시서!$E$7:$E$203)),"")</f>
        <v/>
      </c>
      <c r="L88" s="202" t="str">
        <f t="shared" si="88"/>
        <v/>
      </c>
      <c r="M88" s="203" t="str">
        <f t="shared" si="89"/>
        <v/>
      </c>
    </row>
    <row r="89" spans="1:13" ht="15" hidden="1" customHeight="1">
      <c r="A89" s="164"/>
      <c r="B89" s="105"/>
      <c r="C89" s="77"/>
      <c r="D89" s="118" t="str">
        <f t="shared" si="86"/>
        <v/>
      </c>
      <c r="E89" s="104" t="str">
        <f t="shared" si="87"/>
        <v/>
      </c>
      <c r="F89" s="120"/>
      <c r="G89" s="142" t="str">
        <f>IFERROR(F89/#REF!,"")</f>
        <v/>
      </c>
      <c r="H89" s="172"/>
      <c r="J89" s="44" t="str">
        <f>IFERROR(IF(I89="","",SUMIF([1]작업지시서!$D$7:$D$202,""&amp;$I89,[1]작업지시서!$E$7:$E$202)),"")</f>
        <v/>
      </c>
      <c r="K89" s="44" t="str">
        <f>IFERROR(IF(I89="","",SUMIF([2]작업지시서!$D$7:$D$203,""&amp;$I89,[2]작업지시서!$E$7:$E$203)),"")</f>
        <v/>
      </c>
      <c r="L89" s="202" t="str">
        <f t="shared" si="88"/>
        <v/>
      </c>
      <c r="M89" s="203" t="str">
        <f t="shared" si="89"/>
        <v/>
      </c>
    </row>
    <row r="90" spans="1:13" ht="15" hidden="1" customHeight="1">
      <c r="A90" s="164"/>
      <c r="B90" s="105"/>
      <c r="C90" s="77"/>
      <c r="D90" s="118" t="str">
        <f t="shared" si="86"/>
        <v/>
      </c>
      <c r="E90" s="104" t="str">
        <f t="shared" si="87"/>
        <v/>
      </c>
      <c r="F90" s="120"/>
      <c r="G90" s="142" t="str">
        <f>IFERROR(F90/#REF!,"")</f>
        <v/>
      </c>
      <c r="H90" s="172"/>
      <c r="J90" s="44" t="str">
        <f>IFERROR(IF(I90="","",SUMIF([1]작업지시서!$D$7:$D$202,""&amp;$I90,[1]작업지시서!$E$7:$E$202)),"")</f>
        <v/>
      </c>
      <c r="K90" s="44" t="str">
        <f>IFERROR(IF(I90="","",SUMIF([2]작업지시서!$D$7:$D$203,""&amp;$I90,[2]작업지시서!$E$7:$E$203)),"")</f>
        <v/>
      </c>
      <c r="L90" s="202" t="str">
        <f>J90</f>
        <v/>
      </c>
      <c r="M90" s="203" t="str">
        <f>K90</f>
        <v/>
      </c>
    </row>
    <row r="91" spans="1:13" ht="15" hidden="1" customHeight="1">
      <c r="A91" s="164"/>
      <c r="B91" s="105"/>
      <c r="C91" s="77"/>
      <c r="D91" s="118" t="str">
        <f t="shared" si="86"/>
        <v/>
      </c>
      <c r="E91" s="104" t="str">
        <f t="shared" si="87"/>
        <v/>
      </c>
      <c r="F91" s="120"/>
      <c r="G91" s="142" t="str">
        <f>IFERROR(F91/#REF!,"")</f>
        <v/>
      </c>
      <c r="H91" s="172"/>
      <c r="J91" s="44" t="str">
        <f>IFERROR(IF(I91="","",SUMIF([1]작업지시서!$D$7:$D$202,""&amp;$I91,[1]작업지시서!$E$7:$E$202)),"")</f>
        <v/>
      </c>
      <c r="K91" s="44" t="str">
        <f>IFERROR(IF(I91="","",SUMIF([2]작업지시서!$D$7:$D$203,""&amp;$I91,[2]작업지시서!$E$7:$E$203)),"")</f>
        <v/>
      </c>
      <c r="L91" s="202" t="str">
        <f t="shared" si="88"/>
        <v/>
      </c>
      <c r="M91" s="203" t="str">
        <f t="shared" si="89"/>
        <v/>
      </c>
    </row>
    <row r="92" spans="1:13" ht="15" hidden="1" customHeight="1">
      <c r="A92" s="164"/>
      <c r="B92" s="105"/>
      <c r="C92" s="77"/>
      <c r="D92" s="118" t="str">
        <f t="shared" si="86"/>
        <v/>
      </c>
      <c r="E92" s="104" t="str">
        <f t="shared" si="87"/>
        <v/>
      </c>
      <c r="F92" s="120"/>
      <c r="G92" s="142" t="str">
        <f>IFERROR(F92/#REF!,"")</f>
        <v/>
      </c>
      <c r="H92" s="172"/>
      <c r="J92" s="44" t="str">
        <f>IFERROR(IF(I92="","",SUMIF([1]작업지시서!$D$7:$D$202,""&amp;$I92,[1]작업지시서!$E$7:$E$202)),"")</f>
        <v/>
      </c>
      <c r="K92" s="44" t="str">
        <f>IFERROR(IF(I92="","",SUMIF([2]작업지시서!$D$7:$D$203,""&amp;$I92,[2]작업지시서!$E$7:$E$203)),"")</f>
        <v/>
      </c>
      <c r="L92" s="202" t="str">
        <f>J92</f>
        <v/>
      </c>
      <c r="M92" s="203" t="str">
        <f>K92</f>
        <v/>
      </c>
    </row>
    <row r="93" spans="1:13" ht="15" customHeight="1">
      <c r="A93" s="164"/>
      <c r="B93" s="213" t="s">
        <v>107</v>
      </c>
      <c r="C93" s="77" t="s">
        <v>101</v>
      </c>
      <c r="D93" s="118">
        <f t="shared" si="86"/>
        <v>104</v>
      </c>
      <c r="E93" s="104">
        <f t="shared" si="87"/>
        <v>0</v>
      </c>
      <c r="F93" s="120">
        <f>D93+E93</f>
        <v>104</v>
      </c>
      <c r="G93" s="142" t="str">
        <f>IFERROR(F93/#REF!,"")</f>
        <v/>
      </c>
      <c r="H93" s="172"/>
      <c r="I93" s="44" t="s">
        <v>101</v>
      </c>
      <c r="J93" s="44">
        <f>IFERROR(IF(I93="","",SUMIF([1]작업지시서!$D$7:$D$202,""&amp;$I93,[1]작업지시서!$E$7:$E$202)),"")</f>
        <v>104</v>
      </c>
      <c r="K93" s="44">
        <f>IFERROR(IF(I93="","",SUMIF([2]작업지시서!$D$7:$D$203,""&amp;$I93,[2]작업지시서!$E$7:$E$203)),"")</f>
        <v>0</v>
      </c>
      <c r="L93" s="202">
        <f t="shared" si="88"/>
        <v>104</v>
      </c>
      <c r="M93" s="203">
        <f t="shared" si="89"/>
        <v>0</v>
      </c>
    </row>
    <row r="94" spans="1:13" ht="15" customHeight="1">
      <c r="A94" s="164"/>
      <c r="B94" s="213"/>
      <c r="C94" s="77" t="s">
        <v>103</v>
      </c>
      <c r="D94" s="118">
        <f t="shared" si="86"/>
        <v>90</v>
      </c>
      <c r="E94" s="104">
        <f t="shared" si="87"/>
        <v>0</v>
      </c>
      <c r="F94" s="120">
        <f>D94+E94</f>
        <v>90</v>
      </c>
      <c r="G94" s="142" t="str">
        <f>IFERROR(F94/#REF!,"")</f>
        <v/>
      </c>
      <c r="H94" s="172"/>
      <c r="I94" s="44" t="s">
        <v>102</v>
      </c>
      <c r="J94" s="44">
        <f>IFERROR(IF(I94="","",SUMIF([1]작업지시서!$D$7:$D$202,""&amp;$I94,[1]작업지시서!$E$7:$E$202)),"")</f>
        <v>90</v>
      </c>
      <c r="K94" s="44">
        <f>IFERROR(IF(I94="","",SUMIF([2]작업지시서!$D$7:$D$203,""&amp;$I94,[2]작업지시서!$E$7:$E$203)),"")</f>
        <v>0</v>
      </c>
      <c r="L94" s="202">
        <f t="shared" si="88"/>
        <v>90</v>
      </c>
      <c r="M94" s="203">
        <f t="shared" si="89"/>
        <v>0</v>
      </c>
    </row>
    <row r="95" spans="1:13" ht="15" customHeight="1">
      <c r="A95" s="164"/>
      <c r="B95" s="214"/>
      <c r="C95" s="95" t="str">
        <f>B81&amp;" 소계"</f>
        <v>버거 소계</v>
      </c>
      <c r="D95" s="78">
        <f>SUM(D81:D94)</f>
        <v>194</v>
      </c>
      <c r="E95" s="78">
        <f>SUM(E81:E94)</f>
        <v>0</v>
      </c>
      <c r="F95" s="78">
        <f>SUM(F81:F94)</f>
        <v>194</v>
      </c>
      <c r="G95" s="159" t="str">
        <f>IFERROR(F95/#REF!,"")</f>
        <v/>
      </c>
      <c r="H95" s="172"/>
      <c r="I95" s="77"/>
      <c r="J95" s="44" t="str">
        <f>IFERROR(IF(I95="","",SUMIF([1]작업지시서!$D$7:$D$202,"*"&amp;$I95,[1]작업지시서!$E$7:$E$202)),"")</f>
        <v/>
      </c>
      <c r="K95" s="44" t="str">
        <f>IFERROR(IF(I95="","",SUMIF([2]작업지시서!$D$7:$D$203,"*"&amp;$I95,[2]작업지시서!$E$7:$E$203)),"")</f>
        <v/>
      </c>
      <c r="L95" s="202" t="str">
        <f t="shared" ref="L95:L107" si="90">J95</f>
        <v/>
      </c>
      <c r="M95" s="203" t="str">
        <f t="shared" ref="M95:M107" si="91">K95</f>
        <v/>
      </c>
    </row>
    <row r="96" spans="1:13" s="114" customFormat="1" ht="15" hidden="1" customHeight="1">
      <c r="A96" s="165"/>
      <c r="B96" s="222" t="s">
        <v>94</v>
      </c>
      <c r="C96" s="77"/>
      <c r="D96" s="166"/>
      <c r="E96" s="166"/>
      <c r="F96" s="167"/>
      <c r="G96" s="180"/>
      <c r="H96" s="172"/>
      <c r="I96" s="44"/>
      <c r="J96" s="44"/>
      <c r="K96" s="44"/>
      <c r="L96" s="202"/>
      <c r="M96" s="203"/>
    </row>
    <row r="97" spans="1:13" ht="15" hidden="1" customHeight="1">
      <c r="A97" s="164"/>
      <c r="B97" s="218"/>
      <c r="C97" s="77"/>
      <c r="D97" s="118" t="str">
        <f t="shared" ref="D97:E98" si="92">L97</f>
        <v/>
      </c>
      <c r="E97" s="104" t="str">
        <f t="shared" si="92"/>
        <v/>
      </c>
      <c r="F97" s="120"/>
      <c r="G97" s="141"/>
      <c r="H97" s="172"/>
      <c r="I97" s="77"/>
      <c r="J97" s="44" t="str">
        <f>IFERROR(IF(I97="","",SUMIF([1]작업지시서!$D$7:$D$202,"*"&amp;$I97,[1]작업지시서!$E$7:$E$202)),"")</f>
        <v/>
      </c>
      <c r="K97" s="44" t="str">
        <f>IFERROR(IF(I97="","",SUMIF([2]작업지시서!$D$7:$D$203,"*"&amp;$I97,[2]작업지시서!$E$7:$E$203)),"")</f>
        <v/>
      </c>
      <c r="L97" s="202" t="str">
        <f t="shared" si="90"/>
        <v/>
      </c>
      <c r="M97" s="203" t="str">
        <f t="shared" si="91"/>
        <v/>
      </c>
    </row>
    <row r="98" spans="1:13" ht="15" hidden="1" customHeight="1">
      <c r="A98" s="164"/>
      <c r="B98" s="218"/>
      <c r="C98" s="77"/>
      <c r="D98" s="118" t="str">
        <f t="shared" ref="D98:D105" si="93">L98</f>
        <v/>
      </c>
      <c r="E98" s="104" t="str">
        <f t="shared" si="92"/>
        <v/>
      </c>
      <c r="F98" s="120"/>
      <c r="G98" s="141"/>
      <c r="H98" s="172"/>
      <c r="J98" s="44" t="str">
        <f>IFERROR(IF(I98="","",SUMIF([1]작업지시서!$D$7:$D$202,"*"&amp;$I98,[1]작업지시서!$E$7:$E$202)),"")</f>
        <v/>
      </c>
      <c r="K98" s="44" t="str">
        <f>IFERROR(IF(I98="","",SUMIF([2]작업지시서!$D$7:$D$203,"*"&amp;$I98,[2]작업지시서!$E$7:$E$203)),"")</f>
        <v/>
      </c>
      <c r="L98" s="202" t="str">
        <f t="shared" si="90"/>
        <v/>
      </c>
      <c r="M98" s="203" t="str">
        <f t="shared" si="91"/>
        <v/>
      </c>
    </row>
    <row r="99" spans="1:13" ht="15" hidden="1" customHeight="1">
      <c r="A99" s="164"/>
      <c r="B99" s="218"/>
      <c r="C99" s="77"/>
      <c r="D99" s="118" t="str">
        <f>L99</f>
        <v/>
      </c>
      <c r="E99" s="104" t="str">
        <f>M99</f>
        <v/>
      </c>
      <c r="F99" s="120"/>
      <c r="G99" s="141"/>
      <c r="H99" s="172"/>
      <c r="I99" s="77"/>
      <c r="J99" s="44" t="str">
        <f>IFERROR(IF(I99="","",SUMIF([1]작업지시서!$D$7:$D$202,"*"&amp;$I99,[1]작업지시서!$E$7:$E$202)),"")</f>
        <v/>
      </c>
      <c r="K99" s="44" t="str">
        <f>IFERROR(IF(I99="","",SUMIF([2]작업지시서!$D$7:$D$203,"*"&amp;$I99,[2]작업지시서!$E$7:$E$203)),"")</f>
        <v/>
      </c>
      <c r="L99" s="202" t="str">
        <f t="shared" si="90"/>
        <v/>
      </c>
      <c r="M99" s="203" t="str">
        <f t="shared" si="91"/>
        <v/>
      </c>
    </row>
    <row r="100" spans="1:13" ht="15" hidden="1" customHeight="1">
      <c r="A100" s="164"/>
      <c r="B100" s="218"/>
      <c r="C100" s="77"/>
      <c r="D100" s="118" t="str">
        <f>L100</f>
        <v/>
      </c>
      <c r="E100" s="104" t="str">
        <f>M100</f>
        <v/>
      </c>
      <c r="F100" s="120"/>
      <c r="G100" s="141"/>
      <c r="H100" s="172"/>
      <c r="I100" s="77"/>
      <c r="J100" s="44" t="str">
        <f>IFERROR(IF(I100="","",SUMIF([1]작업지시서!$D$7:$D$202,"*"&amp;$I100,[1]작업지시서!$E$7:$E$202)),"")</f>
        <v/>
      </c>
      <c r="K100" s="44" t="str">
        <f>IFERROR(IF(I100="","",SUMIF([2]작업지시서!$D$7:$D$203,"*"&amp;$I100,[2]작업지시서!$E$7:$E$203)),"")</f>
        <v/>
      </c>
      <c r="L100" s="202" t="str">
        <f t="shared" si="90"/>
        <v/>
      </c>
      <c r="M100" s="203" t="str">
        <f t="shared" si="91"/>
        <v/>
      </c>
    </row>
    <row r="101" spans="1:13" ht="15" hidden="1" customHeight="1">
      <c r="A101" s="164"/>
      <c r="B101" s="218"/>
      <c r="C101" s="77"/>
      <c r="D101" s="118" t="str">
        <f t="shared" si="93"/>
        <v/>
      </c>
      <c r="E101" s="104" t="str">
        <f t="shared" ref="E101:E106" si="94">M101</f>
        <v/>
      </c>
      <c r="F101" s="120"/>
      <c r="G101" s="141"/>
      <c r="H101" s="172"/>
      <c r="J101" s="44" t="str">
        <f>IFERROR(IF(I101="","",SUMIF([1]작업지시서!$D$7:$D$202,"*"&amp;$I101,[1]작업지시서!$E$7:$E$202)),"")</f>
        <v/>
      </c>
      <c r="K101" s="44" t="str">
        <f>IFERROR(IF(I101="","",SUMIF([2]작업지시서!$D$7:$D$203,"*"&amp;$I101,[2]작업지시서!$E$7:$E$203)),"")</f>
        <v/>
      </c>
      <c r="L101" s="202" t="str">
        <f t="shared" si="90"/>
        <v/>
      </c>
      <c r="M101" s="203" t="str">
        <f t="shared" si="91"/>
        <v/>
      </c>
    </row>
    <row r="102" spans="1:13" ht="15" hidden="1" customHeight="1">
      <c r="A102" s="164"/>
      <c r="B102" s="218"/>
      <c r="C102" s="77"/>
      <c r="D102" s="118" t="str">
        <f t="shared" si="93"/>
        <v/>
      </c>
      <c r="E102" s="104" t="str">
        <f t="shared" si="94"/>
        <v/>
      </c>
      <c r="F102" s="120"/>
      <c r="G102" s="141"/>
      <c r="H102" s="172"/>
      <c r="I102" s="77"/>
      <c r="J102" s="44" t="str">
        <f>IFERROR(IF(I102="","",SUMIF([1]작업지시서!$D$7:$D$202,"*"&amp;$I102,[1]작업지시서!$E$7:$E$202)),"")</f>
        <v/>
      </c>
      <c r="K102" s="44" t="str">
        <f>IFERROR(IF(I102="","",SUMIF([2]작업지시서!$D$7:$D$203,"*"&amp;$I102,[2]작업지시서!$E$7:$E$203)),"")</f>
        <v/>
      </c>
      <c r="L102" s="202" t="str">
        <f t="shared" si="90"/>
        <v/>
      </c>
      <c r="M102" s="203" t="str">
        <f t="shared" si="91"/>
        <v/>
      </c>
    </row>
    <row r="103" spans="1:13" ht="15" hidden="1" customHeight="1">
      <c r="A103" s="164"/>
      <c r="B103" s="218"/>
      <c r="C103" s="77"/>
      <c r="D103" s="118" t="str">
        <f t="shared" si="93"/>
        <v/>
      </c>
      <c r="E103" s="104" t="str">
        <f t="shared" si="94"/>
        <v/>
      </c>
      <c r="F103" s="120"/>
      <c r="G103" s="141"/>
      <c r="H103" s="172"/>
      <c r="I103" s="77"/>
      <c r="J103" s="44" t="str">
        <f>IFERROR(IF(I103="","",SUMIF([1]작업지시서!$D$7:$D$202,"*"&amp;$I103,[1]작업지시서!$E$7:$E$202)),"")</f>
        <v/>
      </c>
      <c r="K103" s="44" t="str">
        <f>IFERROR(IF(I103="","",SUMIF([2]작업지시서!$D$7:$D$203,"*"&amp;$I103,[2]작업지시서!$E$7:$E$203)),"")</f>
        <v/>
      </c>
      <c r="L103" s="202" t="str">
        <f t="shared" si="90"/>
        <v/>
      </c>
      <c r="M103" s="203" t="str">
        <f t="shared" si="91"/>
        <v/>
      </c>
    </row>
    <row r="104" spans="1:13" ht="15" hidden="1" customHeight="1">
      <c r="A104" s="164"/>
      <c r="B104" s="218"/>
      <c r="C104" s="77"/>
      <c r="D104" s="118" t="str">
        <f>L104</f>
        <v/>
      </c>
      <c r="E104" s="104" t="str">
        <f t="shared" si="94"/>
        <v/>
      </c>
      <c r="F104" s="120"/>
      <c r="G104" s="141"/>
      <c r="H104" s="172"/>
      <c r="I104" s="77"/>
      <c r="J104" s="44" t="str">
        <f>IFERROR(IF(I104="","",SUMIF([1]작업지시서!$D$7:$D$202,"*"&amp;$I104,[1]작업지시서!$E$7:$E$202)),"")</f>
        <v/>
      </c>
      <c r="K104" s="44" t="str">
        <f>IFERROR(IF(I104="","",SUMIF([2]작업지시서!$D$7:$D$203,"*"&amp;$I104,[2]작업지시서!$E$7:$E$203)),"")</f>
        <v/>
      </c>
      <c r="L104" s="202" t="str">
        <f t="shared" si="90"/>
        <v/>
      </c>
      <c r="M104" s="203" t="str">
        <f t="shared" si="91"/>
        <v/>
      </c>
    </row>
    <row r="105" spans="1:13" ht="15" hidden="1" customHeight="1">
      <c r="A105" s="164"/>
      <c r="B105" s="218"/>
      <c r="C105" s="77"/>
      <c r="D105" s="118" t="str">
        <f t="shared" si="93"/>
        <v/>
      </c>
      <c r="E105" s="104" t="str">
        <f t="shared" si="94"/>
        <v/>
      </c>
      <c r="F105" s="120"/>
      <c r="G105" s="141"/>
      <c r="H105" s="172"/>
      <c r="I105" s="77"/>
      <c r="J105" s="44" t="str">
        <f>IFERROR(IF(I105="","",SUMIF([1]작업지시서!$D$7:$D$202,"*"&amp;$I105,[1]작업지시서!$E$7:$E$202)),"")</f>
        <v/>
      </c>
      <c r="K105" s="44" t="str">
        <f>IFERROR(IF(I105="","",SUMIF([2]작업지시서!$D$7:$D$203,"*"&amp;$I105,[2]작업지시서!$E$7:$E$203)),"")</f>
        <v/>
      </c>
      <c r="L105" s="202" t="str">
        <f t="shared" si="90"/>
        <v/>
      </c>
      <c r="M105" s="203" t="str">
        <f t="shared" si="91"/>
        <v/>
      </c>
    </row>
    <row r="106" spans="1:13" ht="15" hidden="1" customHeight="1">
      <c r="A106" s="164"/>
      <c r="B106" s="218"/>
      <c r="C106" s="77"/>
      <c r="D106" s="118" t="str">
        <f>L106</f>
        <v/>
      </c>
      <c r="E106" s="104" t="str">
        <f t="shared" si="94"/>
        <v/>
      </c>
      <c r="F106" s="120"/>
      <c r="G106" s="141"/>
      <c r="H106" s="172"/>
      <c r="I106" s="77"/>
      <c r="J106" s="44" t="str">
        <f>IFERROR(IF(I106="","",SUMIF([1]작업지시서!$D$7:$D$202,"*"&amp;$I106,[1]작업지시서!$E$7:$E$202)),"")</f>
        <v/>
      </c>
      <c r="K106" s="44" t="str">
        <f>IFERROR(IF(I106="","",SUMIF([2]작업지시서!$D$7:$D$203,"*"&amp;$I106,[2]작업지시서!$E$7:$E$203)),"")</f>
        <v/>
      </c>
      <c r="L106" s="202" t="str">
        <f t="shared" si="90"/>
        <v/>
      </c>
      <c r="M106" s="203" t="str">
        <f t="shared" si="91"/>
        <v/>
      </c>
    </row>
    <row r="107" spans="1:13" ht="15" customHeight="1">
      <c r="A107" s="164"/>
      <c r="B107" s="94"/>
      <c r="C107" s="95" t="str">
        <f>B96&amp;" 소계"</f>
        <v>간편식 소계</v>
      </c>
      <c r="D107" s="78">
        <f>SUM(D96:D106)</f>
        <v>0</v>
      </c>
      <c r="E107" s="78">
        <f>SUM(E96:E106)</f>
        <v>0</v>
      </c>
      <c r="F107" s="78">
        <f>SUM(F96:F106)</f>
        <v>0</v>
      </c>
      <c r="G107" s="159" t="str">
        <f>IFERROR(F107/#REF!,"")</f>
        <v/>
      </c>
      <c r="H107" s="172"/>
      <c r="J107" s="44" t="str">
        <f>IFERROR(IF(I107="","",SUMIF([1]작업지시서!$D$7:$D$202,"*"&amp;$I107,[1]작업지시서!$E$7:$E$202)),"")</f>
        <v/>
      </c>
      <c r="K107" s="44" t="str">
        <f>IFERROR(IF(I107="","",SUMIF([2]작업지시서!$D$7:$D$203,"*"&amp;$I107,[2]작업지시서!$E$7:$E$203)),"")</f>
        <v/>
      </c>
      <c r="L107" s="202" t="str">
        <f t="shared" si="90"/>
        <v/>
      </c>
      <c r="M107" s="203" t="str">
        <f t="shared" si="91"/>
        <v/>
      </c>
    </row>
    <row r="108" spans="1:13" ht="15" hidden="1" customHeight="1">
      <c r="A108" s="164"/>
      <c r="B108" s="213" t="s">
        <v>139</v>
      </c>
      <c r="C108" s="77"/>
      <c r="D108" s="118" t="str">
        <f t="shared" ref="D108:D115" si="95">L108</f>
        <v/>
      </c>
      <c r="E108" s="104" t="str">
        <f t="shared" ref="E108:E115" si="96">M108</f>
        <v/>
      </c>
      <c r="F108" s="120" t="e">
        <f>D108+E108</f>
        <v>#VALUE!</v>
      </c>
      <c r="G108" s="161" t="str">
        <f>IFERROR(F108/#REF!,"")</f>
        <v/>
      </c>
      <c r="H108" s="172"/>
      <c r="J108" s="44" t="str">
        <f>IFERROR(IF(I108="","",SUMIF([1]작업지시서!$D$7:$D$202,"*"&amp;$I108,[1]작업지시서!$E$7:$E$202)),"")</f>
        <v/>
      </c>
      <c r="K108" s="44" t="str">
        <f>IFERROR(IF(I108="","",SUMIF([2]작업지시서!$D$7:$D$203,"*"&amp;$I108,[2]작업지시서!$E$7:$E$203)),"")</f>
        <v/>
      </c>
      <c r="L108" s="202" t="str">
        <f t="shared" ref="L108:L115" si="97">J108</f>
        <v/>
      </c>
      <c r="M108" s="203" t="str">
        <f t="shared" ref="M108:M116" si="98">K108</f>
        <v/>
      </c>
    </row>
    <row r="109" spans="1:13" ht="15" hidden="1" customHeight="1">
      <c r="A109" s="164"/>
      <c r="B109" s="213"/>
      <c r="C109" s="77"/>
      <c r="D109" s="118" t="str">
        <f t="shared" si="95"/>
        <v/>
      </c>
      <c r="E109" s="104" t="str">
        <f t="shared" si="96"/>
        <v/>
      </c>
      <c r="F109" s="120"/>
      <c r="G109" s="129" t="str">
        <f>IFERROR(F109/#REF!,"")</f>
        <v/>
      </c>
      <c r="H109" s="172"/>
      <c r="J109" s="44" t="str">
        <f>IFERROR(IF(I109="","",SUMIF([1]작업지시서!$D$7:$D$202,"*"&amp;$I109,[1]작업지시서!$E$7:$E$202)),"")</f>
        <v/>
      </c>
      <c r="K109" s="44" t="str">
        <f>IFERROR(IF(I109="","",SUMIF([2]작업지시서!$D$7:$D$203,"*"&amp;$I109,[2]작업지시서!$E$7:$E$203)),"")</f>
        <v/>
      </c>
      <c r="L109" s="202" t="str">
        <f>J109</f>
        <v/>
      </c>
      <c r="M109" s="203" t="str">
        <f>K109</f>
        <v/>
      </c>
    </row>
    <row r="110" spans="1:13" ht="15" hidden="1" customHeight="1">
      <c r="A110" s="164"/>
      <c r="B110" s="213"/>
      <c r="C110" s="77"/>
      <c r="D110" s="118" t="str">
        <f t="shared" si="95"/>
        <v/>
      </c>
      <c r="E110" s="104" t="str">
        <f t="shared" si="96"/>
        <v/>
      </c>
      <c r="F110" s="120"/>
      <c r="G110" s="144" t="str">
        <f>IFERROR(F110/#REF!,"")</f>
        <v/>
      </c>
      <c r="H110" s="172"/>
      <c r="J110" s="44" t="str">
        <f>IFERROR(IF(I110="","",SUMIF([1]작업지시서!$D$7:$D$202,"*"&amp;$I110,[1]작업지시서!$E$7:$E$202)),"")</f>
        <v/>
      </c>
      <c r="K110" s="44" t="str">
        <f>IFERROR(IF(I110="","",SUMIF([2]작업지시서!$D$7:$D$203,"*"&amp;$I110,[2]작업지시서!$E$7:$E$203)),"")</f>
        <v/>
      </c>
      <c r="L110" s="202" t="str">
        <f>J110</f>
        <v/>
      </c>
      <c r="M110" s="203" t="str">
        <f>K110</f>
        <v/>
      </c>
    </row>
    <row r="111" spans="1:13" ht="15" hidden="1" customHeight="1">
      <c r="A111" s="164"/>
      <c r="B111" s="213"/>
      <c r="C111" s="77"/>
      <c r="D111" s="118" t="str">
        <f t="shared" si="95"/>
        <v/>
      </c>
      <c r="E111" s="104" t="str">
        <f t="shared" si="96"/>
        <v/>
      </c>
      <c r="F111" s="120"/>
      <c r="G111" s="129" t="str">
        <f>IFERROR(F111/#REF!,"")</f>
        <v/>
      </c>
      <c r="H111" s="172"/>
      <c r="J111" s="44" t="str">
        <f>IFERROR(IF(I111="","",SUMIF([1]작업지시서!$D$7:$D$202,"*"&amp;$I111,[1]작업지시서!$E$7:$E$202)),"")</f>
        <v/>
      </c>
      <c r="K111" s="44" t="str">
        <f>IFERROR(IF(I111="","",SUMIF([2]작업지시서!$D$7:$D$203,"*"&amp;$I111,[2]작업지시서!$E$7:$E$203)),"")</f>
        <v/>
      </c>
      <c r="L111" s="202" t="str">
        <f t="shared" si="97"/>
        <v/>
      </c>
      <c r="M111" s="203" t="str">
        <f t="shared" si="98"/>
        <v/>
      </c>
    </row>
    <row r="112" spans="1:13" ht="15" hidden="1" customHeight="1">
      <c r="A112" s="164"/>
      <c r="B112" s="213"/>
      <c r="C112" s="106"/>
      <c r="D112" s="118" t="str">
        <f t="shared" si="95"/>
        <v/>
      </c>
      <c r="E112" s="138" t="str">
        <f t="shared" si="96"/>
        <v/>
      </c>
      <c r="F112" s="140"/>
      <c r="G112" s="129" t="str">
        <f>IFERROR(F112/#REF!,"")</f>
        <v/>
      </c>
      <c r="H112" s="172"/>
      <c r="J112" s="44" t="str">
        <f>IFERROR(IF(I112="","",SUMIF([1]작업지시서!$D$7:$D$202,"*"&amp;$I112,[1]작업지시서!$E$7:$E$202)),"")</f>
        <v/>
      </c>
      <c r="K112" s="44" t="str">
        <f>IFERROR(IF(I112="","",SUMIF([2]작업지시서!$D$7:$D$203,"*"&amp;$I112,[2]작업지시서!$E$7:$E$203)),"")</f>
        <v/>
      </c>
      <c r="L112" s="202" t="str">
        <f t="shared" ref="L112:M114" si="99">J112</f>
        <v/>
      </c>
      <c r="M112" s="203" t="str">
        <f t="shared" si="99"/>
        <v/>
      </c>
    </row>
    <row r="113" spans="1:13" ht="15" hidden="1" customHeight="1">
      <c r="A113" s="164"/>
      <c r="B113" s="213"/>
      <c r="C113" s="77"/>
      <c r="D113" s="118" t="str">
        <f t="shared" si="95"/>
        <v/>
      </c>
      <c r="E113" s="104" t="str">
        <f t="shared" si="96"/>
        <v/>
      </c>
      <c r="F113" s="120"/>
      <c r="G113" s="129" t="str">
        <f>IFERROR(F113/#REF!,"")</f>
        <v/>
      </c>
      <c r="H113" s="172"/>
      <c r="J113" s="44" t="str">
        <f>IFERROR(IF(I113="","",SUMIF([1]작업지시서!$D$7:$D$202,"*"&amp;$I113,[1]작업지시서!$E$7:$E$202)),"")</f>
        <v/>
      </c>
      <c r="K113" s="44" t="str">
        <f>IFERROR(IF(I113="","",SUMIF([2]작업지시서!$D$7:$D$203,$I113,[2]작업지시서!$E$7:$E$203)),"")</f>
        <v/>
      </c>
      <c r="L113" s="202" t="str">
        <f t="shared" si="99"/>
        <v/>
      </c>
      <c r="M113" s="203" t="str">
        <f t="shared" si="99"/>
        <v/>
      </c>
    </row>
    <row r="114" spans="1:13" ht="15" hidden="1" customHeight="1">
      <c r="A114" s="164"/>
      <c r="B114" s="213"/>
      <c r="C114" s="77"/>
      <c r="D114" s="118" t="str">
        <f t="shared" si="95"/>
        <v/>
      </c>
      <c r="E114" s="104" t="str">
        <f t="shared" si="96"/>
        <v/>
      </c>
      <c r="F114" s="120"/>
      <c r="G114" s="129" t="str">
        <f>IFERROR(F114/#REF!,"")</f>
        <v/>
      </c>
      <c r="H114" s="172"/>
      <c r="J114" s="44" t="str">
        <f>IFERROR(IF(I114="","",SUMIF([1]작업지시서!$D$7:$D$202,"*"&amp;$I114,[1]작업지시서!$E$7:$E$202)),"")</f>
        <v/>
      </c>
      <c r="K114" s="44" t="str">
        <f>IFERROR(IF(I114="","",SUMIF([2]작업지시서!$D$7:$D$203,$I114,[2]작업지시서!$E$7:$E$203)),"")</f>
        <v/>
      </c>
      <c r="L114" s="202" t="str">
        <f t="shared" si="99"/>
        <v/>
      </c>
      <c r="M114" s="203" t="str">
        <f t="shared" si="99"/>
        <v/>
      </c>
    </row>
    <row r="115" spans="1:13" ht="15" hidden="1" customHeight="1">
      <c r="A115" s="164"/>
      <c r="B115" s="213"/>
      <c r="C115" s="106"/>
      <c r="D115" s="118" t="str">
        <f t="shared" si="95"/>
        <v/>
      </c>
      <c r="E115" s="138" t="str">
        <f t="shared" si="96"/>
        <v/>
      </c>
      <c r="F115" s="140"/>
      <c r="G115" s="129" t="str">
        <f>IFERROR(F115/#REF!,"")</f>
        <v/>
      </c>
      <c r="H115" s="172"/>
      <c r="J115" s="44" t="str">
        <f>IFERROR(IF(I115="","",SUMIF([1]작업지시서!$D$7:$D$202,"*"&amp;$I115,[1]작업지시서!$E$7:$E$202)),"")</f>
        <v/>
      </c>
      <c r="K115" s="44" t="str">
        <f>IFERROR(IF(I115="","",SUMIF([2]작업지시서!$D$7:$D$203,$I115,[2]작업지시서!$E$7:$E$203)),"")</f>
        <v/>
      </c>
      <c r="L115" s="202" t="str">
        <f t="shared" si="97"/>
        <v/>
      </c>
      <c r="M115" s="203" t="str">
        <f t="shared" si="98"/>
        <v/>
      </c>
    </row>
    <row r="116" spans="1:13" ht="15" customHeight="1">
      <c r="A116" s="168"/>
      <c r="B116" s="214"/>
      <c r="C116" s="95" t="str">
        <f>B108&amp;" 소계"</f>
        <v>조리면 소계</v>
      </c>
      <c r="D116" s="78">
        <f>SUM(D108:D115)</f>
        <v>0</v>
      </c>
      <c r="E116" s="78">
        <f>SUM(E108:E115)</f>
        <v>0</v>
      </c>
      <c r="F116" s="78">
        <v>0</v>
      </c>
      <c r="G116" s="130" t="str">
        <f>IFERROR(F116/#REF!,"")</f>
        <v/>
      </c>
      <c r="H116" s="168"/>
      <c r="J116" s="44" t="str">
        <f>IFERROR(IF(I116="","",SUMIF([1]작업지시서!$D$7:$D$202,"*"&amp;$I116,[1]작업지시서!$E$7:$E$202)),"")</f>
        <v/>
      </c>
      <c r="K116" s="44" t="str">
        <f>IFERROR(IF(I116="","",SUMIF([2]작업지시서!$D$7:$D$203,"*"&amp;$I116,[2]작업지시서!$E$7:$E$203)),"")</f>
        <v/>
      </c>
      <c r="L116" s="202"/>
      <c r="M116" s="203" t="str">
        <f t="shared" si="98"/>
        <v/>
      </c>
    </row>
    <row r="117" spans="1:13" ht="9" customHeight="1">
      <c r="A117" s="164"/>
      <c r="B117" s="48"/>
      <c r="C117" s="49"/>
      <c r="D117" s="50"/>
      <c r="E117" s="50"/>
      <c r="F117" s="50"/>
      <c r="G117" s="131"/>
      <c r="H117" s="172"/>
      <c r="J117" s="44"/>
      <c r="L117" s="201"/>
      <c r="M117" s="201"/>
    </row>
    <row r="118" spans="1:13" s="181" customFormat="1" ht="18" customHeight="1">
      <c r="A118" s="182"/>
      <c r="B118" s="211" t="s">
        <v>80</v>
      </c>
      <c r="C118" s="212"/>
      <c r="D118" s="183">
        <f>D25+D43+D59+D73+D80+D95+D107+D116</f>
        <v>32040</v>
      </c>
      <c r="E118" s="183">
        <f>E25+E43+E59+E73+E80+E95+E107+E116</f>
        <v>22532</v>
      </c>
      <c r="F118" s="183">
        <f>F25+F43+F59+F73+F80+F95+F107+F116</f>
        <v>54572</v>
      </c>
      <c r="G118" s="184" t="str">
        <f>IFERROR(F118/#REF!,"")</f>
        <v/>
      </c>
      <c r="H118" s="182"/>
      <c r="I118" s="204" t="s">
        <v>21</v>
      </c>
      <c r="J118" s="205">
        <f>SUM(J6:J116)</f>
        <v>32040</v>
      </c>
      <c r="K118" s="205">
        <f>SUM(K6:K116)</f>
        <v>22532</v>
      </c>
      <c r="L118" s="205">
        <f>SUM(L6:L116)</f>
        <v>32040</v>
      </c>
      <c r="M118" s="205">
        <f>SUM(M6:M116)</f>
        <v>22532</v>
      </c>
    </row>
    <row r="119" spans="1:13" ht="17.25" customHeight="1">
      <c r="A119" s="164"/>
      <c r="B119" s="49"/>
      <c r="C119" s="49"/>
      <c r="D119" s="49"/>
      <c r="E119" s="49"/>
      <c r="F119" s="49"/>
      <c r="G119" s="48"/>
      <c r="H119" s="176"/>
      <c r="I119" s="179"/>
      <c r="J119" s="44"/>
      <c r="M119" s="201"/>
    </row>
    <row r="120" spans="1:13" ht="15" customHeight="1">
      <c r="A120" s="164"/>
      <c r="B120" s="216" t="s">
        <v>78</v>
      </c>
      <c r="C120" s="217"/>
      <c r="D120" s="61"/>
      <c r="E120" s="61"/>
      <c r="F120" s="69"/>
      <c r="G120" s="132" t="str">
        <f>IFERROR(F120/#REF!,"")</f>
        <v/>
      </c>
      <c r="H120" s="172"/>
      <c r="J120" s="44"/>
      <c r="M120" s="201"/>
    </row>
    <row r="121" spans="1:13" ht="15" customHeight="1">
      <c r="A121" s="168"/>
      <c r="B121" s="216" t="s">
        <v>79</v>
      </c>
      <c r="C121" s="217"/>
      <c r="D121" s="215"/>
      <c r="E121" s="215"/>
      <c r="F121" s="215"/>
      <c r="G121" s="132" t="str">
        <f>IFERROR(F121/#REF!,"")</f>
        <v/>
      </c>
      <c r="H121" s="177"/>
      <c r="J121" s="44"/>
      <c r="M121" s="201"/>
    </row>
    <row r="122" spans="1:13" ht="15" customHeight="1">
      <c r="A122" s="168"/>
      <c r="B122" s="177"/>
      <c r="C122" s="177"/>
      <c r="D122" s="177"/>
      <c r="E122" s="177"/>
      <c r="F122" s="177"/>
      <c r="G122" s="178"/>
      <c r="H122" s="168"/>
      <c r="J122" s="86"/>
      <c r="K122" s="81"/>
    </row>
    <row r="123" spans="1:13" ht="15" customHeight="1">
      <c r="I123" s="85"/>
    </row>
    <row r="125" spans="1:13" ht="15" customHeight="1">
      <c r="D125" s="44" t="s">
        <v>130</v>
      </c>
      <c r="E125" s="44" t="s">
        <v>131</v>
      </c>
      <c r="F125" s="44" t="s">
        <v>132</v>
      </c>
    </row>
  </sheetData>
  <mergeCells count="12">
    <mergeCell ref="B2:G2"/>
    <mergeCell ref="B118:C118"/>
    <mergeCell ref="B46:B59"/>
    <mergeCell ref="D121:F121"/>
    <mergeCell ref="B121:C121"/>
    <mergeCell ref="B120:C120"/>
    <mergeCell ref="B93:B95"/>
    <mergeCell ref="B32:B43"/>
    <mergeCell ref="B6:B25"/>
    <mergeCell ref="B60:B73"/>
    <mergeCell ref="B96:B106"/>
    <mergeCell ref="B108:B116"/>
  </mergeCells>
  <phoneticPr fontId="3" type="noConversion"/>
  <printOptions horizontalCentered="1"/>
  <pageMargins left="0" right="0" top="0.78740157480314965" bottom="0.22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520C-7E61-41A8-8D05-F581023D0473}">
  <sheetPr codeName="Sheet1"/>
  <dimension ref="B1:DF15"/>
  <sheetViews>
    <sheetView zoomScale="70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40" sqref="D40"/>
    </sheetView>
  </sheetViews>
  <sheetFormatPr defaultRowHeight="16.5"/>
  <cols>
    <col min="2" max="2" width="16" bestFit="1" customWidth="1"/>
    <col min="3" max="3" width="16.75" hidden="1" customWidth="1"/>
    <col min="4" max="4" width="30.375" bestFit="1" customWidth="1"/>
    <col min="5" max="9" width="0" hidden="1" customWidth="1"/>
    <col min="10" max="10" width="10.125" bestFit="1" customWidth="1"/>
    <col min="11" max="12" width="10.625" bestFit="1" customWidth="1"/>
    <col min="13" max="13" width="29.625" customWidth="1"/>
    <col min="39" max="39" width="9" customWidth="1"/>
    <col min="60" max="60" width="9" customWidth="1"/>
  </cols>
  <sheetData>
    <row r="1" spans="2:110" ht="30.75" customHeight="1" thickBot="1">
      <c r="B1" s="40" t="s">
        <v>0</v>
      </c>
      <c r="C1" s="41" t="s">
        <v>1</v>
      </c>
      <c r="D1" s="41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1" t="s">
        <v>8</v>
      </c>
      <c r="K1" s="41" t="s">
        <v>9</v>
      </c>
      <c r="L1" s="41" t="s">
        <v>10</v>
      </c>
      <c r="M1" s="43" t="s">
        <v>22</v>
      </c>
      <c r="N1" t="s">
        <v>11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5</v>
      </c>
      <c r="AD1" t="s">
        <v>6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5</v>
      </c>
      <c r="AK1" t="s">
        <v>6</v>
      </c>
      <c r="AL1" t="s">
        <v>7</v>
      </c>
      <c r="AM1" t="s">
        <v>8</v>
      </c>
      <c r="AN1" t="s">
        <v>9</v>
      </c>
      <c r="AO1" t="s">
        <v>10</v>
      </c>
      <c r="AP1" t="s">
        <v>11</v>
      </c>
      <c r="AQ1" t="s">
        <v>5</v>
      </c>
      <c r="AR1" t="s">
        <v>6</v>
      </c>
      <c r="AS1" t="s">
        <v>7</v>
      </c>
      <c r="AT1" t="s">
        <v>8</v>
      </c>
      <c r="AU1" t="s">
        <v>9</v>
      </c>
      <c r="AV1" t="s">
        <v>10</v>
      </c>
      <c r="AW1" t="s">
        <v>11</v>
      </c>
      <c r="AX1" t="s">
        <v>5</v>
      </c>
      <c r="AY1" t="s">
        <v>6</v>
      </c>
      <c r="AZ1" t="s">
        <v>7</v>
      </c>
      <c r="BA1" t="s">
        <v>8</v>
      </c>
      <c r="BB1" t="s">
        <v>9</v>
      </c>
      <c r="BC1" t="s">
        <v>10</v>
      </c>
      <c r="BD1" t="s">
        <v>11</v>
      </c>
      <c r="BE1" t="s">
        <v>5</v>
      </c>
      <c r="BF1" t="s">
        <v>6</v>
      </c>
      <c r="BG1" t="s">
        <v>7</v>
      </c>
      <c r="BH1" t="s">
        <v>8</v>
      </c>
      <c r="BI1" t="s">
        <v>9</v>
      </c>
      <c r="BJ1" t="s">
        <v>10</v>
      </c>
      <c r="BK1" t="s">
        <v>11</v>
      </c>
      <c r="BL1" t="s">
        <v>5</v>
      </c>
      <c r="BM1" t="s">
        <v>6</v>
      </c>
      <c r="BN1" t="s">
        <v>7</v>
      </c>
      <c r="BO1" t="s">
        <v>8</v>
      </c>
      <c r="BP1" t="s">
        <v>9</v>
      </c>
      <c r="BQ1" t="s">
        <v>10</v>
      </c>
      <c r="BR1" t="s">
        <v>11</v>
      </c>
      <c r="BS1" t="s">
        <v>5</v>
      </c>
      <c r="BT1" t="s">
        <v>6</v>
      </c>
      <c r="BU1" t="s">
        <v>7</v>
      </c>
      <c r="BV1" t="s">
        <v>8</v>
      </c>
      <c r="BW1" t="s">
        <v>9</v>
      </c>
      <c r="BX1" t="s">
        <v>10</v>
      </c>
      <c r="BY1" t="s">
        <v>11</v>
      </c>
      <c r="BZ1" t="s">
        <v>5</v>
      </c>
      <c r="CA1" t="s">
        <v>6</v>
      </c>
      <c r="CB1" t="s">
        <v>7</v>
      </c>
      <c r="CC1" t="s">
        <v>8</v>
      </c>
      <c r="CD1" t="s">
        <v>9</v>
      </c>
      <c r="CE1" t="s">
        <v>10</v>
      </c>
      <c r="CF1" t="s">
        <v>11</v>
      </c>
      <c r="CG1" t="s">
        <v>5</v>
      </c>
      <c r="CH1" t="s">
        <v>6</v>
      </c>
      <c r="CI1" t="s">
        <v>7</v>
      </c>
      <c r="CJ1" t="s">
        <v>8</v>
      </c>
      <c r="CK1" t="s">
        <v>9</v>
      </c>
      <c r="CL1" t="s">
        <v>10</v>
      </c>
      <c r="CM1" t="s">
        <v>11</v>
      </c>
      <c r="CN1" t="s">
        <v>5</v>
      </c>
      <c r="CO1" t="s">
        <v>6</v>
      </c>
      <c r="CP1" t="s">
        <v>7</v>
      </c>
      <c r="CQ1" t="s">
        <v>8</v>
      </c>
      <c r="CR1" t="s">
        <v>9</v>
      </c>
      <c r="CS1" t="s">
        <v>10</v>
      </c>
      <c r="CT1" t="s">
        <v>11</v>
      </c>
      <c r="CU1" t="s">
        <v>5</v>
      </c>
      <c r="CV1" t="s">
        <v>6</v>
      </c>
      <c r="CW1" t="s">
        <v>7</v>
      </c>
      <c r="CX1" t="s">
        <v>8</v>
      </c>
      <c r="CY1" t="s">
        <v>9</v>
      </c>
      <c r="CZ1" t="s">
        <v>10</v>
      </c>
      <c r="DA1" t="s">
        <v>11</v>
      </c>
      <c r="DB1" t="s">
        <v>5</v>
      </c>
      <c r="DC1" t="s">
        <v>6</v>
      </c>
      <c r="DD1" t="s">
        <v>7</v>
      </c>
      <c r="DE1" t="s">
        <v>8</v>
      </c>
      <c r="DF1" t="s">
        <v>9</v>
      </c>
    </row>
    <row r="2" spans="2:110" ht="30.75" customHeight="1">
      <c r="B2" s="223" t="s">
        <v>13</v>
      </c>
      <c r="C2" s="14" t="s">
        <v>15</v>
      </c>
      <c r="D2" s="223" t="s">
        <v>17</v>
      </c>
      <c r="E2" s="1"/>
      <c r="F2" s="1"/>
      <c r="G2" s="1"/>
      <c r="H2" s="1"/>
      <c r="I2" s="1"/>
      <c r="J2" s="15">
        <v>2576</v>
      </c>
      <c r="K2" s="24">
        <v>1279</v>
      </c>
      <c r="L2" s="24">
        <v>1444</v>
      </c>
      <c r="M2" s="29" t="s">
        <v>23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  <c r="AF2" s="2"/>
      <c r="AG2" s="2"/>
      <c r="AH2" s="2"/>
      <c r="AI2" s="2"/>
      <c r="AJ2" s="2"/>
      <c r="AK2" s="2"/>
    </row>
    <row r="3" spans="2:110" ht="30.75" customHeight="1">
      <c r="B3" s="225"/>
      <c r="C3" s="30" t="s">
        <v>15</v>
      </c>
      <c r="D3" s="225"/>
      <c r="E3" s="31"/>
      <c r="F3" s="31"/>
      <c r="G3" s="31"/>
      <c r="H3" s="31"/>
      <c r="I3" s="31"/>
      <c r="J3" s="32"/>
      <c r="K3" s="31">
        <f t="shared" ref="K3:AD3" si="0">K2/J2</f>
        <v>0.49650621118012422</v>
      </c>
      <c r="L3" s="31">
        <f t="shared" si="0"/>
        <v>1.1290070367474589</v>
      </c>
      <c r="M3" s="33"/>
      <c r="N3" s="2">
        <f>N2/L2</f>
        <v>0</v>
      </c>
      <c r="O3" s="2" t="e">
        <f t="shared" si="0"/>
        <v>#DIV/0!</v>
      </c>
      <c r="P3" s="2" t="e">
        <f t="shared" si="0"/>
        <v>#DIV/0!</v>
      </c>
      <c r="Q3" s="2" t="e">
        <f t="shared" si="0"/>
        <v>#DIV/0!</v>
      </c>
      <c r="R3" s="2" t="e">
        <f t="shared" si="0"/>
        <v>#DIV/0!</v>
      </c>
      <c r="S3" s="2" t="e">
        <f t="shared" si="0"/>
        <v>#DIV/0!</v>
      </c>
      <c r="T3" s="2" t="e">
        <f t="shared" si="0"/>
        <v>#DIV/0!</v>
      </c>
      <c r="U3" s="2" t="e">
        <f t="shared" si="0"/>
        <v>#DIV/0!</v>
      </c>
      <c r="V3" s="2" t="e">
        <f t="shared" si="0"/>
        <v>#DIV/0!</v>
      </c>
      <c r="W3" s="2" t="e">
        <f t="shared" si="0"/>
        <v>#DIV/0!</v>
      </c>
      <c r="X3" s="2" t="e">
        <f t="shared" si="0"/>
        <v>#DIV/0!</v>
      </c>
      <c r="Y3" s="2" t="e">
        <f t="shared" si="0"/>
        <v>#DIV/0!</v>
      </c>
      <c r="Z3" s="2" t="e">
        <f t="shared" si="0"/>
        <v>#DIV/0!</v>
      </c>
      <c r="AA3" s="2" t="e">
        <f t="shared" si="0"/>
        <v>#DIV/0!</v>
      </c>
      <c r="AB3" s="2" t="e">
        <f t="shared" si="0"/>
        <v>#DIV/0!</v>
      </c>
      <c r="AC3" s="2" t="e">
        <f t="shared" si="0"/>
        <v>#DIV/0!</v>
      </c>
      <c r="AD3" s="2" t="e">
        <f t="shared" si="0"/>
        <v>#DIV/0!</v>
      </c>
      <c r="AE3" s="2"/>
      <c r="AF3" s="2"/>
      <c r="AG3" s="2"/>
      <c r="AH3" s="2"/>
      <c r="AI3" s="2"/>
      <c r="AJ3" s="2"/>
      <c r="AK3" s="2"/>
    </row>
    <row r="4" spans="2:110" ht="30.75" customHeight="1">
      <c r="B4" s="223" t="s">
        <v>13</v>
      </c>
      <c r="C4" s="14" t="s">
        <v>15</v>
      </c>
      <c r="D4" s="223" t="s">
        <v>18</v>
      </c>
      <c r="E4" s="1"/>
      <c r="F4" s="1"/>
      <c r="G4" s="1"/>
      <c r="H4" s="1"/>
      <c r="I4" s="1"/>
      <c r="J4" s="15">
        <v>1886</v>
      </c>
      <c r="K4" s="24">
        <v>1163</v>
      </c>
      <c r="L4" s="24">
        <v>1103</v>
      </c>
      <c r="M4" s="2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2"/>
      <c r="AF4" s="2"/>
      <c r="AG4" s="2"/>
      <c r="AH4" s="2"/>
      <c r="AI4" s="2"/>
      <c r="AJ4" s="2"/>
      <c r="AK4" s="2"/>
    </row>
    <row r="5" spans="2:110" ht="30.75" customHeight="1" thickBot="1">
      <c r="B5" s="224"/>
      <c r="C5" s="9"/>
      <c r="D5" s="224"/>
      <c r="E5" s="10"/>
      <c r="F5" s="10"/>
      <c r="G5" s="10"/>
      <c r="H5" s="10"/>
      <c r="I5" s="10"/>
      <c r="J5" s="16"/>
      <c r="K5" s="10">
        <f>K4/J4</f>
        <v>0.61664899257688233</v>
      </c>
      <c r="L5" s="10">
        <f>L4/K4</f>
        <v>0.94840928632846089</v>
      </c>
      <c r="M5" s="26"/>
      <c r="N5" s="2">
        <f>N4/L4</f>
        <v>0</v>
      </c>
      <c r="O5" s="2" t="e">
        <f t="shared" ref="O5:AD5" si="1">O4/N4</f>
        <v>#DIV/0!</v>
      </c>
      <c r="P5" s="2" t="e">
        <f t="shared" si="1"/>
        <v>#DIV/0!</v>
      </c>
      <c r="Q5" s="2" t="e">
        <f t="shared" si="1"/>
        <v>#DIV/0!</v>
      </c>
      <c r="R5" s="2" t="e">
        <f t="shared" si="1"/>
        <v>#DIV/0!</v>
      </c>
      <c r="S5" s="2" t="e">
        <f t="shared" si="1"/>
        <v>#DIV/0!</v>
      </c>
      <c r="T5" s="2" t="e">
        <f t="shared" si="1"/>
        <v>#DIV/0!</v>
      </c>
      <c r="U5" s="2" t="e">
        <f t="shared" si="1"/>
        <v>#DIV/0!</v>
      </c>
      <c r="V5" s="2" t="e">
        <f t="shared" si="1"/>
        <v>#DIV/0!</v>
      </c>
      <c r="W5" s="2" t="e">
        <f t="shared" si="1"/>
        <v>#DIV/0!</v>
      </c>
      <c r="X5" s="2" t="e">
        <f t="shared" si="1"/>
        <v>#DIV/0!</v>
      </c>
      <c r="Y5" s="2" t="e">
        <f t="shared" si="1"/>
        <v>#DIV/0!</v>
      </c>
      <c r="Z5" s="2" t="e">
        <f t="shared" si="1"/>
        <v>#DIV/0!</v>
      </c>
      <c r="AA5" s="2" t="e">
        <f t="shared" si="1"/>
        <v>#DIV/0!</v>
      </c>
      <c r="AB5" s="2" t="e">
        <f t="shared" si="1"/>
        <v>#DIV/0!</v>
      </c>
      <c r="AC5" s="2" t="e">
        <f t="shared" si="1"/>
        <v>#DIV/0!</v>
      </c>
      <c r="AD5" s="2" t="e">
        <f t="shared" si="1"/>
        <v>#DIV/0!</v>
      </c>
      <c r="AE5" s="2"/>
      <c r="AF5" s="2"/>
      <c r="AG5" s="2"/>
      <c r="AH5" s="2"/>
      <c r="AI5" s="2"/>
      <c r="AJ5" s="2"/>
      <c r="AK5" s="2"/>
    </row>
    <row r="6" spans="2:110" ht="30.75" customHeight="1">
      <c r="B6" s="4"/>
      <c r="C6" s="3"/>
      <c r="D6" s="5" t="s">
        <v>21</v>
      </c>
      <c r="E6" s="6"/>
      <c r="F6" s="6"/>
      <c r="G6" s="6"/>
      <c r="H6" s="6"/>
      <c r="I6" s="6"/>
      <c r="J6" s="7">
        <f>J2+J4</f>
        <v>4462</v>
      </c>
      <c r="K6" s="7">
        <f>K2+K4</f>
        <v>2442</v>
      </c>
      <c r="L6" s="7">
        <f>L2+L4</f>
        <v>2547</v>
      </c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2:110" ht="30.75" customHeight="1" thickBot="1">
      <c r="B7" s="8"/>
      <c r="C7" s="9"/>
      <c r="D7" s="8" t="s">
        <v>25</v>
      </c>
      <c r="E7" s="10"/>
      <c r="F7" s="10"/>
      <c r="G7" s="10"/>
      <c r="H7" s="10"/>
      <c r="I7" s="10"/>
      <c r="J7" s="11"/>
      <c r="K7" s="12">
        <f>K6/J6</f>
        <v>0.54728821156432095</v>
      </c>
      <c r="L7" s="12">
        <f>L6/K6</f>
        <v>1.0429975429975431</v>
      </c>
      <c r="M7" s="28"/>
      <c r="N7" s="2">
        <f>N6/L6</f>
        <v>0</v>
      </c>
      <c r="O7" s="2" t="e">
        <f t="shared" ref="O7:AD7" si="2">O6/N6</f>
        <v>#DIV/0!</v>
      </c>
      <c r="P7" s="2" t="e">
        <f t="shared" si="2"/>
        <v>#DIV/0!</v>
      </c>
      <c r="Q7" s="2" t="e">
        <f t="shared" si="2"/>
        <v>#DIV/0!</v>
      </c>
      <c r="R7" s="2" t="e">
        <f t="shared" si="2"/>
        <v>#DIV/0!</v>
      </c>
      <c r="S7" s="2" t="e">
        <f t="shared" si="2"/>
        <v>#DIV/0!</v>
      </c>
      <c r="T7" s="2" t="e">
        <f t="shared" si="2"/>
        <v>#DIV/0!</v>
      </c>
      <c r="U7" s="2" t="e">
        <f t="shared" si="2"/>
        <v>#DIV/0!</v>
      </c>
      <c r="V7" s="2" t="e">
        <f t="shared" si="2"/>
        <v>#DIV/0!</v>
      </c>
      <c r="W7" s="2" t="e">
        <f t="shared" si="2"/>
        <v>#DIV/0!</v>
      </c>
      <c r="X7" s="2" t="e">
        <f t="shared" si="2"/>
        <v>#DIV/0!</v>
      </c>
      <c r="Y7" s="2" t="e">
        <f t="shared" si="2"/>
        <v>#DIV/0!</v>
      </c>
      <c r="Z7" s="2" t="e">
        <f t="shared" si="2"/>
        <v>#DIV/0!</v>
      </c>
      <c r="AA7" s="2" t="e">
        <f t="shared" si="2"/>
        <v>#DIV/0!</v>
      </c>
      <c r="AB7" s="2" t="e">
        <f t="shared" si="2"/>
        <v>#DIV/0!</v>
      </c>
      <c r="AC7" s="2" t="e">
        <f t="shared" si="2"/>
        <v>#DIV/0!</v>
      </c>
      <c r="AD7" s="2" t="e">
        <f t="shared" si="2"/>
        <v>#DIV/0!</v>
      </c>
      <c r="AE7" s="2"/>
      <c r="AF7" s="2"/>
      <c r="AG7" s="2"/>
      <c r="AH7" s="2"/>
      <c r="AI7" s="2"/>
      <c r="AJ7" s="2"/>
      <c r="AK7" s="2"/>
    </row>
    <row r="8" spans="2:110" ht="30.75" customHeight="1">
      <c r="B8" s="226" t="s">
        <v>14</v>
      </c>
      <c r="C8" s="34" t="s">
        <v>16</v>
      </c>
      <c r="D8" s="226" t="s">
        <v>19</v>
      </c>
      <c r="E8" s="35"/>
      <c r="F8" s="35"/>
      <c r="G8" s="35"/>
      <c r="H8" s="35"/>
      <c r="I8" s="35"/>
      <c r="J8" s="36">
        <v>1945</v>
      </c>
      <c r="K8" s="37">
        <v>601</v>
      </c>
      <c r="L8" s="37">
        <v>969</v>
      </c>
      <c r="M8" s="38" t="s">
        <v>24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2"/>
      <c r="AF8" s="2"/>
      <c r="AG8" s="2"/>
      <c r="AH8" s="2"/>
      <c r="AI8" s="2"/>
      <c r="AJ8" s="2"/>
      <c r="AK8" s="2"/>
    </row>
    <row r="9" spans="2:110" ht="30.75" customHeight="1">
      <c r="B9" s="225" t="s">
        <v>12</v>
      </c>
      <c r="C9" s="30" t="s">
        <v>16</v>
      </c>
      <c r="D9" s="225" t="s">
        <v>19</v>
      </c>
      <c r="E9" s="31"/>
      <c r="F9" s="31"/>
      <c r="G9" s="31"/>
      <c r="H9" s="31"/>
      <c r="I9" s="31"/>
      <c r="J9" s="39"/>
      <c r="K9" s="31">
        <f t="shared" ref="K9:AD9" si="3">K8/J8</f>
        <v>0.30899742930591262</v>
      </c>
      <c r="L9" s="31">
        <f t="shared" si="3"/>
        <v>1.6123128119800332</v>
      </c>
      <c r="M9" s="33"/>
      <c r="N9" s="2">
        <f>N8/L8</f>
        <v>0</v>
      </c>
      <c r="O9" s="2" t="e">
        <f t="shared" si="3"/>
        <v>#DIV/0!</v>
      </c>
      <c r="P9" s="2" t="e">
        <f t="shared" si="3"/>
        <v>#DIV/0!</v>
      </c>
      <c r="Q9" s="2" t="e">
        <f t="shared" si="3"/>
        <v>#DIV/0!</v>
      </c>
      <c r="R9" s="2" t="e">
        <f t="shared" si="3"/>
        <v>#DIV/0!</v>
      </c>
      <c r="S9" s="2" t="e">
        <f t="shared" si="3"/>
        <v>#DIV/0!</v>
      </c>
      <c r="T9" s="2" t="e">
        <f t="shared" si="3"/>
        <v>#DIV/0!</v>
      </c>
      <c r="U9" s="2" t="e">
        <f t="shared" si="3"/>
        <v>#DIV/0!</v>
      </c>
      <c r="V9" s="2" t="e">
        <f t="shared" si="3"/>
        <v>#DIV/0!</v>
      </c>
      <c r="W9" s="2" t="e">
        <f t="shared" si="3"/>
        <v>#DIV/0!</v>
      </c>
      <c r="X9" s="2" t="e">
        <f t="shared" si="3"/>
        <v>#DIV/0!</v>
      </c>
      <c r="Y9" s="2" t="e">
        <f t="shared" si="3"/>
        <v>#DIV/0!</v>
      </c>
      <c r="Z9" s="2" t="e">
        <f t="shared" si="3"/>
        <v>#DIV/0!</v>
      </c>
      <c r="AA9" s="2" t="e">
        <f t="shared" si="3"/>
        <v>#DIV/0!</v>
      </c>
      <c r="AB9" s="2" t="e">
        <f t="shared" si="3"/>
        <v>#DIV/0!</v>
      </c>
      <c r="AC9" s="2" t="e">
        <f t="shared" si="3"/>
        <v>#DIV/0!</v>
      </c>
      <c r="AD9" s="2" t="e">
        <f t="shared" si="3"/>
        <v>#DIV/0!</v>
      </c>
      <c r="AE9" s="2"/>
      <c r="AF9" s="2"/>
      <c r="AG9" s="2"/>
      <c r="AH9" s="2"/>
      <c r="AI9" s="2"/>
      <c r="AJ9" s="2"/>
      <c r="AK9" s="2"/>
    </row>
    <row r="10" spans="2:110" ht="30.75" customHeight="1">
      <c r="B10" s="223" t="s">
        <v>14</v>
      </c>
      <c r="C10" s="14" t="s">
        <v>16</v>
      </c>
      <c r="D10" s="223" t="s">
        <v>20</v>
      </c>
      <c r="E10" s="1"/>
      <c r="F10" s="1"/>
      <c r="G10" s="1"/>
      <c r="H10" s="1"/>
      <c r="I10" s="1"/>
      <c r="J10" s="15">
        <v>1630</v>
      </c>
      <c r="K10" s="24">
        <v>415</v>
      </c>
      <c r="L10" s="24">
        <v>761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2"/>
      <c r="AF10" s="2"/>
      <c r="AG10" s="2"/>
      <c r="AH10" s="2"/>
      <c r="AI10" s="2"/>
      <c r="AJ10" s="2"/>
      <c r="AK10" s="2"/>
    </row>
    <row r="11" spans="2:110" ht="30.75" customHeight="1" thickBot="1">
      <c r="B11" s="224" t="s">
        <v>12</v>
      </c>
      <c r="C11" s="9" t="s">
        <v>16</v>
      </c>
      <c r="D11" s="224" t="s">
        <v>20</v>
      </c>
      <c r="E11" s="10"/>
      <c r="F11" s="10"/>
      <c r="G11" s="10"/>
      <c r="H11" s="10"/>
      <c r="I11" s="10"/>
      <c r="J11" s="23"/>
      <c r="K11" s="10">
        <f>K10/J10</f>
        <v>0.254601226993865</v>
      </c>
      <c r="L11" s="10">
        <f>L10/K10</f>
        <v>1.8337349397590361</v>
      </c>
      <c r="M11" s="17"/>
      <c r="N11" s="2">
        <f>N10/L10</f>
        <v>0</v>
      </c>
      <c r="O11" s="2" t="e">
        <f t="shared" ref="O11:AD11" si="4">O10/N10</f>
        <v>#DIV/0!</v>
      </c>
      <c r="P11" s="2" t="e">
        <f t="shared" si="4"/>
        <v>#DIV/0!</v>
      </c>
      <c r="Q11" s="2" t="e">
        <f t="shared" si="4"/>
        <v>#DIV/0!</v>
      </c>
      <c r="R11" s="2" t="e">
        <f t="shared" si="4"/>
        <v>#DIV/0!</v>
      </c>
      <c r="S11" s="2" t="e">
        <f t="shared" si="4"/>
        <v>#DIV/0!</v>
      </c>
      <c r="T11" s="2" t="e">
        <f t="shared" si="4"/>
        <v>#DIV/0!</v>
      </c>
      <c r="U11" s="2" t="e">
        <f t="shared" si="4"/>
        <v>#DIV/0!</v>
      </c>
      <c r="V11" s="2" t="e">
        <f t="shared" si="4"/>
        <v>#DIV/0!</v>
      </c>
      <c r="W11" s="2" t="e">
        <f t="shared" si="4"/>
        <v>#DIV/0!</v>
      </c>
      <c r="X11" s="2" t="e">
        <f t="shared" si="4"/>
        <v>#DIV/0!</v>
      </c>
      <c r="Y11" s="2" t="e">
        <f t="shared" si="4"/>
        <v>#DIV/0!</v>
      </c>
      <c r="Z11" s="2" t="e">
        <f t="shared" si="4"/>
        <v>#DIV/0!</v>
      </c>
      <c r="AA11" s="2" t="e">
        <f t="shared" si="4"/>
        <v>#DIV/0!</v>
      </c>
      <c r="AB11" s="2" t="e">
        <f t="shared" si="4"/>
        <v>#DIV/0!</v>
      </c>
      <c r="AC11" s="2" t="e">
        <f t="shared" si="4"/>
        <v>#DIV/0!</v>
      </c>
      <c r="AD11" s="2" t="e">
        <f t="shared" si="4"/>
        <v>#DIV/0!</v>
      </c>
      <c r="AE11" s="2"/>
      <c r="AF11" s="2"/>
      <c r="AG11" s="2"/>
      <c r="AH11" s="2"/>
      <c r="AI11" s="2"/>
      <c r="AJ11" s="2"/>
      <c r="AK11" s="2"/>
    </row>
    <row r="12" spans="2:110" ht="30.75" customHeight="1">
      <c r="B12" s="4"/>
      <c r="C12" s="3"/>
      <c r="D12" s="5" t="s">
        <v>21</v>
      </c>
      <c r="E12" s="18"/>
      <c r="F12" s="18"/>
      <c r="G12" s="18"/>
      <c r="H12" s="18"/>
      <c r="I12" s="18"/>
      <c r="J12" s="19">
        <f>J8+J10</f>
        <v>3575</v>
      </c>
      <c r="K12" s="19">
        <f>K8+K10</f>
        <v>1016</v>
      </c>
      <c r="L12" s="19">
        <f>L8+L10</f>
        <v>1730</v>
      </c>
      <c r="M12" s="2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2:110" ht="30.75" customHeight="1" thickBot="1">
      <c r="B13" s="21"/>
      <c r="C13" s="22"/>
      <c r="D13" s="21"/>
      <c r="E13" s="10"/>
      <c r="F13" s="10"/>
      <c r="G13" s="10"/>
      <c r="H13" s="10"/>
      <c r="I13" s="10"/>
      <c r="J13" s="11"/>
      <c r="K13" s="12">
        <f>K12/J12</f>
        <v>0.2841958041958042</v>
      </c>
      <c r="L13" s="12">
        <f>L12/K12</f>
        <v>1.7027559055118111</v>
      </c>
      <c r="M13" s="13"/>
      <c r="N13" s="2">
        <f>N12/L12</f>
        <v>0</v>
      </c>
      <c r="O13" s="2" t="e">
        <f t="shared" ref="O13:AD13" si="5">O12/N12</f>
        <v>#DIV/0!</v>
      </c>
      <c r="P13" s="2" t="e">
        <f t="shared" si="5"/>
        <v>#DIV/0!</v>
      </c>
      <c r="Q13" s="2" t="e">
        <f t="shared" si="5"/>
        <v>#DIV/0!</v>
      </c>
      <c r="R13" s="2" t="e">
        <f t="shared" si="5"/>
        <v>#DIV/0!</v>
      </c>
      <c r="S13" s="2" t="e">
        <f t="shared" si="5"/>
        <v>#DIV/0!</v>
      </c>
      <c r="T13" s="2" t="e">
        <f t="shared" si="5"/>
        <v>#DIV/0!</v>
      </c>
      <c r="U13" s="2" t="e">
        <f t="shared" si="5"/>
        <v>#DIV/0!</v>
      </c>
      <c r="V13" s="2" t="e">
        <f t="shared" si="5"/>
        <v>#DIV/0!</v>
      </c>
      <c r="W13" s="2" t="e">
        <f t="shared" si="5"/>
        <v>#DIV/0!</v>
      </c>
      <c r="X13" s="2" t="e">
        <f t="shared" si="5"/>
        <v>#DIV/0!</v>
      </c>
      <c r="Y13" s="2" t="e">
        <f t="shared" si="5"/>
        <v>#DIV/0!</v>
      </c>
      <c r="Z13" s="2" t="e">
        <f t="shared" si="5"/>
        <v>#DIV/0!</v>
      </c>
      <c r="AA13" s="2" t="e">
        <f t="shared" si="5"/>
        <v>#DIV/0!</v>
      </c>
      <c r="AB13" s="2" t="e">
        <f t="shared" si="5"/>
        <v>#DIV/0!</v>
      </c>
      <c r="AC13" s="2" t="e">
        <f t="shared" si="5"/>
        <v>#DIV/0!</v>
      </c>
      <c r="AD13" s="2" t="e">
        <f t="shared" si="5"/>
        <v>#DIV/0!</v>
      </c>
      <c r="AE13" s="2"/>
      <c r="AF13" s="2"/>
      <c r="AG13" s="2"/>
      <c r="AH13" s="2"/>
      <c r="AI13" s="2"/>
      <c r="AJ13" s="2"/>
      <c r="AK13" s="2"/>
    </row>
    <row r="14" spans="2:110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2:110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</sheetData>
  <mergeCells count="8">
    <mergeCell ref="B10:B11"/>
    <mergeCell ref="D10:D11"/>
    <mergeCell ref="D2:D3"/>
    <mergeCell ref="B2:B3"/>
    <mergeCell ref="B4:B5"/>
    <mergeCell ref="D4:D5"/>
    <mergeCell ref="B8:B9"/>
    <mergeCell ref="D8:D9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F28B-5E5D-488D-9F40-B4D4954A186D}">
  <sheetPr codeName="Sheet3">
    <tabColor rgb="FF00B0F0"/>
  </sheetPr>
  <dimension ref="A1:P57"/>
  <sheetViews>
    <sheetView showGridLines="0" zoomScale="90" zoomScaleNormal="90" workbookViewId="0">
      <selection activeCell="M22" sqref="M22"/>
    </sheetView>
  </sheetViews>
  <sheetFormatPr defaultRowHeight="15" customHeight="1"/>
  <cols>
    <col min="1" max="1" width="1.625" style="44" customWidth="1"/>
    <col min="2" max="2" width="6.625" style="44" customWidth="1"/>
    <col min="3" max="3" width="20.625" style="44" customWidth="1"/>
    <col min="4" max="6" width="10.625" style="44" customWidth="1"/>
    <col min="7" max="8" width="10.875" style="44" customWidth="1"/>
    <col min="9" max="9" width="10.625" style="44" customWidth="1"/>
    <col min="10" max="10" width="6.625" style="45" customWidth="1"/>
    <col min="11" max="11" width="1.625" style="44" customWidth="1"/>
    <col min="12" max="12" width="20.625" style="44" customWidth="1"/>
    <col min="13" max="14" width="10.625" style="44" customWidth="1"/>
    <col min="15" max="15" width="11.625" bestFit="1" customWidth="1"/>
  </cols>
  <sheetData>
    <row r="1" spans="1:16" ht="9.9499999999999993" customHeight="1">
      <c r="A1" s="81"/>
      <c r="B1" s="81"/>
      <c r="C1" s="81"/>
      <c r="D1" s="81"/>
      <c r="E1" s="81"/>
      <c r="F1" s="81"/>
      <c r="G1" s="81"/>
      <c r="H1" s="81"/>
      <c r="I1" s="81"/>
      <c r="J1" s="82"/>
      <c r="K1" s="81"/>
    </row>
    <row r="2" spans="1:16" ht="15" customHeight="1">
      <c r="A2" s="81"/>
      <c r="B2" s="210" t="s">
        <v>77</v>
      </c>
      <c r="C2" s="210"/>
      <c r="D2" s="210"/>
      <c r="E2" s="210"/>
      <c r="F2" s="210"/>
      <c r="G2" s="210"/>
      <c r="H2" s="210"/>
      <c r="I2" s="210"/>
      <c r="J2" s="210"/>
      <c r="K2" s="81"/>
    </row>
    <row r="3" spans="1:16" ht="15" customHeight="1">
      <c r="A3" s="81"/>
      <c r="B3" s="47"/>
      <c r="C3" s="47"/>
      <c r="D3" s="46"/>
      <c r="E3" s="46"/>
      <c r="F3" s="46"/>
      <c r="G3" s="46"/>
      <c r="H3" s="46"/>
      <c r="I3" s="46"/>
      <c r="J3" s="93" t="s">
        <v>76</v>
      </c>
      <c r="K3" s="81"/>
      <c r="M3" s="230" t="s">
        <v>81</v>
      </c>
      <c r="N3" s="230"/>
    </row>
    <row r="4" spans="1:16" ht="15" customHeight="1">
      <c r="A4" s="87"/>
      <c r="B4" s="231" t="s">
        <v>69</v>
      </c>
      <c r="C4" s="233" t="s">
        <v>2</v>
      </c>
      <c r="D4" s="235">
        <v>44396</v>
      </c>
      <c r="E4" s="235"/>
      <c r="F4" s="235"/>
      <c r="G4" s="236">
        <v>44397</v>
      </c>
      <c r="H4" s="236"/>
      <c r="I4" s="236"/>
      <c r="J4" s="88" t="s">
        <v>74</v>
      </c>
      <c r="K4" s="83"/>
      <c r="L4" s="80" t="s">
        <v>82</v>
      </c>
      <c r="M4" s="80" t="s">
        <v>67</v>
      </c>
      <c r="N4" s="80" t="s">
        <v>68</v>
      </c>
      <c r="O4" s="80" t="s">
        <v>84</v>
      </c>
      <c r="P4" s="80" t="s">
        <v>85</v>
      </c>
    </row>
    <row r="5" spans="1:16" ht="15" customHeight="1">
      <c r="A5" s="87"/>
      <c r="B5" s="232"/>
      <c r="C5" s="234"/>
      <c r="D5" s="89" t="s">
        <v>71</v>
      </c>
      <c r="E5" s="90" t="s">
        <v>70</v>
      </c>
      <c r="F5" s="91" t="s">
        <v>72</v>
      </c>
      <c r="G5" s="89" t="s">
        <v>71</v>
      </c>
      <c r="H5" s="90" t="s">
        <v>70</v>
      </c>
      <c r="I5" s="91" t="s">
        <v>72</v>
      </c>
      <c r="J5" s="92" t="s">
        <v>75</v>
      </c>
      <c r="K5" s="83"/>
    </row>
    <row r="6" spans="1:16" ht="15" customHeight="1">
      <c r="A6" s="87"/>
      <c r="B6" s="220" t="s">
        <v>48</v>
      </c>
      <c r="C6" s="76" t="s">
        <v>27</v>
      </c>
      <c r="D6" s="52">
        <v>3046</v>
      </c>
      <c r="E6" s="53">
        <v>2966</v>
      </c>
      <c r="F6" s="70">
        <v>6012</v>
      </c>
      <c r="G6" s="54">
        <f>M6</f>
        <v>0</v>
      </c>
      <c r="H6" s="54">
        <f>P6</f>
        <v>4</v>
      </c>
      <c r="I6" s="74">
        <f>G6+H6</f>
        <v>4</v>
      </c>
      <c r="J6" s="72">
        <f>IFERROR(I6/F6,"")</f>
        <v>6.6533599467731206E-4</v>
      </c>
      <c r="K6" s="84"/>
      <c r="L6" s="44" t="s">
        <v>27</v>
      </c>
      <c r="M6" s="44">
        <f>IFERROR(IF(L6="","",SUMIF([1]작업지시서!$D$8:$D$118,"*"&amp;$L6,[1]작업지시서!$E$8:$E$119)),"")</f>
        <v>0</v>
      </c>
      <c r="N6" s="44">
        <f>IFERROR(IF(L6="","",SUMIF([2]작업지시서!$D$8:$D$122,"*"&amp;$L6,[2]작업지시서!$E$8:$E$123)),"")</f>
        <v>0</v>
      </c>
      <c r="O6">
        <v>4</v>
      </c>
      <c r="P6" s="102">
        <f>N6+O6</f>
        <v>4</v>
      </c>
    </row>
    <row r="7" spans="1:16" ht="15" customHeight="1">
      <c r="A7" s="87"/>
      <c r="B7" s="213"/>
      <c r="C7" s="77" t="s">
        <v>30</v>
      </c>
      <c r="D7" s="55">
        <v>1712</v>
      </c>
      <c r="E7" s="56">
        <v>1599</v>
      </c>
      <c r="F7" s="71">
        <v>3311</v>
      </c>
      <c r="G7" s="57">
        <f t="shared" ref="G7:G14" si="0">M7</f>
        <v>0</v>
      </c>
      <c r="H7" s="57">
        <f t="shared" ref="H7:H14" si="1">P7</f>
        <v>0</v>
      </c>
      <c r="I7" s="75">
        <f t="shared" ref="I7:I50" si="2">G7+H7</f>
        <v>0</v>
      </c>
      <c r="J7" s="73">
        <f t="shared" ref="J7:J53" si="3">IFERROR(I7/F7,"")</f>
        <v>0</v>
      </c>
      <c r="K7" s="84"/>
      <c r="L7" s="44" t="s">
        <v>30</v>
      </c>
      <c r="M7" s="44">
        <f>IFERROR(IF(L7="","",SUMIF([1]작업지시서!$D$8:$D$118,"*"&amp;$L7,[1]작업지시서!$E$8:$E$119)),"")</f>
        <v>0</v>
      </c>
      <c r="N7" s="44">
        <f>IFERROR(IF(L7="","",SUMIF([2]작업지시서!$D$8:$D$122,"*"&amp;$L7,[2]작업지시서!$E$8:$E$123)),"")</f>
        <v>0</v>
      </c>
      <c r="P7" s="102">
        <f t="shared" ref="P7:P49" si="4">N7+O7</f>
        <v>0</v>
      </c>
    </row>
    <row r="8" spans="1:16" ht="15" customHeight="1">
      <c r="A8" s="87"/>
      <c r="B8" s="213"/>
      <c r="C8" s="77" t="s">
        <v>29</v>
      </c>
      <c r="D8" s="55">
        <v>1352</v>
      </c>
      <c r="E8" s="56">
        <v>1222</v>
      </c>
      <c r="F8" s="71">
        <v>2574</v>
      </c>
      <c r="G8" s="57">
        <f t="shared" si="0"/>
        <v>0</v>
      </c>
      <c r="H8" s="57">
        <f t="shared" si="1"/>
        <v>0</v>
      </c>
      <c r="I8" s="75">
        <f t="shared" si="2"/>
        <v>0</v>
      </c>
      <c r="J8" s="73">
        <f t="shared" si="3"/>
        <v>0</v>
      </c>
      <c r="K8" s="84"/>
      <c r="L8" s="44" t="s">
        <v>29</v>
      </c>
      <c r="M8" s="44">
        <f>IFERROR(IF(L8="","",SUMIF([1]작업지시서!$D$8:$D$118,"*"&amp;$L8,[1]작업지시서!$E$8:$E$119)),"")</f>
        <v>0</v>
      </c>
      <c r="N8" s="44">
        <f>IFERROR(IF(L8="","",SUMIF([2]작업지시서!$D$8:$D$122,"*"&amp;$L8,[2]작업지시서!$E$8:$E$123)),"")</f>
        <v>0</v>
      </c>
      <c r="P8" s="102">
        <f t="shared" si="4"/>
        <v>0</v>
      </c>
    </row>
    <row r="9" spans="1:16" ht="15" customHeight="1">
      <c r="A9" s="87"/>
      <c r="B9" s="213"/>
      <c r="C9" s="77" t="s">
        <v>28</v>
      </c>
      <c r="D9" s="55">
        <v>1299</v>
      </c>
      <c r="E9" s="56">
        <v>1238</v>
      </c>
      <c r="F9" s="71">
        <v>2537</v>
      </c>
      <c r="G9" s="57">
        <f t="shared" si="0"/>
        <v>0</v>
      </c>
      <c r="H9" s="57">
        <f t="shared" si="1"/>
        <v>2</v>
      </c>
      <c r="I9" s="75">
        <f t="shared" si="2"/>
        <v>2</v>
      </c>
      <c r="J9" s="73">
        <f t="shared" si="3"/>
        <v>7.8833267638943631E-4</v>
      </c>
      <c r="K9" s="84"/>
      <c r="L9" s="44" t="s">
        <v>28</v>
      </c>
      <c r="M9" s="44">
        <f>IFERROR(IF(L9="","",SUMIF([1]작업지시서!$D$8:$D$118,"*"&amp;$L9,[1]작업지시서!$E$8:$E$119)),"")</f>
        <v>0</v>
      </c>
      <c r="N9" s="44">
        <f>IFERROR(IF(L9="","",SUMIF([2]작업지시서!$D$8:$D$122,"*"&amp;$L9,[2]작업지시서!$E$8:$E$123)),"")</f>
        <v>0</v>
      </c>
      <c r="O9">
        <v>2</v>
      </c>
      <c r="P9" s="102">
        <f t="shared" si="4"/>
        <v>2</v>
      </c>
    </row>
    <row r="10" spans="1:16" ht="15" customHeight="1">
      <c r="A10" s="87"/>
      <c r="B10" s="213"/>
      <c r="C10" s="77" t="s">
        <v>26</v>
      </c>
      <c r="D10" s="55">
        <v>2675</v>
      </c>
      <c r="E10" s="56">
        <v>2439</v>
      </c>
      <c r="F10" s="71">
        <v>5114</v>
      </c>
      <c r="G10" s="57">
        <f t="shared" si="0"/>
        <v>0</v>
      </c>
      <c r="H10" s="57">
        <f t="shared" si="1"/>
        <v>0</v>
      </c>
      <c r="I10" s="75">
        <f t="shared" si="2"/>
        <v>0</v>
      </c>
      <c r="J10" s="73">
        <f t="shared" si="3"/>
        <v>0</v>
      </c>
      <c r="K10" s="84"/>
      <c r="L10" s="44" t="s">
        <v>26</v>
      </c>
      <c r="M10" s="44">
        <f>IFERROR(IF(L10="","",SUMIF([1]작업지시서!$D$8:$D$118,"*"&amp;$L10,[1]작업지시서!$E$8:$E$119)),"")</f>
        <v>0</v>
      </c>
      <c r="N10" s="44">
        <f>IFERROR(IF(L10="","",SUMIF([2]작업지시서!$D$8:$D$122,"*"&amp;$L10,[2]작업지시서!$E$8:$E$123)),"")</f>
        <v>0</v>
      </c>
      <c r="P10" s="102">
        <f t="shared" si="4"/>
        <v>0</v>
      </c>
    </row>
    <row r="11" spans="1:16" ht="15" customHeight="1">
      <c r="A11" s="87"/>
      <c r="B11" s="213"/>
      <c r="C11" s="77" t="s">
        <v>52</v>
      </c>
      <c r="D11" s="55">
        <v>3187</v>
      </c>
      <c r="E11" s="56">
        <v>3169</v>
      </c>
      <c r="F11" s="71">
        <v>6356</v>
      </c>
      <c r="G11" s="57">
        <f t="shared" si="0"/>
        <v>2881</v>
      </c>
      <c r="H11" s="57">
        <f t="shared" si="1"/>
        <v>2132</v>
      </c>
      <c r="I11" s="75">
        <f t="shared" si="2"/>
        <v>5013</v>
      </c>
      <c r="J11" s="73">
        <f t="shared" si="3"/>
        <v>0.78870358716173694</v>
      </c>
      <c r="K11" s="84"/>
      <c r="L11" s="44" t="s">
        <v>52</v>
      </c>
      <c r="M11" s="44">
        <f>IFERROR(IF(L11="","",SUMIF([1]작업지시서!$D$8:$D$118,"*"&amp;$L11,[1]작업지시서!$E$8:$E$119)),"")</f>
        <v>2881</v>
      </c>
      <c r="N11" s="44">
        <f>IFERROR(IF(L11="","",SUMIF([2]작업지시서!$D$8:$D$122,"*"&amp;$L11,[2]작업지시서!$E$8:$E$123)),"")</f>
        <v>2128</v>
      </c>
      <c r="O11">
        <v>4</v>
      </c>
      <c r="P11" s="102">
        <f t="shared" si="4"/>
        <v>2132</v>
      </c>
    </row>
    <row r="12" spans="1:16" ht="15" customHeight="1">
      <c r="A12" s="87"/>
      <c r="B12" s="213"/>
      <c r="C12" s="77" t="s">
        <v>53</v>
      </c>
      <c r="D12" s="55">
        <v>2528</v>
      </c>
      <c r="E12" s="56">
        <v>2413</v>
      </c>
      <c r="F12" s="71">
        <v>4941</v>
      </c>
      <c r="G12" s="57">
        <f t="shared" si="0"/>
        <v>0</v>
      </c>
      <c r="H12" s="57">
        <f t="shared" si="1"/>
        <v>0</v>
      </c>
      <c r="I12" s="75">
        <f t="shared" si="2"/>
        <v>0</v>
      </c>
      <c r="J12" s="73">
        <f t="shared" si="3"/>
        <v>0</v>
      </c>
      <c r="K12" s="84"/>
      <c r="L12" s="44" t="s">
        <v>53</v>
      </c>
      <c r="M12" s="44">
        <f>IFERROR(IF(L12="","",SUMIF([1]작업지시서!$D$8:$D$118,"*"&amp;$L12,[1]작업지시서!$E$8:$E$119)),"")</f>
        <v>0</v>
      </c>
      <c r="N12" s="44">
        <f>IFERROR(IF(L12="","",SUMIF([2]작업지시서!$D$8:$D$122,"*"&amp;$L12,[2]작업지시서!$E$8:$E$123)),"")</f>
        <v>0</v>
      </c>
      <c r="P12" s="102">
        <f t="shared" si="4"/>
        <v>0</v>
      </c>
    </row>
    <row r="13" spans="1:16" ht="15" customHeight="1">
      <c r="A13" s="87"/>
      <c r="B13" s="213"/>
      <c r="C13" s="77" t="s">
        <v>31</v>
      </c>
      <c r="D13" s="55">
        <v>168</v>
      </c>
      <c r="E13" s="56">
        <v>136</v>
      </c>
      <c r="F13" s="71">
        <v>304</v>
      </c>
      <c r="G13" s="57">
        <f t="shared" si="0"/>
        <v>0</v>
      </c>
      <c r="H13" s="57">
        <f t="shared" si="1"/>
        <v>0</v>
      </c>
      <c r="I13" s="75">
        <f t="shared" si="2"/>
        <v>0</v>
      </c>
      <c r="J13" s="73">
        <f t="shared" si="3"/>
        <v>0</v>
      </c>
      <c r="K13" s="84"/>
      <c r="L13" s="44" t="s">
        <v>31</v>
      </c>
      <c r="M13" s="44">
        <f>IFERROR(IF(L13="","",SUMIF([1]작업지시서!$D$8:$D$118,"*"&amp;$L13,[1]작업지시서!$E$8:$E$119)),"")</f>
        <v>0</v>
      </c>
      <c r="N13" s="44">
        <f>IFERROR(IF(L13="","",SUMIF([2]작업지시서!$D$8:$D$122,"*"&amp;$L13,[2]작업지시서!$E$8:$E$123)),"")</f>
        <v>0</v>
      </c>
      <c r="P13" s="102">
        <f t="shared" si="4"/>
        <v>0</v>
      </c>
    </row>
    <row r="14" spans="1:16" ht="15" customHeight="1">
      <c r="A14" s="87"/>
      <c r="B14" s="213"/>
      <c r="C14" s="77" t="s">
        <v>32</v>
      </c>
      <c r="D14" s="55">
        <v>957</v>
      </c>
      <c r="E14" s="56">
        <v>847</v>
      </c>
      <c r="F14" s="71">
        <v>1804</v>
      </c>
      <c r="G14" s="57">
        <f t="shared" si="0"/>
        <v>0</v>
      </c>
      <c r="H14" s="57">
        <f t="shared" si="1"/>
        <v>0</v>
      </c>
      <c r="I14" s="75">
        <f t="shared" si="2"/>
        <v>0</v>
      </c>
      <c r="J14" s="73">
        <f t="shared" si="3"/>
        <v>0</v>
      </c>
      <c r="K14" s="84"/>
      <c r="L14" s="44" t="s">
        <v>32</v>
      </c>
      <c r="M14" s="44">
        <f>IFERROR(IF(L14="","",SUMIF([1]작업지시서!$D$8:$D$118,"*"&amp;$L14,[1]작업지시서!$E$8:$E$119)),"")</f>
        <v>0</v>
      </c>
      <c r="N14" s="44">
        <f>IFERROR(IF(L14="","",SUMIF([2]작업지시서!$D$8:$D$122,"*"&amp;$L14,[2]작업지시서!$E$8:$E$123)),"")</f>
        <v>0</v>
      </c>
      <c r="P14" s="102">
        <f t="shared" si="4"/>
        <v>0</v>
      </c>
    </row>
    <row r="15" spans="1:16" ht="15" customHeight="1">
      <c r="A15" s="87"/>
      <c r="B15" s="94"/>
      <c r="C15" s="95" t="str">
        <f>B6&amp;" 소계"</f>
        <v>삼각 소계</v>
      </c>
      <c r="D15" s="78">
        <v>16924</v>
      </c>
      <c r="E15" s="78">
        <v>16029</v>
      </c>
      <c r="F15" s="78">
        <v>32953</v>
      </c>
      <c r="G15" s="78">
        <f>SUM(G6:G14)</f>
        <v>2881</v>
      </c>
      <c r="H15" s="78">
        <f>SUM(H6:H14)</f>
        <v>2138</v>
      </c>
      <c r="I15" s="78">
        <f>SUM(I6:I14)</f>
        <v>5019</v>
      </c>
      <c r="J15" s="79">
        <f t="shared" si="3"/>
        <v>0.15230783236731102</v>
      </c>
      <c r="K15" s="84"/>
    </row>
    <row r="16" spans="1:16" ht="15" customHeight="1">
      <c r="A16" s="87"/>
      <c r="B16" s="220" t="s">
        <v>49</v>
      </c>
      <c r="C16" s="76" t="s">
        <v>54</v>
      </c>
      <c r="D16" s="52">
        <v>3150</v>
      </c>
      <c r="E16" s="53">
        <v>2879</v>
      </c>
      <c r="F16" s="70">
        <v>6029</v>
      </c>
      <c r="G16" s="54">
        <f>M16</f>
        <v>254</v>
      </c>
      <c r="H16" s="54">
        <f>P16</f>
        <v>2</v>
      </c>
      <c r="I16" s="74">
        <f t="shared" si="2"/>
        <v>256</v>
      </c>
      <c r="J16" s="72">
        <f t="shared" si="3"/>
        <v>4.2461436390777908E-2</v>
      </c>
      <c r="K16" s="84"/>
      <c r="L16" s="44" t="s">
        <v>54</v>
      </c>
      <c r="M16" s="44">
        <f>IFERROR(IF(L16="","",SUMIF([1]작업지시서!$D$8:$D$118,"*"&amp;$L16,[1]작업지시서!$E$8:$E$119)),"")</f>
        <v>254</v>
      </c>
      <c r="N16" s="44">
        <f>IFERROR(IF(L16="","",SUMIF([2]작업지시서!$D$8:$D$122,"*"&amp;$L16,[2]작업지시서!$E$8:$E$123)),"")</f>
        <v>0</v>
      </c>
      <c r="O16">
        <v>2</v>
      </c>
      <c r="P16" s="102">
        <f t="shared" si="4"/>
        <v>2</v>
      </c>
    </row>
    <row r="17" spans="1:16" ht="15" customHeight="1">
      <c r="A17" s="87"/>
      <c r="B17" s="213"/>
      <c r="C17" s="77" t="s">
        <v>55</v>
      </c>
      <c r="D17" s="55">
        <v>1748</v>
      </c>
      <c r="E17" s="56">
        <v>1483</v>
      </c>
      <c r="F17" s="71">
        <v>3231</v>
      </c>
      <c r="G17" s="57">
        <f>M17</f>
        <v>0</v>
      </c>
      <c r="H17" s="57">
        <f>P17</f>
        <v>0</v>
      </c>
      <c r="I17" s="75">
        <f t="shared" si="2"/>
        <v>0</v>
      </c>
      <c r="J17" s="73">
        <f t="shared" si="3"/>
        <v>0</v>
      </c>
      <c r="K17" s="84"/>
      <c r="L17" s="44" t="s">
        <v>55</v>
      </c>
      <c r="M17" s="44">
        <f>IFERROR(IF(L17="","",SUMIF([1]작업지시서!$D$8:$D$118,"*"&amp;$L17,[1]작업지시서!$E$8:$E$119)),"")</f>
        <v>0</v>
      </c>
      <c r="N17" s="44">
        <f>IFERROR(IF(L17="","",SUMIF([2]작업지시서!$D$8:$D$122,"*"&amp;$L17,[2]작업지시서!$E$8:$E$123)),"")</f>
        <v>0</v>
      </c>
      <c r="P17" s="102">
        <f t="shared" si="4"/>
        <v>0</v>
      </c>
    </row>
    <row r="18" spans="1:16" ht="15" customHeight="1">
      <c r="A18" s="87"/>
      <c r="B18" s="213"/>
      <c r="C18" s="77" t="s">
        <v>56</v>
      </c>
      <c r="D18" s="55">
        <v>1225</v>
      </c>
      <c r="E18" s="56">
        <v>1008</v>
      </c>
      <c r="F18" s="71">
        <v>2233</v>
      </c>
      <c r="G18" s="57">
        <f>M18</f>
        <v>0</v>
      </c>
      <c r="H18" s="57">
        <f>P18</f>
        <v>0</v>
      </c>
      <c r="I18" s="75">
        <f t="shared" si="2"/>
        <v>0</v>
      </c>
      <c r="J18" s="73">
        <f t="shared" si="3"/>
        <v>0</v>
      </c>
      <c r="K18" s="84"/>
      <c r="L18" s="44" t="s">
        <v>56</v>
      </c>
      <c r="M18" s="44">
        <f>IFERROR(IF(L18="","",SUMIF([1]작업지시서!$D$8:$D$118,"*"&amp;$L18,[1]작업지시서!$E$8:$E$119)),"")</f>
        <v>0</v>
      </c>
      <c r="N18" s="44">
        <f>IFERROR(IF(L18="","",SUMIF([2]작업지시서!$D$8:$D$122,"*"&amp;$L18,[2]작업지시서!$E$8:$E$123)),"")</f>
        <v>0</v>
      </c>
      <c r="P18" s="102">
        <f t="shared" si="4"/>
        <v>0</v>
      </c>
    </row>
    <row r="19" spans="1:16" ht="15" customHeight="1">
      <c r="A19" s="87"/>
      <c r="B19" s="213"/>
      <c r="C19" s="77" t="s">
        <v>57</v>
      </c>
      <c r="D19" s="55">
        <v>1624</v>
      </c>
      <c r="E19" s="56">
        <v>1376</v>
      </c>
      <c r="F19" s="71">
        <v>3000</v>
      </c>
      <c r="G19" s="57">
        <f>M19</f>
        <v>0</v>
      </c>
      <c r="H19" s="57">
        <f>P19</f>
        <v>0</v>
      </c>
      <c r="I19" s="75">
        <f t="shared" si="2"/>
        <v>0</v>
      </c>
      <c r="J19" s="73">
        <f t="shared" si="3"/>
        <v>0</v>
      </c>
      <c r="K19" s="83"/>
      <c r="L19" s="44" t="s">
        <v>57</v>
      </c>
      <c r="M19" s="44">
        <f>IFERROR(IF(L19="","",SUMIF([1]작업지시서!$D$8:$D$118,"*"&amp;$L19,[1]작업지시서!$E$8:$E$119)),"")</f>
        <v>0</v>
      </c>
      <c r="N19" s="44">
        <f>IFERROR(IF(L19="","",SUMIF([2]작업지시서!$D$8:$D$122,"*"&amp;$L19,[2]작업지시서!$E$8:$E$123)),"")</f>
        <v>0</v>
      </c>
      <c r="P19" s="102">
        <f t="shared" si="4"/>
        <v>0</v>
      </c>
    </row>
    <row r="20" spans="1:16" ht="15" customHeight="1">
      <c r="A20" s="87"/>
      <c r="B20" s="213"/>
      <c r="C20" s="77" t="s">
        <v>58</v>
      </c>
      <c r="D20" s="55">
        <v>614</v>
      </c>
      <c r="E20" s="56">
        <v>524</v>
      </c>
      <c r="F20" s="71">
        <v>1138</v>
      </c>
      <c r="G20" s="57">
        <f>M20</f>
        <v>0</v>
      </c>
      <c r="H20" s="57">
        <f>P20</f>
        <v>0</v>
      </c>
      <c r="I20" s="75">
        <f t="shared" si="2"/>
        <v>0</v>
      </c>
      <c r="J20" s="73">
        <f t="shared" si="3"/>
        <v>0</v>
      </c>
      <c r="K20" s="83"/>
      <c r="L20" s="44" t="s">
        <v>58</v>
      </c>
      <c r="M20" s="44">
        <f>IFERROR(IF(L20="","",SUMIF([1]작업지시서!$D$8:$D$118,"*"&amp;$L20,[1]작업지시서!$E$8:$E$119)),"")</f>
        <v>0</v>
      </c>
      <c r="N20" s="44">
        <f>IFERROR(IF(L20="","",SUMIF([2]작업지시서!$D$8:$D$122,"*"&amp;$L20,[2]작업지시서!$E$8:$E$123)),"")</f>
        <v>0</v>
      </c>
      <c r="P20" s="102">
        <f t="shared" si="4"/>
        <v>0</v>
      </c>
    </row>
    <row r="21" spans="1:16" ht="15" customHeight="1">
      <c r="A21" s="87"/>
      <c r="B21" s="94"/>
      <c r="C21" s="95" t="str">
        <f>B16&amp;" 소계"</f>
        <v>김밥 소계</v>
      </c>
      <c r="D21" s="78">
        <v>8361</v>
      </c>
      <c r="E21" s="78">
        <v>7270</v>
      </c>
      <c r="F21" s="78">
        <v>15631</v>
      </c>
      <c r="G21" s="78">
        <f>SUM(G16:G20)</f>
        <v>254</v>
      </c>
      <c r="H21" s="78">
        <f>SUM(H16:H20)</f>
        <v>2</v>
      </c>
      <c r="I21" s="78">
        <f>SUM(I16:I20)</f>
        <v>256</v>
      </c>
      <c r="J21" s="79">
        <f t="shared" si="3"/>
        <v>1.6377710958991747E-2</v>
      </c>
      <c r="K21" s="83"/>
    </row>
    <row r="22" spans="1:16" ht="15" customHeight="1">
      <c r="A22" s="87"/>
      <c r="B22" s="220" t="s">
        <v>13</v>
      </c>
      <c r="C22" s="76" t="s">
        <v>59</v>
      </c>
      <c r="D22" s="52">
        <v>1667</v>
      </c>
      <c r="E22" s="53">
        <v>1613</v>
      </c>
      <c r="F22" s="70">
        <v>3280</v>
      </c>
      <c r="G22" s="54">
        <f>M22</f>
        <v>0</v>
      </c>
      <c r="H22" s="54">
        <f t="shared" ref="H22:H30" si="5">P22</f>
        <v>2</v>
      </c>
      <c r="I22" s="74">
        <f t="shared" si="2"/>
        <v>2</v>
      </c>
      <c r="J22" s="72">
        <f t="shared" si="3"/>
        <v>6.0975609756097561E-4</v>
      </c>
      <c r="K22" s="83"/>
      <c r="L22" s="44" t="s">
        <v>59</v>
      </c>
      <c r="M22" s="44">
        <f>IFERROR(IF(L22="","",SUMIF([1]작업지시서!$D$8:$D$118,"*"&amp;$L22,[1]작업지시서!$E$8:$E$119)),"")</f>
        <v>0</v>
      </c>
      <c r="N22" s="44">
        <f>IFERROR(IF(L22="","",SUMIF([2]작업지시서!$D$8:$D$122,"*"&amp;$L22,[2]작업지시서!$E$8:$E$123)),"")</f>
        <v>0</v>
      </c>
      <c r="O22">
        <v>2</v>
      </c>
      <c r="P22" s="102">
        <f t="shared" si="4"/>
        <v>2</v>
      </c>
    </row>
    <row r="23" spans="1:16" ht="15" customHeight="1">
      <c r="A23" s="87"/>
      <c r="B23" s="213"/>
      <c r="C23" s="77" t="s">
        <v>38</v>
      </c>
      <c r="D23" s="55">
        <v>236</v>
      </c>
      <c r="E23" s="56">
        <v>205</v>
      </c>
      <c r="F23" s="71">
        <v>441</v>
      </c>
      <c r="G23" s="57">
        <f t="shared" ref="G23:G30" si="6">M23</f>
        <v>0</v>
      </c>
      <c r="H23" s="57">
        <f t="shared" si="5"/>
        <v>0</v>
      </c>
      <c r="I23" s="75">
        <f t="shared" si="2"/>
        <v>0</v>
      </c>
      <c r="J23" s="73">
        <f t="shared" si="3"/>
        <v>0</v>
      </c>
      <c r="K23" s="83"/>
      <c r="L23" s="44" t="s">
        <v>38</v>
      </c>
      <c r="M23" s="44">
        <f>IFERROR(IF(L23="","",SUMIF([1]작업지시서!$D$8:$D$118,"*"&amp;$L23,[1]작업지시서!$E$8:$E$119)),"")</f>
        <v>0</v>
      </c>
      <c r="N23" s="44">
        <f>IFERROR(IF(L23="","",SUMIF([2]작업지시서!$D$8:$D$122,"*"&amp;$L23,[2]작업지시서!$E$8:$E$123)),"")</f>
        <v>0</v>
      </c>
      <c r="P23" s="102">
        <f t="shared" si="4"/>
        <v>0</v>
      </c>
    </row>
    <row r="24" spans="1:16" ht="15" customHeight="1">
      <c r="A24" s="87"/>
      <c r="B24" s="213"/>
      <c r="C24" s="77" t="s">
        <v>60</v>
      </c>
      <c r="D24" s="55">
        <v>676</v>
      </c>
      <c r="E24" s="56">
        <v>666</v>
      </c>
      <c r="F24" s="71">
        <v>1342</v>
      </c>
      <c r="G24" s="57">
        <f t="shared" si="6"/>
        <v>0</v>
      </c>
      <c r="H24" s="57">
        <f t="shared" si="5"/>
        <v>0</v>
      </c>
      <c r="I24" s="75">
        <f t="shared" si="2"/>
        <v>0</v>
      </c>
      <c r="J24" s="73">
        <f t="shared" si="3"/>
        <v>0</v>
      </c>
      <c r="K24" s="83"/>
      <c r="L24" s="44" t="s">
        <v>60</v>
      </c>
      <c r="M24" s="44">
        <f>IFERROR(IF(L24="","",SUMIF([1]작업지시서!$D$8:$D$118,"*"&amp;$L24,[1]작업지시서!$E$8:$E$119)),"")</f>
        <v>0</v>
      </c>
      <c r="N24" s="44">
        <f>IFERROR(IF(L24="","",SUMIF([2]작업지시서!$D$8:$D$122,"*"&amp;$L24,[2]작업지시서!$E$8:$E$123)),"")</f>
        <v>0</v>
      </c>
      <c r="P24" s="102">
        <f t="shared" si="4"/>
        <v>0</v>
      </c>
    </row>
    <row r="25" spans="1:16" ht="15" customHeight="1">
      <c r="A25" s="87"/>
      <c r="B25" s="213"/>
      <c r="C25" s="77" t="s">
        <v>61</v>
      </c>
      <c r="D25" s="55">
        <v>192</v>
      </c>
      <c r="E25" s="56">
        <v>215</v>
      </c>
      <c r="F25" s="71">
        <v>407</v>
      </c>
      <c r="G25" s="57">
        <f t="shared" si="6"/>
        <v>0</v>
      </c>
      <c r="H25" s="57">
        <f t="shared" si="5"/>
        <v>0</v>
      </c>
      <c r="I25" s="75">
        <f t="shared" si="2"/>
        <v>0</v>
      </c>
      <c r="J25" s="73">
        <f t="shared" si="3"/>
        <v>0</v>
      </c>
      <c r="K25" s="83"/>
      <c r="L25" s="44" t="s">
        <v>61</v>
      </c>
      <c r="M25" s="44">
        <f>IFERROR(IF(L25="","",SUMIF([1]작업지시서!$D$8:$D$118,"*"&amp;RIGHT($L25,6),[1]작업지시서!$E$8:$E$119)),"")</f>
        <v>0</v>
      </c>
      <c r="N25" s="44">
        <f>IFERROR(IF(L25="","",SUMIF([2]작업지시서!$D$8:$D$122,"*"&amp;RIGHT(L25,6),[2]작업지시서!$E$8:$E$123)),"")</f>
        <v>0</v>
      </c>
      <c r="P25" s="102">
        <f t="shared" si="4"/>
        <v>0</v>
      </c>
    </row>
    <row r="26" spans="1:16" ht="15" customHeight="1">
      <c r="A26" s="87"/>
      <c r="B26" s="213"/>
      <c r="C26" s="77" t="s">
        <v>33</v>
      </c>
      <c r="D26" s="55">
        <v>231</v>
      </c>
      <c r="E26" s="56">
        <v>252</v>
      </c>
      <c r="F26" s="71">
        <v>483</v>
      </c>
      <c r="G26" s="57">
        <f t="shared" si="6"/>
        <v>0</v>
      </c>
      <c r="H26" s="57">
        <f t="shared" si="5"/>
        <v>0</v>
      </c>
      <c r="I26" s="75">
        <f t="shared" si="2"/>
        <v>0</v>
      </c>
      <c r="J26" s="73">
        <f t="shared" si="3"/>
        <v>0</v>
      </c>
      <c r="K26" s="83"/>
      <c r="L26" s="44" t="s">
        <v>33</v>
      </c>
      <c r="M26" s="44">
        <f>IFERROR(IF(L26="","",SUMIF([1]작업지시서!$D$8:$D$118,"*"&amp;$L26,[1]작업지시서!$E$8:$E$119)),"")</f>
        <v>0</v>
      </c>
      <c r="N26" s="44">
        <f>IFERROR(IF(L26="","",SUMIF([2]작업지시서!$D$8:$D$122,"*"&amp;$L26,[2]작업지시서!$E$8:$E$123)),"")</f>
        <v>0</v>
      </c>
      <c r="P26" s="102">
        <f t="shared" si="4"/>
        <v>0</v>
      </c>
    </row>
    <row r="27" spans="1:16" ht="15" customHeight="1">
      <c r="A27" s="87"/>
      <c r="B27" s="213"/>
      <c r="C27" s="77" t="s">
        <v>34</v>
      </c>
      <c r="D27" s="55">
        <v>104</v>
      </c>
      <c r="E27" s="56">
        <v>140</v>
      </c>
      <c r="F27" s="71">
        <v>244</v>
      </c>
      <c r="G27" s="57">
        <f t="shared" si="6"/>
        <v>0</v>
      </c>
      <c r="H27" s="57">
        <f t="shared" si="5"/>
        <v>0</v>
      </c>
      <c r="I27" s="75">
        <f t="shared" si="2"/>
        <v>0</v>
      </c>
      <c r="J27" s="73">
        <f t="shared" si="3"/>
        <v>0</v>
      </c>
      <c r="K27" s="83"/>
      <c r="L27" s="44" t="s">
        <v>34</v>
      </c>
      <c r="M27" s="44">
        <f>IFERROR(IF(L27="","",SUMIF([1]작업지시서!$D$8:$D$118,"*"&amp;$L27,[1]작업지시서!$E$8:$E$119)),"")</f>
        <v>0</v>
      </c>
      <c r="N27" s="44">
        <f>IFERROR(IF(L27="","",SUMIF([2]작업지시서!$D$8:$D$122,"*"&amp;$L27,[2]작업지시서!$E$8:$E$123)),"")</f>
        <v>0</v>
      </c>
      <c r="P27" s="102">
        <f t="shared" si="4"/>
        <v>0</v>
      </c>
    </row>
    <row r="28" spans="1:16" ht="15" customHeight="1">
      <c r="A28" s="87"/>
      <c r="B28" s="213"/>
      <c r="C28" s="77" t="s">
        <v>36</v>
      </c>
      <c r="D28" s="55">
        <v>162</v>
      </c>
      <c r="E28" s="56">
        <v>195</v>
      </c>
      <c r="F28" s="71">
        <v>357</v>
      </c>
      <c r="G28" s="57">
        <f t="shared" si="6"/>
        <v>0</v>
      </c>
      <c r="H28" s="57">
        <f t="shared" si="5"/>
        <v>0</v>
      </c>
      <c r="I28" s="75">
        <f t="shared" si="2"/>
        <v>0</v>
      </c>
      <c r="J28" s="73">
        <f t="shared" si="3"/>
        <v>0</v>
      </c>
      <c r="K28" s="83"/>
      <c r="L28" s="44" t="s">
        <v>36</v>
      </c>
      <c r="M28" s="44">
        <f>IFERROR(IF(L28="","",SUMIF([1]작업지시서!$D$8:$D$118,"*"&amp;$L28,[1]작업지시서!$E$8:$E$119)),"")</f>
        <v>0</v>
      </c>
      <c r="N28" s="44">
        <f>IFERROR(IF(L28="","",SUMIF([2]작업지시서!$D$8:$D$122,"*"&amp;$L28,[2]작업지시서!$E$8:$E$123)),"")</f>
        <v>0</v>
      </c>
      <c r="P28" s="102">
        <f t="shared" si="4"/>
        <v>0</v>
      </c>
    </row>
    <row r="29" spans="1:16" ht="15" customHeight="1">
      <c r="A29" s="87"/>
      <c r="B29" s="213"/>
      <c r="C29" s="77" t="s">
        <v>37</v>
      </c>
      <c r="D29" s="55">
        <v>1022</v>
      </c>
      <c r="E29" s="56">
        <v>861</v>
      </c>
      <c r="F29" s="71">
        <v>1883</v>
      </c>
      <c r="G29" s="57">
        <f t="shared" si="6"/>
        <v>0</v>
      </c>
      <c r="H29" s="57">
        <f t="shared" si="5"/>
        <v>0</v>
      </c>
      <c r="I29" s="75">
        <f t="shared" si="2"/>
        <v>0</v>
      </c>
      <c r="J29" s="73">
        <f t="shared" si="3"/>
        <v>0</v>
      </c>
      <c r="K29" s="83"/>
      <c r="L29" s="44" t="s">
        <v>37</v>
      </c>
      <c r="M29" s="44">
        <f>IFERROR(IF(L29="","",SUMIF([1]작업지시서!$D$8:$D$118,"*"&amp;$L29,[1]작업지시서!$E$8:$E$119)),"")</f>
        <v>0</v>
      </c>
      <c r="N29" s="44">
        <f>IFERROR(IF(L29="","",SUMIF([2]작업지시서!$D$8:$D$122,"*"&amp;$L29,[2]작업지시서!$E$8:$E$123)),"")</f>
        <v>0</v>
      </c>
      <c r="P29" s="102">
        <f t="shared" si="4"/>
        <v>0</v>
      </c>
    </row>
    <row r="30" spans="1:16" ht="15" customHeight="1">
      <c r="A30" s="87"/>
      <c r="B30" s="213"/>
      <c r="C30" s="77" t="s">
        <v>35</v>
      </c>
      <c r="D30" s="55">
        <v>386</v>
      </c>
      <c r="E30" s="56">
        <v>410</v>
      </c>
      <c r="F30" s="71">
        <v>796</v>
      </c>
      <c r="G30" s="57">
        <f t="shared" si="6"/>
        <v>0</v>
      </c>
      <c r="H30" s="57">
        <f t="shared" si="5"/>
        <v>0</v>
      </c>
      <c r="I30" s="75">
        <f t="shared" si="2"/>
        <v>0</v>
      </c>
      <c r="J30" s="73">
        <f t="shared" si="3"/>
        <v>0</v>
      </c>
      <c r="K30" s="83"/>
      <c r="L30" s="44" t="s">
        <v>35</v>
      </c>
      <c r="M30" s="44">
        <f>IFERROR(IF(L30="","",SUMIF([1]작업지시서!$D$8:$D$118,"*"&amp;$L30,[1]작업지시서!$E$8:$E$119)),"")</f>
        <v>0</v>
      </c>
      <c r="N30" s="44">
        <f>IFERROR(IF(L30="","",SUMIF([2]작업지시서!$D$8:$D$122,"*"&amp;$L30,[2]작업지시서!$E$8:$E$123)),"")</f>
        <v>0</v>
      </c>
      <c r="P30" s="102">
        <f t="shared" si="4"/>
        <v>0</v>
      </c>
    </row>
    <row r="31" spans="1:16" ht="15" customHeight="1">
      <c r="A31" s="87"/>
      <c r="B31" s="94"/>
      <c r="C31" s="95" t="str">
        <f>B22&amp;" 소계"</f>
        <v>도시락 소계</v>
      </c>
      <c r="D31" s="78">
        <v>4676</v>
      </c>
      <c r="E31" s="78">
        <v>4557</v>
      </c>
      <c r="F31" s="78">
        <v>9233</v>
      </c>
      <c r="G31" s="78">
        <f>SUM(G22:G30)</f>
        <v>0</v>
      </c>
      <c r="H31" s="78">
        <f>SUM(H22:H30)</f>
        <v>2</v>
      </c>
      <c r="I31" s="78">
        <f>SUM(I22:I30)</f>
        <v>2</v>
      </c>
      <c r="J31" s="79">
        <f t="shared" si="3"/>
        <v>2.1661431820643344E-4</v>
      </c>
      <c r="K31" s="83"/>
    </row>
    <row r="32" spans="1:16" ht="15" customHeight="1">
      <c r="A32" s="87"/>
      <c r="B32" s="220" t="s">
        <v>50</v>
      </c>
      <c r="C32" s="76" t="s">
        <v>44</v>
      </c>
      <c r="D32" s="52">
        <v>39</v>
      </c>
      <c r="E32" s="53">
        <v>66</v>
      </c>
      <c r="F32" s="100">
        <v>105</v>
      </c>
      <c r="G32" s="54">
        <f>M32</f>
        <v>0</v>
      </c>
      <c r="H32" s="54">
        <f>P32</f>
        <v>0</v>
      </c>
      <c r="I32" s="99">
        <f>G32+H32</f>
        <v>0</v>
      </c>
      <c r="J32" s="72">
        <f t="shared" si="3"/>
        <v>0</v>
      </c>
      <c r="K32" s="83"/>
      <c r="L32" s="44" t="s">
        <v>44</v>
      </c>
      <c r="M32" s="44">
        <f>IFERROR(IF(L32="","",SUMIF([1]작업지시서!$D$8:$D$118,"*"&amp;$L32,[1]작업지시서!$E$8:$E$119)),"")</f>
        <v>0</v>
      </c>
      <c r="N32" s="44">
        <f>IFERROR(IF(L32="","",SUMIF([2]작업지시서!$D$8:$D$122,"*"&amp;$L32,[2]작업지시서!$E$8:$E$123)),"")</f>
        <v>0</v>
      </c>
      <c r="P32" s="102">
        <f t="shared" si="4"/>
        <v>0</v>
      </c>
    </row>
    <row r="33" spans="1:16" ht="15" customHeight="1">
      <c r="A33" s="87"/>
      <c r="B33" s="213"/>
      <c r="C33" s="77" t="s">
        <v>83</v>
      </c>
      <c r="D33" s="55">
        <v>164</v>
      </c>
      <c r="E33" s="56">
        <v>142</v>
      </c>
      <c r="F33" s="103">
        <v>306</v>
      </c>
      <c r="G33" s="57">
        <f>M33</f>
        <v>0</v>
      </c>
      <c r="H33" s="57">
        <f>P33</f>
        <v>0</v>
      </c>
      <c r="I33" s="104">
        <f>G33+H33</f>
        <v>0</v>
      </c>
      <c r="J33" s="73">
        <f t="shared" si="3"/>
        <v>0</v>
      </c>
      <c r="K33" s="83"/>
      <c r="L33" s="44" t="s">
        <v>83</v>
      </c>
      <c r="M33" s="44">
        <f>IFERROR(IF(L33="","",SUMIF([1]작업지시서!$D$8:$D$118,"*"&amp;$L33,[1]작업지시서!$E$8:$E$119)),"")</f>
        <v>0</v>
      </c>
      <c r="N33" s="44">
        <f>IFERROR(IF(L33="","",SUMIF([2]작업지시서!$D$8:$D$122,"*"&amp;$L33,[2]작업지시서!$E$8:$E$123)),"")</f>
        <v>0</v>
      </c>
      <c r="P33" s="102">
        <f t="shared" si="4"/>
        <v>0</v>
      </c>
    </row>
    <row r="34" spans="1:16" ht="15" customHeight="1">
      <c r="A34" s="87"/>
      <c r="B34" s="94"/>
      <c r="C34" s="95" t="str">
        <f>B32&amp;" 소계"</f>
        <v>HMR 소계</v>
      </c>
      <c r="D34" s="78">
        <v>203</v>
      </c>
      <c r="E34" s="78">
        <v>208</v>
      </c>
      <c r="F34" s="78">
        <v>411</v>
      </c>
      <c r="G34" s="78">
        <f>SUM(G32:G33)</f>
        <v>0</v>
      </c>
      <c r="H34" s="78">
        <f>SUM(H32:H33)</f>
        <v>0</v>
      </c>
      <c r="I34" s="78">
        <f>SUM(I32:I33)</f>
        <v>0</v>
      </c>
      <c r="J34" s="79">
        <f t="shared" si="3"/>
        <v>0</v>
      </c>
      <c r="K34" s="83"/>
    </row>
    <row r="35" spans="1:16" ht="15" customHeight="1">
      <c r="A35" s="87"/>
      <c r="B35" s="220" t="s">
        <v>51</v>
      </c>
      <c r="C35" s="76" t="s">
        <v>46</v>
      </c>
      <c r="D35" s="52">
        <v>496</v>
      </c>
      <c r="E35" s="53">
        <v>693</v>
      </c>
      <c r="F35" s="70">
        <v>1189</v>
      </c>
      <c r="G35" s="54">
        <f>M35</f>
        <v>0</v>
      </c>
      <c r="H35" s="54">
        <f>P35</f>
        <v>0</v>
      </c>
      <c r="I35" s="74">
        <f t="shared" si="2"/>
        <v>0</v>
      </c>
      <c r="J35" s="72">
        <f t="shared" si="3"/>
        <v>0</v>
      </c>
      <c r="K35" s="83"/>
      <c r="L35" s="44" t="s">
        <v>46</v>
      </c>
      <c r="M35" s="44">
        <f>IFERROR(IF(L35="","",SUMIF([1]작업지시서!$D$8:$D$118,"*"&amp;$L35,[1]작업지시서!$E$8:$E$119)),"")</f>
        <v>0</v>
      </c>
      <c r="N35" s="44">
        <f>IFERROR(IF(L35="","",SUMIF([2]작업지시서!$D$8:$D$122,"*"&amp;$L35,[2]작업지시서!$E$8:$E$123)),"")</f>
        <v>0</v>
      </c>
      <c r="P35" s="102">
        <f t="shared" si="4"/>
        <v>0</v>
      </c>
    </row>
    <row r="36" spans="1:16" ht="15" customHeight="1">
      <c r="A36" s="87"/>
      <c r="B36" s="213"/>
      <c r="C36" s="77" t="s">
        <v>47</v>
      </c>
      <c r="D36" s="55">
        <v>171</v>
      </c>
      <c r="E36" s="56">
        <v>191</v>
      </c>
      <c r="F36" s="71">
        <v>362</v>
      </c>
      <c r="G36" s="57">
        <f>M36</f>
        <v>0</v>
      </c>
      <c r="H36" s="57">
        <f>P36</f>
        <v>0</v>
      </c>
      <c r="I36" s="75">
        <f t="shared" si="2"/>
        <v>0</v>
      </c>
      <c r="J36" s="73">
        <f t="shared" si="3"/>
        <v>0</v>
      </c>
      <c r="K36" s="83"/>
      <c r="L36" s="44" t="s">
        <v>47</v>
      </c>
      <c r="M36" s="44">
        <f>IFERROR(IF(L36="","",SUMIF([1]작업지시서!$D$8:$D$118,"*"&amp;$L36,[1]작업지시서!$E$8:$E$119)),"")</f>
        <v>0</v>
      </c>
      <c r="N36" s="44">
        <f>IFERROR(IF(L36="","",SUMIF([2]작업지시서!$D$8:$D$122,"*"&amp;$L36,[2]작업지시서!$E$8:$E$123)),"")</f>
        <v>0</v>
      </c>
      <c r="P36" s="102">
        <f t="shared" si="4"/>
        <v>0</v>
      </c>
    </row>
    <row r="37" spans="1:16" ht="15" customHeight="1">
      <c r="A37" s="87"/>
      <c r="B37" s="213"/>
      <c r="C37" s="77" t="s">
        <v>62</v>
      </c>
      <c r="D37" s="55">
        <v>737</v>
      </c>
      <c r="E37" s="56">
        <v>711</v>
      </c>
      <c r="F37" s="71">
        <v>1448</v>
      </c>
      <c r="G37" s="57">
        <f>M37</f>
        <v>0</v>
      </c>
      <c r="H37" s="57">
        <f>P37</f>
        <v>0</v>
      </c>
      <c r="I37" s="75">
        <f t="shared" si="2"/>
        <v>0</v>
      </c>
      <c r="J37" s="73">
        <f>IFERROR(I38/F37,"")</f>
        <v>0</v>
      </c>
      <c r="K37" s="83"/>
      <c r="L37" s="44" t="s">
        <v>62</v>
      </c>
      <c r="M37" s="44">
        <f>IFERROR(IF(L37="","",SUMIF([1]작업지시서!$D$8:$D$118,"*"&amp;$L37,[1]작업지시서!$E$8:$E$119)),"")</f>
        <v>0</v>
      </c>
      <c r="N37" s="44">
        <f>IFERROR(IF(L37="","",SUMIF([2]작업지시서!$D$8:$D$122,"*"&amp;$L37,[2]작업지시서!$E$8:$E$123)),"")</f>
        <v>0</v>
      </c>
      <c r="P37" s="102">
        <f t="shared" si="4"/>
        <v>0</v>
      </c>
    </row>
    <row r="38" spans="1:16" ht="15" customHeight="1">
      <c r="A38" s="87"/>
      <c r="B38" s="105"/>
      <c r="C38" s="106" t="s">
        <v>88</v>
      </c>
      <c r="D38" s="107"/>
      <c r="E38" s="108"/>
      <c r="F38" s="109"/>
      <c r="G38" s="110">
        <f>M38</f>
        <v>0</v>
      </c>
      <c r="H38" s="110">
        <f>P38</f>
        <v>0</v>
      </c>
      <c r="I38" s="111">
        <f t="shared" si="2"/>
        <v>0</v>
      </c>
      <c r="J38" s="73" t="str">
        <f>IFERROR(I39/F38,"")</f>
        <v/>
      </c>
      <c r="K38" s="83"/>
      <c r="L38" s="44" t="s">
        <v>88</v>
      </c>
      <c r="M38" s="44">
        <f>IFERROR(IF(L38="","",SUMIF([1]작업지시서!$D$8:$D$118,"*"&amp;$L38,[1]작업지시서!$E$8:$E$119)),"")</f>
        <v>0</v>
      </c>
      <c r="N38" s="44">
        <f>IFERROR(IF(L38="","",SUMIF([2]작업지시서!$D$8:$D$122,"*"&amp;$L38,[2]작업지시서!$E$8:$E$123)),"")</f>
        <v>0</v>
      </c>
      <c r="P38" s="102">
        <f t="shared" si="4"/>
        <v>0</v>
      </c>
    </row>
    <row r="39" spans="1:16" ht="15" customHeight="1">
      <c r="A39" s="87"/>
      <c r="B39" s="94"/>
      <c r="C39" s="95" t="str">
        <f>B35&amp;" 소계"</f>
        <v>버거 소계</v>
      </c>
      <c r="D39" s="78">
        <v>1404</v>
      </c>
      <c r="E39" s="78">
        <v>1595</v>
      </c>
      <c r="F39" s="78">
        <v>2999</v>
      </c>
      <c r="G39" s="78">
        <f>SUM(G35:G38)</f>
        <v>0</v>
      </c>
      <c r="H39" s="78">
        <f>SUM(H35:H38)</f>
        <v>0</v>
      </c>
      <c r="I39" s="78">
        <f>SUM(I35:I38)</f>
        <v>0</v>
      </c>
      <c r="J39" s="79">
        <f t="shared" si="3"/>
        <v>0</v>
      </c>
      <c r="K39" s="83"/>
    </row>
    <row r="40" spans="1:16" ht="15" customHeight="1">
      <c r="A40" s="87"/>
      <c r="B40" s="218" t="s">
        <v>86</v>
      </c>
      <c r="C40" s="77" t="s">
        <v>45</v>
      </c>
      <c r="D40" s="55">
        <v>201</v>
      </c>
      <c r="E40" s="56">
        <v>213</v>
      </c>
      <c r="F40" s="71">
        <v>414</v>
      </c>
      <c r="G40" s="57">
        <f>M40</f>
        <v>0</v>
      </c>
      <c r="H40" s="57">
        <f>P40</f>
        <v>2</v>
      </c>
      <c r="I40" s="75">
        <f t="shared" si="2"/>
        <v>2</v>
      </c>
      <c r="J40" s="73">
        <f t="shared" si="3"/>
        <v>4.830917874396135E-3</v>
      </c>
      <c r="K40" s="83"/>
      <c r="L40" s="44" t="s">
        <v>45</v>
      </c>
      <c r="M40" s="44">
        <f>IFERROR(IF(L40="","",SUMIF([1]작업지시서!$D$8:$D$118,"*"&amp;$L40,[1]작업지시서!$E$8:$E$119)),"")</f>
        <v>0</v>
      </c>
      <c r="N40" s="44">
        <f>IFERROR(IF(L40="","",SUMIF([2]작업지시서!$D$8:$D$122,"*"&amp;$L40,[2]작업지시서!$E$8:$E$123)),"")</f>
        <v>0</v>
      </c>
      <c r="O40">
        <v>2</v>
      </c>
      <c r="P40" s="102">
        <f t="shared" si="4"/>
        <v>2</v>
      </c>
    </row>
    <row r="41" spans="1:16" ht="15" customHeight="1">
      <c r="A41" s="87"/>
      <c r="B41" s="213"/>
      <c r="C41" s="77" t="s">
        <v>63</v>
      </c>
      <c r="D41" s="55">
        <v>212</v>
      </c>
      <c r="E41" s="56">
        <v>148</v>
      </c>
      <c r="F41" s="71">
        <v>360</v>
      </c>
      <c r="G41" s="57">
        <f>M41</f>
        <v>0</v>
      </c>
      <c r="H41" s="57">
        <f>P41</f>
        <v>0</v>
      </c>
      <c r="I41" s="75">
        <f t="shared" si="2"/>
        <v>0</v>
      </c>
      <c r="J41" s="73">
        <f t="shared" si="3"/>
        <v>0</v>
      </c>
      <c r="K41" s="83"/>
      <c r="L41" s="44" t="s">
        <v>63</v>
      </c>
      <c r="M41" s="44">
        <f>IFERROR(IF(L41="","",SUMIF([1]작업지시서!$D$8:$D$118,"*"&amp;$L41,[1]작업지시서!$E$8:$E$119)),"")</f>
        <v>0</v>
      </c>
      <c r="N41" s="44">
        <f>IFERROR(IF(L41="","",SUMIF([2]작업지시서!$D$8:$D$122,"*"&amp;$L41,[2]작업지시서!$E$8:$E$123)),"")</f>
        <v>0</v>
      </c>
      <c r="P41" s="102">
        <f t="shared" si="4"/>
        <v>0</v>
      </c>
    </row>
    <row r="42" spans="1:16" ht="15" customHeight="1">
      <c r="A42" s="87"/>
      <c r="B42" s="94"/>
      <c r="C42" s="95" t="str">
        <f>B40&amp;" 소계"</f>
        <v>샌드
위치 소계</v>
      </c>
      <c r="D42" s="78">
        <v>413</v>
      </c>
      <c r="E42" s="78">
        <v>361</v>
      </c>
      <c r="F42" s="78">
        <v>774</v>
      </c>
      <c r="G42" s="78">
        <f>SUM(G40:G41)</f>
        <v>0</v>
      </c>
      <c r="H42" s="78">
        <f>SUM(H40:H41)</f>
        <v>2</v>
      </c>
      <c r="I42" s="78">
        <f>SUM(I40:I41)</f>
        <v>2</v>
      </c>
      <c r="J42" s="79">
        <f t="shared" si="3"/>
        <v>2.5839793281653748E-3</v>
      </c>
      <c r="K42" s="83"/>
    </row>
    <row r="43" spans="1:16" ht="15" customHeight="1">
      <c r="A43" s="87"/>
      <c r="B43" s="220" t="s">
        <v>73</v>
      </c>
      <c r="C43" s="76" t="s">
        <v>40</v>
      </c>
      <c r="D43" s="52">
        <v>116</v>
      </c>
      <c r="E43" s="53">
        <v>113</v>
      </c>
      <c r="F43" s="70">
        <v>229</v>
      </c>
      <c r="G43" s="54">
        <f>M43</f>
        <v>0</v>
      </c>
      <c r="H43" s="54">
        <f t="shared" ref="H43:H50" si="7">P43</f>
        <v>0</v>
      </c>
      <c r="I43" s="74">
        <f t="shared" si="2"/>
        <v>0</v>
      </c>
      <c r="J43" s="72">
        <f t="shared" si="3"/>
        <v>0</v>
      </c>
      <c r="K43" s="83"/>
      <c r="L43" s="44" t="s">
        <v>40</v>
      </c>
      <c r="M43" s="44">
        <f>IFERROR(IF(L43="","",SUMIF([1]작업지시서!$D$8:$D$118,"*"&amp;$L43,[1]작업지시서!$E$8:$E$119)),"")</f>
        <v>0</v>
      </c>
      <c r="N43" s="44">
        <f>IFERROR(IF(L43="","",SUMIF([2]작업지시서!$D$8:$D$122,"*"&amp;$L43,[2]작업지시서!$E$8:$E$123)),"")</f>
        <v>0</v>
      </c>
      <c r="P43" s="102">
        <f t="shared" si="4"/>
        <v>0</v>
      </c>
    </row>
    <row r="44" spans="1:16" ht="15" customHeight="1">
      <c r="A44" s="87"/>
      <c r="B44" s="213"/>
      <c r="C44" s="77" t="s">
        <v>39</v>
      </c>
      <c r="D44" s="55">
        <v>117</v>
      </c>
      <c r="E44" s="56">
        <v>131</v>
      </c>
      <c r="F44" s="71">
        <v>248</v>
      </c>
      <c r="G44" s="57">
        <f t="shared" ref="G44:G50" si="8">M44</f>
        <v>0</v>
      </c>
      <c r="H44" s="57">
        <f t="shared" si="7"/>
        <v>0</v>
      </c>
      <c r="I44" s="75">
        <f t="shared" si="2"/>
        <v>0</v>
      </c>
      <c r="J44" s="73">
        <f t="shared" si="3"/>
        <v>0</v>
      </c>
      <c r="K44" s="83"/>
      <c r="L44" s="44" t="s">
        <v>39</v>
      </c>
      <c r="M44" s="44">
        <f>IFERROR(IF(L44="","",SUMIF([1]작업지시서!$D$8:$D$118,"*"&amp;$L44,[1]작업지시서!$E$8:$E$119)),"")</f>
        <v>0</v>
      </c>
      <c r="N44" s="44">
        <f>IFERROR(IF(L44="","",SUMIF([2]작업지시서!$D$8:$D$122,"*"&amp;$L44,[2]작업지시서!$E$8:$E$123)),"")</f>
        <v>0</v>
      </c>
      <c r="P44" s="102">
        <f t="shared" si="4"/>
        <v>0</v>
      </c>
    </row>
    <row r="45" spans="1:16" ht="15" customHeight="1">
      <c r="A45" s="87"/>
      <c r="B45" s="213"/>
      <c r="C45" s="77" t="s">
        <v>64</v>
      </c>
      <c r="D45" s="55">
        <v>489</v>
      </c>
      <c r="E45" s="56">
        <v>442</v>
      </c>
      <c r="F45" s="71">
        <v>931</v>
      </c>
      <c r="G45" s="57">
        <f t="shared" si="8"/>
        <v>0</v>
      </c>
      <c r="H45" s="57">
        <f t="shared" si="7"/>
        <v>0</v>
      </c>
      <c r="I45" s="75">
        <f t="shared" si="2"/>
        <v>0</v>
      </c>
      <c r="J45" s="73">
        <f t="shared" si="3"/>
        <v>0</v>
      </c>
      <c r="K45" s="83"/>
      <c r="L45" s="44" t="s">
        <v>64</v>
      </c>
      <c r="M45" s="44">
        <f>IFERROR(IF(L45="","",SUMIF([1]작업지시서!$D$8:$D$118,"*"&amp;$L45,[1]작업지시서!$E$8:$E$119)),"")</f>
        <v>0</v>
      </c>
      <c r="N45" s="44">
        <f>IFERROR(IF(L45="","",SUMIF([2]작업지시서!$D$8:$D$122,"*"&amp;$L45,[2]작업지시서!$E$8:$E$123)),"")</f>
        <v>0</v>
      </c>
      <c r="P45" s="102">
        <f t="shared" si="4"/>
        <v>0</v>
      </c>
    </row>
    <row r="46" spans="1:16" ht="15" customHeight="1">
      <c r="A46" s="87"/>
      <c r="B46" s="213"/>
      <c r="C46" s="77" t="s">
        <v>41</v>
      </c>
      <c r="D46" s="55">
        <v>45</v>
      </c>
      <c r="E46" s="56">
        <v>57</v>
      </c>
      <c r="F46" s="71">
        <v>102</v>
      </c>
      <c r="G46" s="57">
        <f t="shared" si="8"/>
        <v>0</v>
      </c>
      <c r="H46" s="57">
        <f t="shared" si="7"/>
        <v>0</v>
      </c>
      <c r="I46" s="75">
        <f t="shared" si="2"/>
        <v>0</v>
      </c>
      <c r="J46" s="73">
        <f t="shared" si="3"/>
        <v>0</v>
      </c>
      <c r="K46" s="83"/>
      <c r="L46" s="44" t="s">
        <v>41</v>
      </c>
      <c r="M46" s="44">
        <f>IFERROR(IF(L46="","",SUMIF([1]작업지시서!$D$8:$D$118,"*"&amp;$L46,[1]작업지시서!$E$8:$E$119)),"")</f>
        <v>0</v>
      </c>
      <c r="N46" s="44">
        <f>IFERROR(IF(L46="","",SUMIF([2]작업지시서!$D$8:$D$122,"*"&amp;$L46,[2]작업지시서!$E$8:$E$123)),"")</f>
        <v>0</v>
      </c>
      <c r="P46" s="102">
        <f t="shared" si="4"/>
        <v>0</v>
      </c>
    </row>
    <row r="47" spans="1:16" ht="15" customHeight="1">
      <c r="A47" s="87"/>
      <c r="B47" s="213"/>
      <c r="C47" s="77" t="s">
        <v>65</v>
      </c>
      <c r="D47" s="55">
        <v>30</v>
      </c>
      <c r="E47" s="56">
        <v>24</v>
      </c>
      <c r="F47" s="71">
        <v>54</v>
      </c>
      <c r="G47" s="57">
        <f t="shared" si="8"/>
        <v>0</v>
      </c>
      <c r="H47" s="57">
        <f t="shared" si="7"/>
        <v>0</v>
      </c>
      <c r="I47" s="75">
        <f t="shared" si="2"/>
        <v>0</v>
      </c>
      <c r="J47" s="73">
        <f t="shared" si="3"/>
        <v>0</v>
      </c>
      <c r="K47" s="83"/>
      <c r="L47" s="44" t="s">
        <v>65</v>
      </c>
      <c r="M47" s="44">
        <f>IFERROR(IF(L47="","",SUMIF([1]작업지시서!$D$8:$D$118,"*"&amp;$L47,[1]작업지시서!$E$8:$E$119)),"")</f>
        <v>0</v>
      </c>
      <c r="N47" s="44">
        <f>IFERROR(IF(L47="","",SUMIF([2]작업지시서!$D$8:$D$122,"*"&amp;$L47,[2]작업지시서!$E$8:$E$123)),"")</f>
        <v>0</v>
      </c>
      <c r="P47" s="102">
        <f t="shared" si="4"/>
        <v>0</v>
      </c>
    </row>
    <row r="48" spans="1:16" ht="15" customHeight="1">
      <c r="A48" s="87"/>
      <c r="B48" s="213"/>
      <c r="C48" s="77" t="s">
        <v>42</v>
      </c>
      <c r="D48" s="55">
        <v>16</v>
      </c>
      <c r="E48" s="56">
        <v>23</v>
      </c>
      <c r="F48" s="71">
        <v>39</v>
      </c>
      <c r="G48" s="57">
        <f t="shared" si="8"/>
        <v>0</v>
      </c>
      <c r="H48" s="57">
        <f t="shared" si="7"/>
        <v>0</v>
      </c>
      <c r="I48" s="75">
        <f t="shared" si="2"/>
        <v>0</v>
      </c>
      <c r="J48" s="73">
        <f t="shared" si="3"/>
        <v>0</v>
      </c>
      <c r="K48" s="83"/>
      <c r="L48" s="44" t="s">
        <v>42</v>
      </c>
      <c r="M48" s="44">
        <f>IFERROR(IF(L48="","",SUMIF([1]작업지시서!$D$8:$D$118,"*"&amp;$L48,[1]작업지시서!$E$8:$E$119)),"")</f>
        <v>0</v>
      </c>
      <c r="N48" s="44">
        <f>IFERROR(IF(L48="","",SUMIF([2]작업지시서!$D$8:$D$122,"*"&amp;$L48,[2]작업지시서!$E$8:$E$123)),"")</f>
        <v>0</v>
      </c>
      <c r="P48" s="102">
        <f t="shared" si="4"/>
        <v>0</v>
      </c>
    </row>
    <row r="49" spans="1:16" ht="15" customHeight="1">
      <c r="A49" s="87"/>
      <c r="B49" s="213"/>
      <c r="C49" s="77" t="s">
        <v>43</v>
      </c>
      <c r="D49" s="55">
        <v>26</v>
      </c>
      <c r="E49" s="56">
        <v>29</v>
      </c>
      <c r="F49" s="71">
        <v>55</v>
      </c>
      <c r="G49" s="57">
        <f t="shared" si="8"/>
        <v>0</v>
      </c>
      <c r="H49" s="57">
        <f t="shared" si="7"/>
        <v>0</v>
      </c>
      <c r="I49" s="75">
        <f t="shared" si="2"/>
        <v>0</v>
      </c>
      <c r="J49" s="73">
        <f t="shared" si="3"/>
        <v>0</v>
      </c>
      <c r="K49" s="83"/>
      <c r="L49" s="44" t="s">
        <v>43</v>
      </c>
      <c r="M49" s="44">
        <f>IFERROR(IF(L49="","",SUMIF([1]작업지시서!$D$8:$D$118,"*"&amp;$L49,[1]작업지시서!$E$8:$E$119)),"")</f>
        <v>0</v>
      </c>
      <c r="N49" s="44">
        <f>IFERROR(IF(L49="","",SUMIF([2]작업지시서!$D$8:$D$122,"*"&amp;$L49,[2]작업지시서!$E$8:$E$123)),"")</f>
        <v>0</v>
      </c>
      <c r="P49" s="102">
        <f t="shared" si="4"/>
        <v>0</v>
      </c>
    </row>
    <row r="50" spans="1:16" ht="15" customHeight="1">
      <c r="A50" s="87"/>
      <c r="B50" s="213"/>
      <c r="C50" s="77" t="s">
        <v>66</v>
      </c>
      <c r="D50" s="55">
        <v>52</v>
      </c>
      <c r="E50" s="56">
        <v>51</v>
      </c>
      <c r="F50" s="71">
        <v>103</v>
      </c>
      <c r="G50" s="57">
        <f t="shared" si="8"/>
        <v>0</v>
      </c>
      <c r="H50" s="57">
        <f t="shared" si="7"/>
        <v>0</v>
      </c>
      <c r="I50" s="75">
        <f t="shared" si="2"/>
        <v>0</v>
      </c>
      <c r="J50" s="73">
        <f t="shared" si="3"/>
        <v>0</v>
      </c>
      <c r="K50" s="83"/>
      <c r="L50" s="44" t="s">
        <v>66</v>
      </c>
      <c r="M50" s="44">
        <f>IFERROR(IF(L50="","",SUMIF([1]작업지시서!$D$8:$D$118,"*"&amp;$L50,[1]작업지시서!$E$8:$E$119)),"")</f>
        <v>0</v>
      </c>
      <c r="N50" s="44">
        <f>IFERROR(IF(L50="","",SUMIF([2]작업지시서!$D$8:$D$122,"*"&amp;$L50,[2]작업지시서!$E$8:$E$123)),"")</f>
        <v>0</v>
      </c>
      <c r="P50" s="102">
        <f>N50+O50</f>
        <v>0</v>
      </c>
    </row>
    <row r="51" spans="1:16" ht="15" customHeight="1">
      <c r="A51" s="87"/>
      <c r="B51" s="94"/>
      <c r="C51" s="95" t="str">
        <f>B43&amp;" 소계"</f>
        <v>조리면 소계</v>
      </c>
      <c r="D51" s="78">
        <v>891</v>
      </c>
      <c r="E51" s="78">
        <v>870</v>
      </c>
      <c r="F51" s="78">
        <v>1761</v>
      </c>
      <c r="G51" s="78">
        <f>SUM(G43:G50)</f>
        <v>0</v>
      </c>
      <c r="H51" s="78">
        <f>SUM(H43:H50)</f>
        <v>0</v>
      </c>
      <c r="I51" s="78">
        <f>SUM(I43:I50)</f>
        <v>0</v>
      </c>
      <c r="J51" s="79">
        <f t="shared" si="3"/>
        <v>0</v>
      </c>
      <c r="K51" s="83"/>
    </row>
    <row r="52" spans="1:16" ht="1.5" customHeight="1">
      <c r="A52" s="81"/>
      <c r="B52" s="48"/>
      <c r="C52" s="49"/>
      <c r="D52" s="50"/>
      <c r="E52" s="50"/>
      <c r="F52" s="50"/>
      <c r="G52" s="50"/>
      <c r="H52" s="50"/>
      <c r="I52" s="50"/>
      <c r="J52" s="51"/>
      <c r="K52" s="81"/>
    </row>
    <row r="53" spans="1:16" ht="15" customHeight="1">
      <c r="A53" s="87"/>
      <c r="B53" s="227" t="s">
        <v>80</v>
      </c>
      <c r="C53" s="228"/>
      <c r="D53" s="62">
        <v>32872</v>
      </c>
      <c r="E53" s="63">
        <v>30890</v>
      </c>
      <c r="F53" s="64">
        <v>63762</v>
      </c>
      <c r="G53" s="65">
        <f>G15+G21+G31+G34+G39+G42+G51</f>
        <v>3135</v>
      </c>
      <c r="H53" s="65">
        <f>H15+H21+H31+H34+H39+H42+H51</f>
        <v>2144</v>
      </c>
      <c r="I53" s="66">
        <f>G53+H53</f>
        <v>5279</v>
      </c>
      <c r="J53" s="67">
        <f t="shared" si="3"/>
        <v>8.2792258712085565E-2</v>
      </c>
      <c r="K53" s="83"/>
      <c r="L53" s="97" t="s">
        <v>21</v>
      </c>
      <c r="M53" s="96">
        <f>SUM(M6:M50)</f>
        <v>3135</v>
      </c>
      <c r="N53" s="96">
        <f>SUM(N6:N50)</f>
        <v>2128</v>
      </c>
      <c r="O53" s="96">
        <f>SUM(O6:O50)</f>
        <v>16</v>
      </c>
      <c r="P53" s="101">
        <f>SUM(P6:P50)</f>
        <v>2144</v>
      </c>
    </row>
    <row r="54" spans="1:16" ht="2.1" customHeight="1">
      <c r="A54" s="81"/>
      <c r="B54" s="49"/>
      <c r="C54" s="49"/>
      <c r="D54" s="49"/>
      <c r="E54" s="49"/>
      <c r="F54" s="49"/>
      <c r="G54" s="49"/>
      <c r="H54" s="49"/>
      <c r="I54" s="49"/>
      <c r="J54" s="58"/>
      <c r="K54" s="81"/>
    </row>
    <row r="55" spans="1:16" ht="15" customHeight="1">
      <c r="A55" s="87"/>
      <c r="B55" s="216" t="s">
        <v>78</v>
      </c>
      <c r="C55" s="217"/>
      <c r="D55" s="59">
        <v>42686027.5</v>
      </c>
      <c r="E55" s="60">
        <v>40524805.399999999</v>
      </c>
      <c r="F55" s="68">
        <v>83210832.900000006</v>
      </c>
      <c r="G55" s="61">
        <v>46553560</v>
      </c>
      <c r="H55" s="61">
        <v>42687508.299999997</v>
      </c>
      <c r="I55" s="69">
        <f>G55+H55</f>
        <v>89241068.299999997</v>
      </c>
      <c r="J55" s="67">
        <f>IFERROR(I55/F55,"")</f>
        <v>1.07246935512888</v>
      </c>
      <c r="K55" s="98"/>
    </row>
    <row r="56" spans="1:16" ht="15" customHeight="1">
      <c r="A56" s="87"/>
      <c r="B56" s="216" t="s">
        <v>79</v>
      </c>
      <c r="C56" s="217"/>
      <c r="D56" s="229" t="s">
        <v>87</v>
      </c>
      <c r="E56" s="229"/>
      <c r="F56" s="229"/>
      <c r="G56" s="215">
        <v>95</v>
      </c>
      <c r="H56" s="215"/>
      <c r="I56" s="215"/>
      <c r="J56" s="67" t="str">
        <f>IFERROR(I56/F56,"")</f>
        <v/>
      </c>
      <c r="K56" s="83"/>
    </row>
    <row r="57" spans="1:16" ht="9.9499999999999993" customHeight="1">
      <c r="A57" s="81"/>
      <c r="B57" s="85"/>
      <c r="C57" s="85"/>
      <c r="D57" s="85"/>
      <c r="E57" s="85"/>
      <c r="F57" s="85"/>
      <c r="G57" s="85"/>
      <c r="H57" s="85"/>
      <c r="I57" s="85"/>
      <c r="J57" s="86"/>
      <c r="K57" s="81"/>
    </row>
  </sheetData>
  <mergeCells count="18">
    <mergeCell ref="B2:J2"/>
    <mergeCell ref="M3:N3"/>
    <mergeCell ref="B4:B5"/>
    <mergeCell ref="C4:C5"/>
    <mergeCell ref="D4:F4"/>
    <mergeCell ref="G4:I4"/>
    <mergeCell ref="G56:I56"/>
    <mergeCell ref="B6:B14"/>
    <mergeCell ref="B16:B20"/>
    <mergeCell ref="B22:B30"/>
    <mergeCell ref="B32:B33"/>
    <mergeCell ref="B35:B37"/>
    <mergeCell ref="B40:B41"/>
    <mergeCell ref="B43:B50"/>
    <mergeCell ref="B53:C53"/>
    <mergeCell ref="B55:C55"/>
    <mergeCell ref="B56:C56"/>
    <mergeCell ref="D56:F56"/>
  </mergeCells>
  <phoneticPr fontId="3" type="noConversion"/>
  <printOptions horizont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발주현황(카톡보내기)</vt:lpstr>
      <vt:lpstr>신상현황</vt:lpstr>
      <vt:lpstr>발주현황(카톡보내기) (2)</vt:lpstr>
      <vt:lpstr>'발주현황(카톡보내기)'!Print_Area</vt:lpstr>
      <vt:lpstr>'발주현황(카톡보내기) (2)'!Print_Area</vt:lpstr>
      <vt:lpstr>'발주현황(카톡보내기)'!Print_Titles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GFS</dc:creator>
  <cp:lastModifiedBy>GFS</cp:lastModifiedBy>
  <cp:lastPrinted>2026-10-29T01:03:24Z</cp:lastPrinted>
  <dcterms:created xsi:type="dcterms:W3CDTF">2021-06-16T00:47:01Z</dcterms:created>
  <dcterms:modified xsi:type="dcterms:W3CDTF">2026-10-29T01:03:48Z</dcterms:modified>
</cp:coreProperties>
</file>