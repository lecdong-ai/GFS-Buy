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as\자재구매\자재(NAS)\★자재팀\★1.재고조사표\월별 일일 재고조사표\26년도\10월\"/>
    </mc:Choice>
  </mc:AlternateContent>
  <bookViews>
    <workbookView xWindow="-120" yWindow="-120" windowWidth="29040" windowHeight="15720" tabRatio="805" activeTab="5"/>
  </bookViews>
  <sheets>
    <sheet name="부자재" sheetId="62" r:id="rId1"/>
    <sheet name="냉장1" sheetId="2" r:id="rId2"/>
    <sheet name="냉장2" sheetId="3" r:id="rId3"/>
    <sheet name="냉동" sheetId="4" r:id="rId4"/>
    <sheet name="상온" sheetId="5" r:id="rId5"/>
    <sheet name="Sheet1" sheetId="63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3">냉동!$A$1:$L$78</definedName>
    <definedName name="_xlnm.Print_Area" localSheetId="1">냉장1!$A$1:$L$54</definedName>
    <definedName name="_xlnm.Print_Area" localSheetId="2">냉장2!$A$1:$L$77</definedName>
    <definedName name="_xlnm.Print_Area" localSheetId="0">부자재!$A$1:$L$133</definedName>
    <definedName name="_xlnm.Print_Area" localSheetId="4">상온!$A$1:$L$89</definedName>
    <definedName name="_xlnm.Print_Titles" localSheetId="3">냉동!$1:$3</definedName>
    <definedName name="_xlnm.Print_Titles" localSheetId="1">냉장1!$1:$4</definedName>
    <definedName name="_xlnm.Print_Titles" localSheetId="2">냉장2!$1:$4</definedName>
    <definedName name="_xlnm.Print_Titles" localSheetId="0">부자재!$1:$4</definedName>
    <definedName name="_xlnm.Print_Titles" localSheetId="4">상온!$1:$4</definedName>
  </definedNames>
  <calcPr calcId="162913" iterateCount="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2" l="1"/>
  <c r="N15" i="2"/>
  <c r="F15" i="2"/>
  <c r="N32" i="2"/>
  <c r="F32" i="2"/>
  <c r="J71" i="3"/>
  <c r="N71" i="3"/>
  <c r="J42" i="2"/>
  <c r="N42" i="2"/>
  <c r="J85" i="5"/>
  <c r="J38" i="5"/>
  <c r="N38" i="5"/>
  <c r="J46" i="3"/>
  <c r="N46" i="3"/>
  <c r="F46" i="3"/>
  <c r="J43" i="2"/>
  <c r="J44" i="2"/>
  <c r="J45" i="2"/>
  <c r="J46" i="2"/>
  <c r="J47" i="2"/>
  <c r="J48" i="2"/>
  <c r="J49" i="2"/>
  <c r="J50" i="2"/>
  <c r="J51" i="2"/>
  <c r="J35" i="2"/>
  <c r="N35" i="2"/>
  <c r="F35" i="2"/>
  <c r="J73" i="62"/>
  <c r="N73" i="62"/>
  <c r="F73" i="62"/>
  <c r="J74" i="62"/>
  <c r="N74" i="62"/>
  <c r="F74" i="62"/>
  <c r="J75" i="62"/>
  <c r="N75" i="62"/>
  <c r="F75" i="62"/>
  <c r="J76" i="62"/>
  <c r="N76" i="62"/>
  <c r="F76" i="62"/>
  <c r="F22" i="3"/>
  <c r="J22" i="3"/>
  <c r="N22" i="3"/>
  <c r="J44" i="3"/>
  <c r="N44" i="3"/>
  <c r="F44" i="3"/>
  <c r="J45" i="3"/>
  <c r="N45" i="3"/>
  <c r="F45" i="3"/>
  <c r="J34" i="3"/>
  <c r="J128" i="62"/>
  <c r="J29" i="4"/>
  <c r="N29" i="4"/>
  <c r="F29" i="4"/>
  <c r="J82" i="62"/>
  <c r="N82" i="62"/>
  <c r="F82" i="62"/>
  <c r="J81" i="62"/>
  <c r="N81" i="62"/>
  <c r="F81" i="62"/>
  <c r="J7" i="5"/>
  <c r="N7" i="5"/>
  <c r="J55" i="3"/>
  <c r="N55" i="3"/>
  <c r="F55" i="3"/>
  <c r="J78" i="5"/>
  <c r="J79" i="5"/>
  <c r="J80" i="5"/>
  <c r="J81" i="5"/>
  <c r="J82" i="5"/>
  <c r="J83" i="5"/>
  <c r="J84" i="5"/>
  <c r="J26" i="2"/>
  <c r="N26" i="2"/>
  <c r="J54" i="3"/>
  <c r="N54" i="3"/>
  <c r="F54" i="3"/>
  <c r="J9" i="4"/>
  <c r="N9" i="4"/>
  <c r="J10" i="4"/>
  <c r="N10" i="4"/>
  <c r="J68" i="4"/>
  <c r="N68" i="4"/>
  <c r="J51" i="4"/>
  <c r="N51" i="4"/>
  <c r="F51" i="4"/>
  <c r="J24" i="4"/>
  <c r="N24" i="4"/>
  <c r="J43" i="3"/>
  <c r="N43" i="3"/>
  <c r="F43" i="3"/>
  <c r="J8" i="3"/>
  <c r="N8" i="3"/>
  <c r="J68" i="5"/>
  <c r="N68" i="5"/>
  <c r="F68" i="5"/>
  <c r="J69" i="5"/>
  <c r="N69" i="5"/>
  <c r="F69" i="5"/>
  <c r="J88" i="62"/>
  <c r="N88" i="62"/>
  <c r="J90" i="62"/>
  <c r="N90" i="62"/>
  <c r="F90" i="62"/>
  <c r="F24" i="3"/>
  <c r="J47" i="3"/>
  <c r="N47" i="3"/>
  <c r="F47" i="3"/>
  <c r="J80" i="62"/>
  <c r="N80" i="62"/>
  <c r="F80" i="62"/>
  <c r="J79" i="62"/>
  <c r="N79" i="62"/>
  <c r="F79" i="62"/>
  <c r="J107" i="62"/>
  <c r="N107" i="62"/>
  <c r="F107" i="62"/>
  <c r="J29" i="62"/>
  <c r="N29" i="62"/>
  <c r="F29" i="62"/>
  <c r="J71" i="62"/>
  <c r="N71" i="62"/>
  <c r="F71" i="62"/>
  <c r="J67" i="5"/>
  <c r="N67" i="5"/>
  <c r="F67" i="5"/>
  <c r="J65" i="5"/>
  <c r="N65" i="5"/>
  <c r="F65" i="5"/>
  <c r="J66" i="5"/>
  <c r="N66" i="5"/>
  <c r="F66" i="5"/>
  <c r="N69" i="4"/>
  <c r="N70" i="4"/>
  <c r="N86" i="5"/>
  <c r="N87" i="5"/>
  <c r="J8" i="4"/>
  <c r="N8" i="4"/>
  <c r="F8" i="4"/>
  <c r="J67" i="4"/>
  <c r="N67" i="4"/>
  <c r="J66" i="4"/>
  <c r="N66" i="4"/>
  <c r="J65" i="4"/>
  <c r="J64" i="4"/>
  <c r="N64" i="4"/>
  <c r="N65" i="4"/>
  <c r="J63" i="4"/>
  <c r="J52" i="3"/>
  <c r="N52" i="3"/>
  <c r="F52" i="3"/>
  <c r="J53" i="3"/>
  <c r="N53" i="3"/>
  <c r="F53" i="3"/>
  <c r="J55" i="2"/>
  <c r="N55" i="2"/>
  <c r="J31" i="5"/>
  <c r="N31" i="5"/>
  <c r="J19" i="5"/>
  <c r="N19" i="5"/>
  <c r="F19" i="5"/>
  <c r="J64" i="5"/>
  <c r="N64" i="5"/>
  <c r="F64" i="5"/>
  <c r="M50" i="2"/>
  <c r="J72" i="62"/>
  <c r="N72" i="62"/>
  <c r="F72" i="62"/>
  <c r="J127" i="62"/>
  <c r="N127" i="62"/>
  <c r="F127" i="62"/>
  <c r="J126" i="62"/>
  <c r="N126" i="62"/>
  <c r="F126" i="62"/>
  <c r="F79" i="4"/>
  <c r="J30" i="5"/>
  <c r="N30" i="5"/>
  <c r="F30" i="5"/>
  <c r="J93" i="5"/>
  <c r="N93" i="5"/>
  <c r="J31" i="2"/>
  <c r="J46" i="4"/>
  <c r="F46" i="4"/>
  <c r="J12" i="3"/>
  <c r="N12" i="3"/>
  <c r="F12" i="3"/>
  <c r="F41" i="3"/>
  <c r="J41" i="3"/>
  <c r="N41" i="3"/>
  <c r="J69" i="62"/>
  <c r="N69" i="62"/>
  <c r="F69" i="62"/>
  <c r="J67" i="62"/>
  <c r="N67" i="62"/>
  <c r="F67" i="62"/>
  <c r="J66" i="62"/>
  <c r="N66" i="62"/>
  <c r="F66" i="62"/>
  <c r="J87" i="62"/>
  <c r="N87" i="62"/>
  <c r="J125" i="62"/>
  <c r="N125" i="62"/>
  <c r="F125" i="62"/>
  <c r="M39" i="4"/>
  <c r="J39" i="4"/>
  <c r="N39" i="4"/>
  <c r="F39" i="4"/>
  <c r="J62" i="4"/>
  <c r="N62" i="4"/>
  <c r="J61" i="4"/>
  <c r="J77" i="62"/>
  <c r="N77" i="62"/>
  <c r="F77" i="62"/>
  <c r="J28" i="4"/>
  <c r="N28" i="4"/>
  <c r="F28" i="4"/>
  <c r="J27" i="4"/>
  <c r="N27" i="4"/>
  <c r="F27" i="4"/>
  <c r="N61" i="4"/>
  <c r="N63" i="4"/>
  <c r="J52" i="4"/>
  <c r="N52" i="4"/>
  <c r="F52" i="4"/>
  <c r="J44" i="4"/>
  <c r="N44" i="4"/>
  <c r="F44" i="4"/>
  <c r="J11" i="4"/>
  <c r="N11" i="4"/>
  <c r="M38" i="4"/>
  <c r="J38" i="4"/>
  <c r="N38" i="4"/>
  <c r="F38" i="4"/>
  <c r="J9" i="3"/>
  <c r="N9" i="3"/>
  <c r="J28" i="3"/>
  <c r="J26" i="62"/>
  <c r="N26" i="62"/>
  <c r="J64" i="62"/>
  <c r="N64" i="62"/>
  <c r="F64" i="62"/>
  <c r="J124" i="62"/>
  <c r="N124" i="62"/>
  <c r="F124" i="62"/>
  <c r="J122" i="62"/>
  <c r="N122" i="62"/>
  <c r="F122" i="62"/>
  <c r="J121" i="62"/>
  <c r="N121" i="62"/>
  <c r="F121" i="62"/>
  <c r="J37" i="5"/>
  <c r="N37" i="5"/>
  <c r="F37" i="5"/>
  <c r="J57" i="3"/>
  <c r="N57" i="3"/>
  <c r="J42" i="62"/>
  <c r="N42" i="62"/>
  <c r="F42" i="62"/>
  <c r="J63" i="62"/>
  <c r="N63" i="62"/>
  <c r="F63" i="62"/>
  <c r="J82" i="4"/>
  <c r="N82" i="4"/>
  <c r="F82" i="4"/>
  <c r="J83" i="4"/>
  <c r="N83" i="4"/>
  <c r="F83" i="4"/>
  <c r="J15" i="4"/>
  <c r="N15" i="4"/>
  <c r="F15" i="4"/>
  <c r="M37" i="4"/>
  <c r="J37" i="4"/>
  <c r="F37" i="4"/>
  <c r="N37" i="4"/>
  <c r="J86" i="4"/>
  <c r="N86" i="4"/>
  <c r="N31" i="2"/>
  <c r="F31" i="2"/>
  <c r="J120" i="62"/>
  <c r="N120" i="62"/>
  <c r="F120" i="62"/>
  <c r="J119" i="62"/>
  <c r="N119" i="62"/>
  <c r="F119" i="62"/>
  <c r="J109" i="62"/>
  <c r="J108" i="62"/>
  <c r="J106" i="62"/>
  <c r="J105" i="62"/>
  <c r="N105" i="62"/>
  <c r="J104" i="62"/>
  <c r="N104" i="62"/>
  <c r="F105" i="62"/>
  <c r="F104" i="62"/>
  <c r="M36" i="4"/>
  <c r="J36" i="4"/>
  <c r="N36" i="4"/>
  <c r="F36" i="4"/>
  <c r="J84" i="4"/>
  <c r="N84" i="4"/>
  <c r="F84" i="4"/>
  <c r="J22" i="2"/>
  <c r="N22" i="2"/>
  <c r="F22" i="2"/>
  <c r="J24" i="3"/>
  <c r="J41" i="62"/>
  <c r="N41" i="62"/>
  <c r="F41" i="62"/>
  <c r="J27" i="2"/>
  <c r="J56" i="2"/>
  <c r="N56" i="2"/>
  <c r="F56" i="2"/>
  <c r="J49" i="5"/>
  <c r="N49" i="5"/>
  <c r="J103" i="62"/>
  <c r="N103" i="62"/>
  <c r="F103" i="62"/>
  <c r="N106" i="62"/>
  <c r="F106" i="62"/>
  <c r="J77" i="3"/>
  <c r="N77" i="3"/>
  <c r="N78" i="3"/>
  <c r="N79" i="3"/>
  <c r="N84" i="5"/>
  <c r="N85" i="5"/>
  <c r="N83" i="5"/>
  <c r="F83" i="5"/>
  <c r="J57" i="5"/>
  <c r="N57" i="5"/>
  <c r="F57" i="5"/>
  <c r="J7" i="4"/>
  <c r="N7" i="4"/>
  <c r="F7" i="4"/>
  <c r="N33" i="2"/>
  <c r="F33" i="2"/>
  <c r="J53" i="5"/>
  <c r="N53" i="5"/>
  <c r="F53" i="5"/>
  <c r="J6" i="3"/>
  <c r="N6" i="3"/>
  <c r="J7" i="3"/>
  <c r="N7" i="3"/>
  <c r="J23" i="4"/>
  <c r="N23" i="4"/>
  <c r="F23" i="4"/>
  <c r="J25" i="4"/>
  <c r="N25" i="4"/>
  <c r="J16" i="2"/>
  <c r="N16" i="2"/>
  <c r="F16" i="2"/>
  <c r="M7" i="2"/>
  <c r="J7" i="2"/>
  <c r="N7" i="2"/>
  <c r="F7" i="2"/>
  <c r="J6" i="2"/>
  <c r="N6" i="2"/>
  <c r="F6" i="2"/>
  <c r="J36" i="3"/>
  <c r="F36" i="3"/>
  <c r="J44" i="62"/>
  <c r="N44" i="62"/>
  <c r="F44" i="62"/>
  <c r="J65" i="62"/>
  <c r="N65" i="62"/>
  <c r="F65" i="62"/>
  <c r="J25" i="62"/>
  <c r="N25" i="62"/>
  <c r="F25" i="62"/>
  <c r="J5" i="3"/>
  <c r="N5" i="3"/>
  <c r="F5" i="3"/>
  <c r="J76" i="3"/>
  <c r="N76" i="3"/>
  <c r="F76" i="3"/>
  <c r="J59" i="4"/>
  <c r="N59" i="4"/>
  <c r="F59" i="4"/>
  <c r="J62" i="62"/>
  <c r="N62" i="62"/>
  <c r="F62" i="62"/>
  <c r="J68" i="62"/>
  <c r="N68" i="62"/>
  <c r="F68" i="62"/>
  <c r="J23" i="62"/>
  <c r="N23" i="62"/>
  <c r="F23" i="62"/>
  <c r="J22" i="62"/>
  <c r="N22" i="62"/>
  <c r="F22" i="62"/>
  <c r="J99" i="62"/>
  <c r="N99" i="62"/>
  <c r="F99" i="62"/>
  <c r="J98" i="62"/>
  <c r="N98" i="62"/>
  <c r="F98" i="62"/>
  <c r="J97" i="62"/>
  <c r="N97" i="62"/>
  <c r="F97" i="62"/>
  <c r="J82" i="3"/>
  <c r="N82" i="3"/>
  <c r="F82" i="3"/>
  <c r="M84" i="3"/>
  <c r="J84" i="3"/>
  <c r="N84" i="3"/>
  <c r="F84" i="3"/>
  <c r="J26" i="4"/>
  <c r="N26" i="4"/>
  <c r="F26" i="4"/>
  <c r="J91" i="4"/>
  <c r="N91" i="4"/>
  <c r="F91" i="4"/>
  <c r="J70" i="62"/>
  <c r="N70" i="62"/>
  <c r="F70" i="62"/>
  <c r="J85" i="62"/>
  <c r="N85" i="62"/>
  <c r="F85" i="62"/>
  <c r="J86" i="62"/>
  <c r="N86" i="62"/>
  <c r="J61" i="62"/>
  <c r="N61" i="62"/>
  <c r="F61" i="62"/>
  <c r="J117" i="62"/>
  <c r="N117" i="62"/>
  <c r="F117" i="62"/>
  <c r="J116" i="62"/>
  <c r="N116" i="62"/>
  <c r="F116" i="62"/>
  <c r="J115" i="62"/>
  <c r="N115" i="62"/>
  <c r="F115" i="62"/>
  <c r="J45" i="4"/>
  <c r="F45" i="4"/>
  <c r="J47" i="4"/>
  <c r="F47" i="4"/>
  <c r="J75" i="5"/>
  <c r="N75" i="5"/>
  <c r="F75" i="5"/>
  <c r="M6" i="5"/>
  <c r="J6" i="5"/>
  <c r="F6" i="5"/>
  <c r="J55" i="5"/>
  <c r="N55" i="5"/>
  <c r="F55" i="5"/>
  <c r="M11" i="2"/>
  <c r="J11" i="2"/>
  <c r="N11" i="2"/>
  <c r="F11" i="2"/>
  <c r="N6" i="5"/>
  <c r="J69" i="3"/>
  <c r="N69" i="3"/>
  <c r="F69" i="3"/>
  <c r="J83" i="3"/>
  <c r="N83" i="3"/>
  <c r="F83" i="3"/>
  <c r="J29" i="3"/>
  <c r="N29" i="3"/>
  <c r="F29" i="3"/>
  <c r="J66" i="2"/>
  <c r="N66" i="2"/>
  <c r="J33" i="62"/>
  <c r="N33" i="62"/>
  <c r="F33" i="62"/>
  <c r="F110" i="62"/>
  <c r="F109" i="62"/>
  <c r="F91" i="62"/>
  <c r="F92" i="62"/>
  <c r="F108" i="62"/>
  <c r="F101" i="62"/>
  <c r="F100" i="62"/>
  <c r="F96" i="62"/>
  <c r="F95" i="62"/>
  <c r="F94" i="62"/>
  <c r="F93" i="62"/>
  <c r="F102" i="62"/>
  <c r="F78" i="62"/>
  <c r="F52" i="62"/>
  <c r="F43" i="62"/>
  <c r="F46" i="62"/>
  <c r="F47" i="62"/>
  <c r="F48" i="62"/>
  <c r="F49" i="62"/>
  <c r="F50" i="62"/>
  <c r="F51" i="62"/>
  <c r="F53" i="62"/>
  <c r="F54" i="62"/>
  <c r="F55" i="62"/>
  <c r="F56" i="62"/>
  <c r="F57" i="62"/>
  <c r="F58" i="62"/>
  <c r="F59" i="62"/>
  <c r="F60" i="62"/>
  <c r="F45" i="62"/>
  <c r="F37" i="62"/>
  <c r="F38" i="62"/>
  <c r="F39" i="62"/>
  <c r="F40" i="62"/>
  <c r="F24" i="62"/>
  <c r="F28" i="62"/>
  <c r="F30" i="62"/>
  <c r="F31" i="62"/>
  <c r="F32" i="62"/>
  <c r="F34" i="62"/>
  <c r="F35" i="62"/>
  <c r="F36" i="62"/>
  <c r="F6" i="62"/>
  <c r="F7" i="62"/>
  <c r="F8" i="62"/>
  <c r="F9" i="62"/>
  <c r="F10" i="62"/>
  <c r="F11" i="62"/>
  <c r="F12" i="62"/>
  <c r="F13" i="62"/>
  <c r="F14" i="62"/>
  <c r="F15" i="62"/>
  <c r="F16" i="62"/>
  <c r="F17" i="62"/>
  <c r="F18" i="62"/>
  <c r="F19" i="62"/>
  <c r="F20" i="62"/>
  <c r="F21" i="62"/>
  <c r="F83" i="62"/>
  <c r="F84" i="62"/>
  <c r="F111" i="62"/>
  <c r="F112" i="62"/>
  <c r="F113" i="62"/>
  <c r="F114" i="62"/>
  <c r="F118" i="62"/>
  <c r="F123" i="62"/>
  <c r="F128" i="62"/>
  <c r="F5" i="62"/>
  <c r="F9" i="5"/>
  <c r="F10" i="5"/>
  <c r="F15" i="5"/>
  <c r="F16" i="5"/>
  <c r="F17" i="5"/>
  <c r="F18" i="5"/>
  <c r="F20" i="5"/>
  <c r="F21" i="5"/>
  <c r="F92" i="5"/>
  <c r="F23" i="5"/>
  <c r="F24" i="5"/>
  <c r="F25" i="5"/>
  <c r="F26" i="5"/>
  <c r="F39" i="5"/>
  <c r="F33" i="5"/>
  <c r="F34" i="5"/>
  <c r="F35" i="5"/>
  <c r="F36" i="5"/>
  <c r="F76" i="5"/>
  <c r="F27" i="5"/>
  <c r="F28" i="5"/>
  <c r="F29" i="5"/>
  <c r="F40" i="5"/>
  <c r="F41" i="5"/>
  <c r="F42" i="5"/>
  <c r="F43" i="5"/>
  <c r="F44" i="5"/>
  <c r="F94" i="5"/>
  <c r="F45" i="5"/>
  <c r="F46" i="5"/>
  <c r="F11" i="5"/>
  <c r="F12" i="5"/>
  <c r="F14" i="5"/>
  <c r="F47" i="5"/>
  <c r="F22" i="5"/>
  <c r="F50" i="5"/>
  <c r="F48" i="5"/>
  <c r="F51" i="5"/>
  <c r="F52" i="5"/>
  <c r="F54" i="5"/>
  <c r="F58" i="5"/>
  <c r="F60" i="5"/>
  <c r="F61" i="5"/>
  <c r="F62" i="5"/>
  <c r="F63" i="5"/>
  <c r="F70" i="5"/>
  <c r="F71" i="5"/>
  <c r="F72" i="5"/>
  <c r="F73" i="5"/>
  <c r="F74" i="5"/>
  <c r="F77" i="5"/>
  <c r="F5" i="5"/>
  <c r="F5" i="4"/>
  <c r="F6" i="4"/>
  <c r="F12" i="4"/>
  <c r="F13" i="4"/>
  <c r="F14" i="4"/>
  <c r="F16" i="4"/>
  <c r="F17" i="4"/>
  <c r="F18" i="4"/>
  <c r="F19" i="4"/>
  <c r="F20" i="4"/>
  <c r="F21" i="4"/>
  <c r="F87" i="4"/>
  <c r="F22" i="4"/>
  <c r="F30" i="4"/>
  <c r="F31" i="4"/>
  <c r="F32" i="4"/>
  <c r="F33" i="4"/>
  <c r="F80" i="4"/>
  <c r="F81" i="4"/>
  <c r="F34" i="4"/>
  <c r="F35" i="4"/>
  <c r="F40" i="4"/>
  <c r="F41" i="4"/>
  <c r="F42" i="4"/>
  <c r="F88" i="4"/>
  <c r="F85" i="4"/>
  <c r="F43" i="4"/>
  <c r="F48" i="4"/>
  <c r="F49" i="4"/>
  <c r="F50" i="4"/>
  <c r="F89" i="4"/>
  <c r="F90" i="4"/>
  <c r="F92" i="4"/>
  <c r="F53" i="4"/>
  <c r="F54" i="4"/>
  <c r="F55" i="4"/>
  <c r="F56" i="4"/>
  <c r="F57" i="4"/>
  <c r="F58" i="4"/>
  <c r="F10" i="3"/>
  <c r="F11" i="3"/>
  <c r="F13" i="3"/>
  <c r="F14" i="3"/>
  <c r="F15" i="3"/>
  <c r="F16" i="3"/>
  <c r="F17" i="3"/>
  <c r="F18" i="3"/>
  <c r="F19" i="3"/>
  <c r="F20" i="3"/>
  <c r="F21" i="3"/>
  <c r="F23" i="3"/>
  <c r="F25" i="3"/>
  <c r="F26" i="3"/>
  <c r="F27" i="3"/>
  <c r="F30" i="3"/>
  <c r="F31" i="3"/>
  <c r="F32" i="3"/>
  <c r="F33" i="3"/>
  <c r="F35" i="3"/>
  <c r="F37" i="3"/>
  <c r="F38" i="3"/>
  <c r="F39" i="3"/>
  <c r="F40" i="3"/>
  <c r="F42" i="3"/>
  <c r="F48" i="3"/>
  <c r="F49" i="3"/>
  <c r="F50" i="3"/>
  <c r="F51" i="3"/>
  <c r="F56" i="3"/>
  <c r="F58" i="3"/>
  <c r="F59" i="3"/>
  <c r="F60" i="3"/>
  <c r="F61" i="3"/>
  <c r="F62" i="3"/>
  <c r="F63" i="3"/>
  <c r="F64" i="3"/>
  <c r="F65" i="3"/>
  <c r="F66" i="3"/>
  <c r="F67" i="3"/>
  <c r="F68" i="3"/>
  <c r="F70" i="3"/>
  <c r="F29" i="2"/>
  <c r="F30" i="2"/>
  <c r="F19" i="2"/>
  <c r="F5" i="2"/>
  <c r="F10" i="2"/>
  <c r="F12" i="2"/>
  <c r="F13" i="2"/>
  <c r="F14" i="2"/>
  <c r="F38" i="2"/>
  <c r="F17" i="2"/>
  <c r="F43" i="2"/>
  <c r="F44" i="2"/>
  <c r="F45" i="2"/>
  <c r="F46" i="2"/>
  <c r="F18" i="2"/>
  <c r="F20" i="2"/>
  <c r="F21" i="2"/>
  <c r="F23" i="2"/>
  <c r="F24" i="2"/>
  <c r="F25" i="2"/>
  <c r="F34" i="2"/>
  <c r="F36" i="2"/>
  <c r="F37" i="2"/>
  <c r="F41" i="2"/>
  <c r="F47" i="2"/>
  <c r="F48" i="2"/>
  <c r="F49" i="2"/>
  <c r="F39" i="2"/>
  <c r="F40" i="2"/>
  <c r="F58" i="2"/>
  <c r="F59" i="2"/>
  <c r="F60" i="2"/>
  <c r="F61" i="2"/>
  <c r="F62" i="2"/>
  <c r="F63" i="2"/>
  <c r="F64" i="2"/>
  <c r="F65" i="2"/>
  <c r="F28" i="2"/>
  <c r="J88" i="4"/>
  <c r="J34" i="2"/>
  <c r="N34" i="2"/>
  <c r="J83" i="62"/>
  <c r="N83" i="62"/>
  <c r="J84" i="62"/>
  <c r="N84" i="62"/>
  <c r="J110" i="62"/>
  <c r="N110" i="62"/>
  <c r="N109" i="62"/>
  <c r="J111" i="62"/>
  <c r="N111" i="62"/>
  <c r="J112" i="62"/>
  <c r="N112" i="62"/>
  <c r="J113" i="62"/>
  <c r="N113" i="62"/>
  <c r="J118" i="62"/>
  <c r="N118" i="62"/>
  <c r="J114" i="62"/>
  <c r="N114" i="62"/>
  <c r="J123" i="62"/>
  <c r="N123" i="62"/>
  <c r="N128" i="62"/>
  <c r="J60" i="62"/>
  <c r="N60" i="62"/>
  <c r="J50" i="62"/>
  <c r="N50" i="62"/>
  <c r="J45" i="62"/>
  <c r="N45" i="62"/>
  <c r="J58" i="62"/>
  <c r="N58" i="62"/>
  <c r="J55" i="62"/>
  <c r="N55" i="62"/>
  <c r="J54" i="62"/>
  <c r="N54" i="62"/>
  <c r="J56" i="62"/>
  <c r="N56" i="62"/>
  <c r="J59" i="62"/>
  <c r="N59" i="62"/>
  <c r="J57" i="62"/>
  <c r="N57" i="62"/>
  <c r="J46" i="62"/>
  <c r="N46" i="62"/>
  <c r="J96" i="62"/>
  <c r="N96" i="62"/>
  <c r="J94" i="62"/>
  <c r="N94" i="62"/>
  <c r="J95" i="62"/>
  <c r="N95" i="62"/>
  <c r="J102" i="62"/>
  <c r="N102" i="62"/>
  <c r="J101" i="62"/>
  <c r="N101" i="62"/>
  <c r="N108" i="62"/>
  <c r="J93" i="62"/>
  <c r="N93" i="62"/>
  <c r="J92" i="62"/>
  <c r="N92" i="62"/>
  <c r="J91" i="62"/>
  <c r="N91" i="62"/>
  <c r="J100" i="62"/>
  <c r="N100" i="62"/>
  <c r="J89" i="62"/>
  <c r="N89" i="62"/>
  <c r="J78" i="62"/>
  <c r="N78" i="62"/>
  <c r="J52" i="62"/>
  <c r="N52" i="62"/>
  <c r="J48" i="62"/>
  <c r="N48" i="62"/>
  <c r="J49" i="62"/>
  <c r="N49" i="62"/>
  <c r="J47" i="62"/>
  <c r="N47" i="62"/>
  <c r="J53" i="62"/>
  <c r="N53" i="62"/>
  <c r="J51" i="62"/>
  <c r="N51" i="62"/>
  <c r="J43" i="62"/>
  <c r="N43" i="62"/>
  <c r="J28" i="62"/>
  <c r="N28" i="62"/>
  <c r="J30" i="62"/>
  <c r="N30" i="62"/>
  <c r="J39" i="62"/>
  <c r="N39" i="62"/>
  <c r="J40" i="62"/>
  <c r="N40" i="62"/>
  <c r="J38" i="62"/>
  <c r="N38" i="62"/>
  <c r="J34" i="62"/>
  <c r="N34" i="62"/>
  <c r="J32" i="62"/>
  <c r="N32" i="62"/>
  <c r="J31" i="62"/>
  <c r="N31" i="62"/>
  <c r="J36" i="62"/>
  <c r="N36" i="62"/>
  <c r="J37" i="62"/>
  <c r="N37" i="62"/>
  <c r="J35" i="62"/>
  <c r="N35" i="62"/>
  <c r="J24" i="62"/>
  <c r="N24" i="62"/>
  <c r="J27" i="62"/>
  <c r="N27" i="62"/>
  <c r="J21" i="62"/>
  <c r="N21" i="62"/>
  <c r="J20" i="62"/>
  <c r="N20" i="62"/>
  <c r="J19" i="62"/>
  <c r="N19" i="62"/>
  <c r="J18" i="62"/>
  <c r="N18" i="62"/>
  <c r="J17" i="62"/>
  <c r="N17" i="62"/>
  <c r="J16" i="62"/>
  <c r="N16" i="62"/>
  <c r="J15" i="62"/>
  <c r="N15" i="62"/>
  <c r="J14" i="62"/>
  <c r="N14" i="62"/>
  <c r="J13" i="62"/>
  <c r="N13" i="62"/>
  <c r="J12" i="62"/>
  <c r="J11" i="62"/>
  <c r="N11" i="62"/>
  <c r="J10" i="62"/>
  <c r="N10" i="62"/>
  <c r="J9" i="62"/>
  <c r="N9" i="62"/>
  <c r="J8" i="62"/>
  <c r="N8" i="62"/>
  <c r="J7" i="62"/>
  <c r="N7" i="62"/>
  <c r="J6" i="62"/>
  <c r="N6" i="62"/>
  <c r="J5" i="62"/>
  <c r="N5" i="62"/>
  <c r="D1" i="62"/>
  <c r="N12" i="62"/>
  <c r="J12" i="2"/>
  <c r="N12" i="2"/>
  <c r="J89" i="4"/>
  <c r="N89" i="4"/>
  <c r="J23" i="2"/>
  <c r="N23" i="2"/>
  <c r="F99" i="5"/>
  <c r="F98" i="5"/>
  <c r="F97" i="5"/>
  <c r="F96" i="5"/>
  <c r="F94" i="4"/>
  <c r="F95" i="4"/>
  <c r="F93" i="4"/>
  <c r="F86" i="3"/>
  <c r="F85" i="3"/>
  <c r="F67" i="2"/>
  <c r="F68" i="2"/>
  <c r="N48" i="2"/>
  <c r="J90" i="4"/>
  <c r="N90" i="4"/>
  <c r="M48" i="4"/>
  <c r="J48" i="4"/>
  <c r="N48" i="4"/>
  <c r="J50" i="4"/>
  <c r="N50" i="4"/>
  <c r="J26" i="3"/>
  <c r="N26" i="3"/>
  <c r="J11" i="5"/>
  <c r="N11" i="5"/>
  <c r="J94" i="4"/>
  <c r="N94" i="4"/>
  <c r="J10" i="3"/>
  <c r="N10" i="3"/>
  <c r="J15" i="5"/>
  <c r="N15" i="5"/>
  <c r="M12" i="4"/>
  <c r="M35" i="4"/>
  <c r="M31" i="4"/>
  <c r="J31" i="4"/>
  <c r="N31" i="4"/>
  <c r="J14" i="2"/>
  <c r="N14" i="2"/>
  <c r="D1" i="2"/>
  <c r="D1" i="5"/>
  <c r="J67" i="2"/>
  <c r="N67" i="2"/>
  <c r="M9" i="2"/>
  <c r="J9" i="2"/>
  <c r="N9" i="2"/>
  <c r="J8" i="2"/>
  <c r="N8" i="2"/>
  <c r="J56" i="4"/>
  <c r="N56" i="4"/>
  <c r="M50" i="5"/>
  <c r="J50" i="5"/>
  <c r="N50" i="5"/>
  <c r="M81" i="4"/>
  <c r="M60" i="2"/>
  <c r="M18" i="2"/>
  <c r="M43" i="2"/>
  <c r="F106" i="5"/>
  <c r="F103" i="5"/>
  <c r="F104" i="5"/>
  <c r="F105" i="5"/>
  <c r="F102" i="5"/>
  <c r="F101" i="5"/>
  <c r="F100" i="5"/>
  <c r="F78" i="5"/>
  <c r="F79" i="5"/>
  <c r="F80" i="5"/>
  <c r="F81" i="5"/>
  <c r="F82" i="5"/>
  <c r="F89" i="5"/>
  <c r="F90" i="5"/>
  <c r="F91" i="5"/>
  <c r="F100" i="4"/>
  <c r="F99" i="4"/>
  <c r="F97" i="4"/>
  <c r="F98" i="4"/>
  <c r="F96" i="4"/>
  <c r="F72" i="4"/>
  <c r="F73" i="4"/>
  <c r="F91" i="3"/>
  <c r="F90" i="3"/>
  <c r="F89" i="3"/>
  <c r="F87" i="3"/>
  <c r="F88" i="3"/>
  <c r="F73" i="2"/>
  <c r="F71" i="2"/>
  <c r="F72" i="2"/>
  <c r="F70" i="2"/>
  <c r="F69" i="2"/>
  <c r="F74" i="2"/>
  <c r="J86" i="3"/>
  <c r="N86" i="3"/>
  <c r="J42" i="3"/>
  <c r="N42" i="3"/>
  <c r="J98" i="5"/>
  <c r="N98" i="5"/>
  <c r="J97" i="5"/>
  <c r="N97" i="5"/>
  <c r="J38" i="2"/>
  <c r="N38" i="2"/>
  <c r="J33" i="3"/>
  <c r="N33" i="3"/>
  <c r="J54" i="4"/>
  <c r="N54" i="4"/>
  <c r="J68" i="2"/>
  <c r="N68" i="2"/>
  <c r="J95" i="4"/>
  <c r="N95" i="4"/>
  <c r="J99" i="5"/>
  <c r="N99" i="5"/>
  <c r="J14" i="3"/>
  <c r="N14" i="3"/>
  <c r="J31" i="3"/>
  <c r="N31" i="3"/>
  <c r="J10" i="2"/>
  <c r="N10" i="2"/>
  <c r="F110" i="5"/>
  <c r="F109" i="5"/>
  <c r="F108" i="5"/>
  <c r="F107" i="5"/>
  <c r="F106" i="4"/>
  <c r="F105" i="4"/>
  <c r="F104" i="4"/>
  <c r="F108" i="4"/>
  <c r="F103" i="4"/>
  <c r="F102" i="4"/>
  <c r="F101" i="4"/>
  <c r="F107" i="4"/>
  <c r="J79" i="2"/>
  <c r="N79" i="2"/>
  <c r="F75" i="2"/>
  <c r="F76" i="2"/>
  <c r="F77" i="2"/>
  <c r="F78" i="2"/>
  <c r="M107" i="5"/>
  <c r="J12" i="4"/>
  <c r="N12" i="4"/>
  <c r="M65" i="3"/>
  <c r="M72" i="4"/>
  <c r="J72" i="4"/>
  <c r="N72" i="4"/>
  <c r="M92" i="5"/>
  <c r="J92" i="5"/>
  <c r="J107" i="5"/>
  <c r="N107" i="5"/>
  <c r="J6" i="4"/>
  <c r="N6" i="4"/>
  <c r="J115" i="4"/>
  <c r="N115" i="4"/>
  <c r="J78" i="2"/>
  <c r="N78" i="2"/>
  <c r="J76" i="2"/>
  <c r="N76" i="2"/>
  <c r="J111" i="4"/>
  <c r="N111" i="4"/>
  <c r="F111" i="4"/>
  <c r="J105" i="4"/>
  <c r="N105" i="4"/>
  <c r="J37" i="3"/>
  <c r="N37" i="3"/>
  <c r="J17" i="3"/>
  <c r="N17" i="3"/>
  <c r="J92" i="4"/>
  <c r="N92" i="4"/>
  <c r="J97" i="4"/>
  <c r="N97" i="4"/>
  <c r="J39" i="2"/>
  <c r="N39" i="2"/>
  <c r="J104" i="4"/>
  <c r="N104" i="4"/>
  <c r="J24" i="2"/>
  <c r="N24" i="2"/>
  <c r="M26" i="5"/>
  <c r="F109" i="4"/>
  <c r="F110" i="4"/>
  <c r="F112" i="4"/>
  <c r="M21" i="5"/>
  <c r="M32" i="3"/>
  <c r="J91" i="3"/>
  <c r="N91" i="3"/>
  <c r="J12" i="5"/>
  <c r="N12" i="5"/>
  <c r="J17" i="4"/>
  <c r="N17" i="4"/>
  <c r="J43" i="5"/>
  <c r="N43" i="5"/>
  <c r="J33" i="5"/>
  <c r="N33" i="5"/>
  <c r="J32" i="3"/>
  <c r="J21" i="5"/>
  <c r="J105" i="5"/>
  <c r="N105" i="5"/>
  <c r="J101" i="5"/>
  <c r="N101" i="5"/>
  <c r="J88" i="3"/>
  <c r="N88" i="3"/>
  <c r="J89" i="3"/>
  <c r="N89" i="3"/>
  <c r="J40" i="2"/>
  <c r="N40" i="2"/>
  <c r="N47" i="2"/>
  <c r="J49" i="4"/>
  <c r="N49" i="4"/>
  <c r="N71" i="4"/>
  <c r="J48" i="5"/>
  <c r="N48" i="5"/>
  <c r="J15" i="3"/>
  <c r="N15" i="3"/>
  <c r="J62" i="5"/>
  <c r="N62" i="5"/>
  <c r="M49" i="2"/>
  <c r="J56" i="5"/>
  <c r="N56" i="5"/>
  <c r="J70" i="2"/>
  <c r="N70" i="2"/>
  <c r="J112" i="5"/>
  <c r="N112" i="5"/>
  <c r="J93" i="4"/>
  <c r="N93" i="4"/>
  <c r="J77" i="5"/>
  <c r="N77" i="5"/>
  <c r="J92" i="3"/>
  <c r="N92" i="3"/>
  <c r="J100" i="4"/>
  <c r="N100" i="4"/>
  <c r="J107" i="4"/>
  <c r="N107" i="4"/>
  <c r="J30" i="2"/>
  <c r="N30" i="2"/>
  <c r="J20" i="2"/>
  <c r="N20" i="2"/>
  <c r="J16" i="3"/>
  <c r="N16" i="3"/>
  <c r="F3" i="4"/>
  <c r="F3" i="3"/>
  <c r="F3" i="5"/>
  <c r="M21" i="3"/>
  <c r="J21" i="3"/>
  <c r="J118" i="4"/>
  <c r="N118" i="4"/>
  <c r="J56" i="3"/>
  <c r="N56" i="3"/>
  <c r="J39" i="5"/>
  <c r="N39" i="5"/>
  <c r="J117" i="4"/>
  <c r="N117" i="4"/>
  <c r="M76" i="4"/>
  <c r="M78" i="4"/>
  <c r="M77" i="4"/>
  <c r="J77" i="4"/>
  <c r="N77" i="4"/>
  <c r="M75" i="4"/>
  <c r="J75" i="4"/>
  <c r="N75" i="4"/>
  <c r="J109" i="4"/>
  <c r="N109" i="4"/>
  <c r="J101" i="4"/>
  <c r="N101" i="4"/>
  <c r="J60" i="2"/>
  <c r="J110" i="4"/>
  <c r="N110" i="4"/>
  <c r="J76" i="4"/>
  <c r="N76" i="4"/>
  <c r="J74" i="4"/>
  <c r="N74" i="4"/>
  <c r="J89" i="5"/>
  <c r="N89" i="5"/>
  <c r="J90" i="5"/>
  <c r="N90" i="5"/>
  <c r="J115" i="5"/>
  <c r="N115" i="5"/>
  <c r="J91" i="5"/>
  <c r="N91" i="5"/>
  <c r="J59" i="2"/>
  <c r="N59" i="2"/>
  <c r="J87" i="3"/>
  <c r="N87" i="3"/>
  <c r="J116" i="4"/>
  <c r="N116" i="4"/>
  <c r="J103" i="4"/>
  <c r="N103" i="4"/>
  <c r="J61" i="2"/>
  <c r="N61" i="2"/>
  <c r="J64" i="3"/>
  <c r="N64" i="3"/>
  <c r="J60" i="4"/>
  <c r="N60" i="4"/>
  <c r="J82" i="2"/>
  <c r="N82" i="2"/>
  <c r="J32" i="4"/>
  <c r="N32" i="4"/>
  <c r="J63" i="5"/>
  <c r="N63" i="5"/>
  <c r="J60" i="5"/>
  <c r="N60" i="5"/>
  <c r="N46" i="2"/>
  <c r="J41" i="4"/>
  <c r="N41" i="4"/>
  <c r="J21" i="4"/>
  <c r="N21" i="4"/>
  <c r="J87" i="4"/>
  <c r="N87" i="4"/>
  <c r="J58" i="2"/>
  <c r="N58" i="2"/>
  <c r="J78" i="4"/>
  <c r="J99" i="4"/>
  <c r="N99" i="4"/>
  <c r="J69" i="2"/>
  <c r="N69" i="2"/>
  <c r="N45" i="2"/>
  <c r="J13" i="2"/>
  <c r="N13" i="2"/>
  <c r="J71" i="2"/>
  <c r="N71" i="2"/>
  <c r="J90" i="3"/>
  <c r="N90" i="3"/>
  <c r="J77" i="2"/>
  <c r="N77" i="2"/>
  <c r="J103" i="5"/>
  <c r="N103" i="5"/>
  <c r="J70" i="5"/>
  <c r="N70" i="5"/>
  <c r="J109" i="5"/>
  <c r="N109" i="5"/>
  <c r="J108" i="5"/>
  <c r="N108" i="5"/>
  <c r="J104" i="5"/>
  <c r="N104" i="5"/>
  <c r="J98" i="4"/>
  <c r="N98" i="4"/>
  <c r="J120" i="4"/>
  <c r="J64" i="2"/>
  <c r="N64" i="2"/>
  <c r="J62" i="2"/>
  <c r="N62" i="2"/>
  <c r="J14" i="5"/>
  <c r="N14" i="5"/>
  <c r="J59" i="5"/>
  <c r="N59" i="5"/>
  <c r="N78" i="5"/>
  <c r="N81" i="5"/>
  <c r="N80" i="5"/>
  <c r="J121" i="5"/>
  <c r="J116" i="5"/>
  <c r="N116" i="5"/>
  <c r="J17" i="2"/>
  <c r="N17" i="2"/>
  <c r="N43" i="2"/>
  <c r="J65" i="2"/>
  <c r="N65" i="2"/>
  <c r="J40" i="5"/>
  <c r="N40" i="5"/>
  <c r="J63" i="2"/>
  <c r="N63" i="2"/>
  <c r="J112" i="4"/>
  <c r="N112" i="4"/>
  <c r="J41" i="2"/>
  <c r="N41" i="2"/>
  <c r="J18" i="2"/>
  <c r="N18" i="2"/>
  <c r="J80" i="2"/>
  <c r="N80" i="2"/>
  <c r="J102" i="4"/>
  <c r="N102" i="4"/>
  <c r="J126" i="5"/>
  <c r="J65" i="3"/>
  <c r="J58" i="3"/>
  <c r="N58" i="3"/>
  <c r="J5" i="4"/>
  <c r="N5" i="4"/>
  <c r="N79" i="5"/>
  <c r="N82" i="5"/>
  <c r="J34" i="4"/>
  <c r="N34" i="4"/>
  <c r="J85" i="4"/>
  <c r="N85" i="4"/>
  <c r="N35" i="3"/>
  <c r="N88" i="5"/>
  <c r="J35" i="5"/>
  <c r="N35" i="5"/>
  <c r="J99" i="3"/>
  <c r="J98" i="3"/>
  <c r="J97" i="3"/>
  <c r="J100" i="3"/>
  <c r="J135" i="5"/>
  <c r="J139" i="5"/>
  <c r="J138" i="5"/>
  <c r="J137" i="5"/>
  <c r="J136" i="5"/>
  <c r="J134" i="5"/>
  <c r="J133" i="5"/>
  <c r="J132" i="5"/>
  <c r="J131" i="5"/>
  <c r="J125" i="5"/>
  <c r="J26" i="5"/>
  <c r="N26" i="5"/>
  <c r="J125" i="4"/>
  <c r="J138" i="4"/>
  <c r="J154" i="4"/>
  <c r="J153" i="4"/>
  <c r="J152" i="4"/>
  <c r="J151" i="4"/>
  <c r="J150" i="4"/>
  <c r="J149" i="4"/>
  <c r="J148" i="4"/>
  <c r="J140" i="4"/>
  <c r="J139" i="4"/>
  <c r="J146" i="4"/>
  <c r="J141" i="4"/>
  <c r="J147" i="4"/>
  <c r="J145" i="4"/>
  <c r="J142" i="4"/>
  <c r="J121" i="4"/>
  <c r="J144" i="4"/>
  <c r="J143" i="4"/>
  <c r="J95" i="3"/>
  <c r="J103" i="3"/>
  <c r="J102" i="3"/>
  <c r="J97" i="2"/>
  <c r="J99" i="2"/>
  <c r="J98" i="2"/>
  <c r="J102" i="2"/>
  <c r="J101" i="2"/>
  <c r="J100" i="2"/>
  <c r="J96" i="2"/>
  <c r="J95" i="2"/>
  <c r="J94" i="2"/>
  <c r="J84" i="2"/>
  <c r="J83" i="2"/>
  <c r="J28" i="2"/>
  <c r="N28" i="2"/>
  <c r="J92" i="2"/>
  <c r="J89" i="2"/>
  <c r="J91" i="2"/>
  <c r="J90" i="2"/>
  <c r="J47" i="5"/>
  <c r="N47" i="5"/>
  <c r="J143" i="5"/>
  <c r="J144" i="5"/>
  <c r="J123" i="4"/>
  <c r="J122" i="5"/>
  <c r="J70" i="3"/>
  <c r="N70" i="3"/>
  <c r="J101" i="3"/>
  <c r="J106" i="3"/>
  <c r="J111" i="3"/>
  <c r="J13" i="4"/>
  <c r="N13" i="4"/>
  <c r="J93" i="3"/>
  <c r="J127" i="4"/>
  <c r="J103" i="2"/>
  <c r="J104" i="2"/>
  <c r="J74" i="5"/>
  <c r="N74" i="5"/>
  <c r="J49" i="3"/>
  <c r="N49" i="3"/>
  <c r="J106" i="4"/>
  <c r="N106" i="4"/>
  <c r="J29" i="5"/>
  <c r="N29" i="5"/>
  <c r="J16" i="4"/>
  <c r="N16" i="4"/>
  <c r="J110" i="2"/>
  <c r="J66" i="3"/>
  <c r="N66" i="3"/>
  <c r="N88" i="4"/>
  <c r="J34" i="5"/>
  <c r="N34" i="5"/>
  <c r="J86" i="2"/>
  <c r="J80" i="4"/>
  <c r="N80" i="4"/>
  <c r="J81" i="4"/>
  <c r="N81" i="4"/>
  <c r="J135" i="4"/>
  <c r="J22" i="5"/>
  <c r="N22" i="5"/>
  <c r="J105" i="3"/>
  <c r="J13" i="5"/>
  <c r="N13" i="5"/>
  <c r="J22" i="4"/>
  <c r="N22" i="4"/>
  <c r="J25" i="3"/>
  <c r="N25" i="3"/>
  <c r="J146" i="5"/>
  <c r="J145" i="5"/>
  <c r="J79" i="4"/>
  <c r="N79" i="4"/>
  <c r="J128" i="5"/>
  <c r="J36" i="5"/>
  <c r="N36" i="5"/>
  <c r="J129" i="4"/>
  <c r="J87" i="2"/>
  <c r="J85" i="3"/>
  <c r="N85" i="3"/>
  <c r="J52" i="5"/>
  <c r="N52" i="5"/>
  <c r="J93" i="2"/>
  <c r="J107" i="3"/>
  <c r="J46" i="5"/>
  <c r="N46" i="5"/>
  <c r="J96" i="3"/>
  <c r="J127" i="5"/>
  <c r="J73" i="4"/>
  <c r="N73" i="4"/>
  <c r="J128" i="4"/>
  <c r="J134" i="4"/>
  <c r="J109" i="2"/>
  <c r="J132" i="4"/>
  <c r="J41" i="5"/>
  <c r="N41" i="5"/>
  <c r="J140" i="5"/>
  <c r="N80" i="3"/>
  <c r="J137" i="4"/>
  <c r="J126" i="4"/>
  <c r="J72" i="2"/>
  <c r="N72" i="2"/>
  <c r="J14" i="4"/>
  <c r="N14" i="4"/>
  <c r="J108" i="3"/>
  <c r="N44" i="2"/>
  <c r="J51" i="3"/>
  <c r="N51" i="3"/>
  <c r="J19" i="2"/>
  <c r="N19" i="2"/>
  <c r="J124" i="4"/>
  <c r="J16" i="5"/>
  <c r="N16" i="5"/>
  <c r="J18" i="5"/>
  <c r="N18" i="5"/>
  <c r="J10" i="5"/>
  <c r="N10" i="5"/>
  <c r="J17" i="5"/>
  <c r="N17" i="5"/>
  <c r="J20" i="5"/>
  <c r="N20" i="5"/>
  <c r="J114" i="5"/>
  <c r="N114" i="5"/>
  <c r="J106" i="5"/>
  <c r="N106" i="5"/>
  <c r="J113" i="5"/>
  <c r="N113" i="5"/>
  <c r="J27" i="5"/>
  <c r="N27" i="5"/>
  <c r="J28" i="5"/>
  <c r="N28" i="5"/>
  <c r="J32" i="5"/>
  <c r="N32" i="5"/>
  <c r="J96" i="5"/>
  <c r="N96" i="5"/>
  <c r="J94" i="5"/>
  <c r="N94" i="5"/>
  <c r="J119" i="5"/>
  <c r="N119" i="5"/>
  <c r="J9" i="5"/>
  <c r="N9" i="5"/>
  <c r="J130" i="5"/>
  <c r="J120" i="5"/>
  <c r="J123" i="5"/>
  <c r="J25" i="5"/>
  <c r="N25" i="5"/>
  <c r="J110" i="5"/>
  <c r="N110" i="5"/>
  <c r="J24" i="5"/>
  <c r="N24" i="5"/>
  <c r="J23" i="5"/>
  <c r="N23" i="5"/>
  <c r="J51" i="5"/>
  <c r="N51" i="5"/>
  <c r="J54" i="5"/>
  <c r="N54" i="5"/>
  <c r="J61" i="5"/>
  <c r="N61" i="5"/>
  <c r="J124" i="5"/>
  <c r="J58" i="5"/>
  <c r="N58" i="5"/>
  <c r="J141" i="5"/>
  <c r="J142" i="5"/>
  <c r="J102" i="5"/>
  <c r="N102" i="5"/>
  <c r="J100" i="5"/>
  <c r="N100" i="5"/>
  <c r="J45" i="5"/>
  <c r="N45" i="5"/>
  <c r="J129" i="5"/>
  <c r="J76" i="5"/>
  <c r="N76" i="5"/>
  <c r="J73" i="5"/>
  <c r="N73" i="5"/>
  <c r="J71" i="5"/>
  <c r="N71" i="5"/>
  <c r="J72" i="5"/>
  <c r="N72" i="5"/>
  <c r="J44" i="5"/>
  <c r="N44" i="5"/>
  <c r="J117" i="5"/>
  <c r="N117" i="5"/>
  <c r="J8" i="5"/>
  <c r="N8" i="5"/>
  <c r="J5" i="5"/>
  <c r="N5" i="5"/>
  <c r="N21" i="5"/>
  <c r="J42" i="5"/>
  <c r="N42" i="5"/>
  <c r="N95" i="5"/>
  <c r="J118" i="5"/>
  <c r="N118" i="5"/>
  <c r="J111" i="5"/>
  <c r="N111" i="5"/>
  <c r="J55" i="4"/>
  <c r="N55" i="4"/>
  <c r="J53" i="4"/>
  <c r="N53" i="4"/>
  <c r="J58" i="4"/>
  <c r="N58" i="4"/>
  <c r="N57" i="4"/>
  <c r="J130" i="4"/>
  <c r="J30" i="4"/>
  <c r="N30" i="4"/>
  <c r="J35" i="4"/>
  <c r="N35" i="4"/>
  <c r="J33" i="4"/>
  <c r="N33" i="4"/>
  <c r="J136" i="4"/>
  <c r="J96" i="4"/>
  <c r="N96" i="4"/>
  <c r="J133" i="4"/>
  <c r="J40" i="4"/>
  <c r="N40" i="4"/>
  <c r="J42" i="4"/>
  <c r="N42" i="4"/>
  <c r="J43" i="4"/>
  <c r="N43" i="4"/>
  <c r="J131" i="4"/>
  <c r="J122" i="4"/>
  <c r="J18" i="4"/>
  <c r="N18" i="4"/>
  <c r="J19" i="4"/>
  <c r="N19" i="4"/>
  <c r="J20" i="4"/>
  <c r="J108" i="4"/>
  <c r="N108" i="4"/>
  <c r="J119" i="4"/>
  <c r="N119" i="4"/>
  <c r="J113" i="4"/>
  <c r="N113" i="4"/>
  <c r="J11" i="3"/>
  <c r="N11" i="3"/>
  <c r="J30" i="3"/>
  <c r="N30" i="3"/>
  <c r="J38" i="3"/>
  <c r="N38" i="3"/>
  <c r="J23" i="3"/>
  <c r="N23" i="3"/>
  <c r="J27" i="3"/>
  <c r="N27" i="3"/>
  <c r="J19" i="3"/>
  <c r="N19" i="3"/>
  <c r="J18" i="3"/>
  <c r="N18" i="3"/>
  <c r="J114" i="3"/>
  <c r="J20" i="3"/>
  <c r="N20" i="3"/>
  <c r="J113" i="3"/>
  <c r="J40" i="3"/>
  <c r="N40" i="3"/>
  <c r="J39" i="3"/>
  <c r="N39" i="3"/>
  <c r="J13" i="3"/>
  <c r="N13" i="3"/>
  <c r="J104" i="3"/>
  <c r="J48" i="3"/>
  <c r="N48" i="3"/>
  <c r="J50" i="3"/>
  <c r="N50" i="3"/>
  <c r="J94" i="3"/>
  <c r="J112" i="3"/>
  <c r="J60" i="3"/>
  <c r="N60" i="3"/>
  <c r="J59" i="3"/>
  <c r="N59" i="3"/>
  <c r="J63" i="3"/>
  <c r="N63" i="3"/>
  <c r="J68" i="3"/>
  <c r="N68" i="3"/>
  <c r="J62" i="3"/>
  <c r="N62" i="3"/>
  <c r="J109" i="3"/>
  <c r="J110" i="3"/>
  <c r="J67" i="3"/>
  <c r="N67" i="3"/>
  <c r="J61" i="3"/>
  <c r="N61" i="3"/>
  <c r="J88" i="2"/>
  <c r="J36" i="2"/>
  <c r="N36" i="2"/>
  <c r="J37" i="2"/>
  <c r="N37" i="2"/>
  <c r="J81" i="2"/>
  <c r="N81" i="2"/>
  <c r="J29" i="2"/>
  <c r="N29" i="2"/>
  <c r="J74" i="2"/>
  <c r="N74" i="2"/>
  <c r="J108" i="2"/>
  <c r="J25" i="2"/>
  <c r="N25" i="2"/>
  <c r="N27" i="2"/>
  <c r="J85" i="2"/>
  <c r="J107" i="2"/>
  <c r="J106" i="2"/>
  <c r="J21" i="2"/>
  <c r="N21" i="2"/>
  <c r="J73" i="2"/>
  <c r="N73" i="2"/>
  <c r="J105" i="2"/>
  <c r="J5" i="2"/>
  <c r="N5" i="2"/>
  <c r="J75" i="2"/>
  <c r="N75" i="2"/>
  <c r="N78" i="4"/>
  <c r="N65" i="3"/>
  <c r="N92" i="5"/>
  <c r="N20" i="4"/>
  <c r="N49" i="2"/>
  <c r="N21" i="3"/>
  <c r="N32" i="3"/>
  <c r="N60" i="2"/>
  <c r="N50" i="2"/>
  <c r="D1" i="4"/>
  <c r="D1" i="3"/>
  <c r="N81" i="3"/>
  <c r="N114" i="4"/>
  <c r="N134" i="62"/>
</calcChain>
</file>

<file path=xl/sharedStrings.xml><?xml version="1.0" encoding="utf-8"?>
<sst xmlns="http://schemas.openxmlformats.org/spreadsheetml/2006/main" count="4003" uniqueCount="1211">
  <si>
    <t>구분</t>
    <phoneticPr fontId="1" type="noConversion"/>
  </si>
  <si>
    <t>거래처</t>
    <phoneticPr fontId="1" type="noConversion"/>
  </si>
  <si>
    <t>제품명</t>
    <phoneticPr fontId="1" type="noConversion"/>
  </si>
  <si>
    <t>박스</t>
    <phoneticPr fontId="1" type="noConversion"/>
  </si>
  <si>
    <t>다인소재</t>
  </si>
  <si>
    <t>낱개</t>
    <phoneticPr fontId="1" type="noConversion"/>
  </si>
  <si>
    <t>발주주기</t>
    <phoneticPr fontId="1" type="noConversion"/>
  </si>
  <si>
    <t>냉동</t>
    <phoneticPr fontId="1" type="noConversion"/>
  </si>
  <si>
    <t>상온</t>
    <phoneticPr fontId="1" type="noConversion"/>
  </si>
  <si>
    <t>입고일</t>
    <phoneticPr fontId="1" type="noConversion"/>
  </si>
  <si>
    <t>D+1</t>
  </si>
  <si>
    <t>D+1</t>
    <phoneticPr fontId="1" type="noConversion"/>
  </si>
  <si>
    <t>D+2</t>
  </si>
  <si>
    <t>진주햄</t>
    <phoneticPr fontId="1" type="noConversion"/>
  </si>
  <si>
    <t>D+2</t>
    <phoneticPr fontId="1" type="noConversion"/>
  </si>
  <si>
    <t>소모품</t>
    <phoneticPr fontId="1" type="noConversion"/>
  </si>
  <si>
    <t>입수량</t>
    <phoneticPr fontId="1" type="noConversion"/>
  </si>
  <si>
    <t>발주일</t>
    <phoneticPr fontId="1" type="noConversion"/>
  </si>
  <si>
    <t>D+2/1</t>
    <phoneticPr fontId="1" type="noConversion"/>
  </si>
  <si>
    <t>현재고(봉)</t>
    <phoneticPr fontId="1" type="noConversion"/>
  </si>
  <si>
    <t>대상</t>
    <phoneticPr fontId="1" type="noConversion"/>
  </si>
  <si>
    <t>유통기한</t>
    <phoneticPr fontId="1" type="noConversion"/>
  </si>
  <si>
    <t>아워홈</t>
    <phoneticPr fontId="1" type="noConversion"/>
  </si>
  <si>
    <t>이우유통</t>
    <phoneticPr fontId="1" type="noConversion"/>
  </si>
  <si>
    <t>[냉장] 계란구이(세절)(1020g*12봉)</t>
    <phoneticPr fontId="1" type="noConversion"/>
  </si>
  <si>
    <t>[냉장] 깐도라지채(2kg*1봉 - 10kg*1box)</t>
    <phoneticPr fontId="1" type="noConversion"/>
  </si>
  <si>
    <t>[냉동] 전지베이컨(1kg*10봉)</t>
    <phoneticPr fontId="1" type="noConversion"/>
  </si>
  <si>
    <t>[냉동] 스크램블드에그(1kg*10) 업무용</t>
    <phoneticPr fontId="1" type="noConversion"/>
  </si>
  <si>
    <t>[냉동] 고추가라아게(1kg*10봉)</t>
    <phoneticPr fontId="1" type="noConversion"/>
  </si>
  <si>
    <t>[상온] 하얀설탕(3kg*6봉)</t>
    <phoneticPr fontId="1" type="noConversion"/>
  </si>
  <si>
    <t>[상온] 표고버섯채(2.2kg*6봉)/단가인상</t>
    <phoneticPr fontId="1" type="noConversion"/>
  </si>
  <si>
    <t>[냉동] 냉동시금치(1kg*10봉)</t>
  </si>
  <si>
    <t>[냉동] 나트륨줄인치킨가라야게(1kg*10봉)</t>
  </si>
  <si>
    <t>[냉장] 야채계란말이(900g*12봉)</t>
  </si>
  <si>
    <t>[상온] 건국연유(5kg*2봉)</t>
  </si>
  <si>
    <t>[냉장] 돈까스소스-FS(PBOX) 2KG*10개입  </t>
  </si>
  <si>
    <t>D+2</t>
    <phoneticPr fontId="1" type="noConversion"/>
  </si>
  <si>
    <t>[냉동] (푸른원)냉동대파슬라이스(1kg*10봉)</t>
  </si>
  <si>
    <t>[냉동] (푸른원)냉동 혼합야채 4종(1kg*10ea)</t>
  </si>
  <si>
    <t>[상온] 참치(2kg*5봉)-NS유통</t>
  </si>
  <si>
    <t>[상온] 혼다시(1kg*12통)-NS유통</t>
  </si>
  <si>
    <t>NS유통</t>
    <phoneticPr fontId="1" type="noConversion"/>
  </si>
  <si>
    <t>[상온] 청학/청학동참기름(1.8L*6EA)</t>
    <phoneticPr fontId="1" type="noConversion"/>
  </si>
  <si>
    <t xml:space="preserve">[냉장] 뉴비빔밥용고추장소스(PBOX) 2KG*10개입  </t>
  </si>
  <si>
    <t>[상온] 쇠고기 실속다시(2kg*6EA)</t>
  </si>
  <si>
    <t>[상온] 케찹파우치(3kg*4봉)</t>
  </si>
  <si>
    <t>[상온] 풀]솔리드 레드 삼각김 100매*32개입</t>
    <phoneticPr fontId="1" type="noConversion"/>
  </si>
  <si>
    <t>풍림푸드
(대선)</t>
    <phoneticPr fontId="1" type="noConversion"/>
  </si>
  <si>
    <t>한성기업
(동원)</t>
    <phoneticPr fontId="1" type="noConversion"/>
  </si>
  <si>
    <t>미트뱅크
(네트웍스)</t>
    <phoneticPr fontId="1" type="noConversion"/>
  </si>
  <si>
    <t>엠디에스코리아
(CJ)</t>
    <phoneticPr fontId="1" type="noConversion"/>
  </si>
  <si>
    <t>다미푸드택
(금행)</t>
    <phoneticPr fontId="1" type="noConversion"/>
  </si>
  <si>
    <t>선진FS
(직배)</t>
    <phoneticPr fontId="1" type="noConversion"/>
  </si>
  <si>
    <t>씨제이제일제당
(CJ)</t>
    <phoneticPr fontId="1" type="noConversion"/>
  </si>
  <si>
    <t>씽킹푸드</t>
    <phoneticPr fontId="1" type="noConversion"/>
  </si>
  <si>
    <t>SPC삼립</t>
    <phoneticPr fontId="1" type="noConversion"/>
  </si>
  <si>
    <t>푸른원
(금행)</t>
    <phoneticPr fontId="1" type="noConversion"/>
  </si>
  <si>
    <t>해마로푸드
(대선)</t>
    <phoneticPr fontId="1" type="noConversion"/>
  </si>
  <si>
    <t>대상
(직배)</t>
    <phoneticPr fontId="1" type="noConversion"/>
  </si>
  <si>
    <t>더원씨푸드
(네트웍스)</t>
    <phoneticPr fontId="1" type="noConversion"/>
  </si>
  <si>
    <t>만전식품
(네트웍스)</t>
    <phoneticPr fontId="1" type="noConversion"/>
  </si>
  <si>
    <t>삼성웰스토리
(네트웍스)</t>
    <phoneticPr fontId="1" type="noConversion"/>
  </si>
  <si>
    <t>불용</t>
    <phoneticPr fontId="1" type="noConversion"/>
  </si>
  <si>
    <t>D+3</t>
    <phoneticPr fontId="1" type="noConversion"/>
  </si>
  <si>
    <t>[상온] 난황파우더(10kg/box)</t>
  </si>
  <si>
    <t>밥비닐/윗트임(900매) 적색</t>
  </si>
  <si>
    <t>밥비닐/옆트임(900매) 청색</t>
  </si>
  <si>
    <t>밥비닐/옆트임(900매) 적색</t>
  </si>
  <si>
    <t>[냉동] (푸른원)다진마늘(1kg*10봉)</t>
  </si>
  <si>
    <t>[상온] 유니믹스HG(5kg*4봉)</t>
  </si>
  <si>
    <t>[냉동] 순살등심돈카스(1kg*8팩)-리뉴얼(미국산)</t>
    <phoneticPr fontId="1" type="noConversion"/>
  </si>
  <si>
    <t>10/25 삭제</t>
    <phoneticPr fontId="1" type="noConversion"/>
  </si>
  <si>
    <t>[냉장] 부추 (4kg*1box)</t>
  </si>
  <si>
    <t>조흥(오뚜기)</t>
    <phoneticPr fontId="1" type="noConversion"/>
  </si>
  <si>
    <t>[상온] 늘푸른피클 (3KG*6캔)</t>
    <phoneticPr fontId="1" type="noConversion"/>
  </si>
  <si>
    <t>사옹원</t>
    <phoneticPr fontId="1" type="noConversion"/>
  </si>
  <si>
    <t>[상온] 땅콩분태 (1kg*10봉)</t>
    <phoneticPr fontId="1" type="noConversion"/>
  </si>
  <si>
    <t>[냉장] 너비아니양념소스J(PBOX) 2KG*10개입</t>
  </si>
  <si>
    <t>[상온] 이온물엿 (8L*1통)-NS유통</t>
  </si>
  <si>
    <t>[냉장] 매콤나폴리탄소스(PBOX) 2KG*10개입</t>
  </si>
  <si>
    <t>커</t>
  </si>
  <si>
    <t>샐</t>
  </si>
  <si>
    <t>계</t>
  </si>
  <si>
    <t>야</t>
  </si>
  <si>
    <t>취</t>
  </si>
  <si>
    <t>샐/계</t>
  </si>
  <si>
    <t>야</t>
    <phoneticPr fontId="1" type="noConversion"/>
  </si>
  <si>
    <t>야/커</t>
  </si>
  <si>
    <t>튀</t>
  </si>
  <si>
    <t>계/튀/취</t>
  </si>
  <si>
    <t>계/샐</t>
  </si>
  <si>
    <t>셀/계</t>
  </si>
  <si>
    <t>[냉장] 메추리알장조림 (1.7kg*10봉)</t>
  </si>
  <si>
    <t>[냉장] 매콤불고기양념육(앞다리)(KCPBOX) 5KG*2개입</t>
  </si>
  <si>
    <t>[냉동] (푸른원)냉동알마늘(1kg*10봉)</t>
  </si>
  <si>
    <t>[상온] 굵은후추 (400g*12ea) - 이우</t>
  </si>
  <si>
    <t xml:space="preserve">[상온] 김밥김 3절 300매*50개입  </t>
  </si>
  <si>
    <t>[상온] 성경식품)재래도시락김 2G*10ea*24봉</t>
  </si>
  <si>
    <t>[냉장] 쵸핑스모크햄 (1kg*10ea)</t>
  </si>
  <si>
    <t>[냉장] 빼빼롱후랑크 (900g*10봉)</t>
  </si>
  <si>
    <t>[상온] 풀]솔리드 투명 삼각김 100매*32개입</t>
    <phoneticPr fontId="1" type="noConversion"/>
  </si>
  <si>
    <t>낱개</t>
    <phoneticPr fontId="1" type="noConversion"/>
  </si>
  <si>
    <t>[상온] 고미트햄 (340G*24EA)-한성</t>
  </si>
  <si>
    <t>계</t>
    <phoneticPr fontId="1" type="noConversion"/>
  </si>
  <si>
    <t>D+1</t>
    <phoneticPr fontId="1" type="noConversion"/>
  </si>
  <si>
    <t>[상온] 평화햅쌀(500kg/포)</t>
  </si>
  <si>
    <t>평화영농조합</t>
    <phoneticPr fontId="1" type="noConversion"/>
  </si>
  <si>
    <t>D+1</t>
    <phoneticPr fontId="1" type="noConversion"/>
  </si>
  <si>
    <t>풍림푸드
(대선)</t>
    <phoneticPr fontId="1" type="noConversion"/>
  </si>
  <si>
    <t>D+2</t>
    <phoneticPr fontId="1" type="noConversion"/>
  </si>
  <si>
    <t>D+2</t>
    <phoneticPr fontId="1" type="noConversion"/>
  </si>
  <si>
    <t>유통기한</t>
    <phoneticPr fontId="1" type="noConversion"/>
  </si>
  <si>
    <t>박스</t>
    <phoneticPr fontId="1" type="noConversion"/>
  </si>
  <si>
    <t>낱개</t>
    <phoneticPr fontId="1" type="noConversion"/>
  </si>
  <si>
    <t>[냉장] 간장소스K(2kg*10봉)</t>
    <phoneticPr fontId="1" type="noConversion"/>
  </si>
  <si>
    <t>[냉장] 고추장불고기소스(2kg*10봉)</t>
    <phoneticPr fontId="1" type="noConversion"/>
  </si>
  <si>
    <t>[냉장] 볶음김치밥용소스(2kg*10봉)</t>
    <phoneticPr fontId="1" type="noConversion"/>
  </si>
  <si>
    <t>[냉장] 조미식초소스(2kg*10봉)</t>
    <phoneticPr fontId="1" type="noConversion"/>
  </si>
  <si>
    <t>[냉장] 매콤닭강정소스(2kg*10봉)</t>
    <phoneticPr fontId="1" type="noConversion"/>
  </si>
  <si>
    <t>동방푸드마스타
(금행)</t>
    <phoneticPr fontId="1" type="noConversion"/>
  </si>
  <si>
    <t>[냉장] 어묵볶음용소스-FS(3kg*4봉)</t>
    <phoneticPr fontId="1" type="noConversion"/>
  </si>
  <si>
    <t>이우유통</t>
    <phoneticPr fontId="1" type="noConversion"/>
  </si>
  <si>
    <t>[냉장] 우엉채 (3kg×5pk)-반찬단지</t>
    <phoneticPr fontId="1" type="noConversion"/>
  </si>
  <si>
    <t>[상온] 소프트통식빵(1kg*4봉)</t>
    <phoneticPr fontId="1" type="noConversion"/>
  </si>
  <si>
    <t>[냉장] 당근채(4kg*3봉 - 1박스)</t>
    <phoneticPr fontId="1" type="noConversion"/>
  </si>
  <si>
    <t>[냉장] 깐양파(10kg*1box)</t>
    <phoneticPr fontId="1" type="noConversion"/>
  </si>
  <si>
    <t>[냉장] 당근(10kg*1box)</t>
    <phoneticPr fontId="1" type="noConversion"/>
  </si>
  <si>
    <t>[냉장] 온천콩나물(4kg*1box)</t>
    <phoneticPr fontId="1" type="noConversion"/>
  </si>
  <si>
    <t>[냉장] 깻잎(2kg*1box)</t>
    <phoneticPr fontId="1" type="noConversion"/>
  </si>
  <si>
    <t>[냉장] 전처리양상추(2kg*3봉 - 6kg*1box)</t>
    <phoneticPr fontId="1" type="noConversion"/>
  </si>
  <si>
    <t>[냉장] 양배추(10kg*box)</t>
    <phoneticPr fontId="1" type="noConversion"/>
  </si>
  <si>
    <t>선진FS
(직배)</t>
    <phoneticPr fontId="1" type="noConversion"/>
  </si>
  <si>
    <t>[냉동] 냉동비프불고기토핑(1kg*10봉)</t>
    <phoneticPr fontId="1" type="noConversion"/>
  </si>
  <si>
    <t>D+1</t>
    <phoneticPr fontId="1" type="noConversion"/>
  </si>
  <si>
    <t>[냉동] 계란후라이 (900g*10봉)</t>
    <phoneticPr fontId="1" type="noConversion"/>
  </si>
  <si>
    <t>[냉동] 70미니등심돈까스(1.05kg*8봉)-리뉴얼</t>
    <phoneticPr fontId="1" type="noConversion"/>
  </si>
  <si>
    <t>D+2/1</t>
    <phoneticPr fontId="1" type="noConversion"/>
  </si>
  <si>
    <t>[냉동] 엔젤헤어MC55 (2KG X 4봉)</t>
  </si>
  <si>
    <t>[냉장] 풋고추(1kg*5봉)</t>
    <phoneticPr fontId="1" type="noConversion"/>
  </si>
  <si>
    <t xml:space="preserve">[상온] 점보롤김 450매*8롤 </t>
  </si>
  <si>
    <t>[냉장] 버거슬라이스치즈-화이트 (1.033kg*8pk)</t>
  </si>
  <si>
    <t>[냉동] 고추장돼지불고기토핑 (2kg*5봉)</t>
  </si>
  <si>
    <t>[냉장] 다시마조미식초소스(PBOX) 2KG*10개입</t>
  </si>
  <si>
    <t>[상온] 유니믹스N2(5kg*4봉)</t>
  </si>
  <si>
    <t>[냉동] 얇은고명지단H(냉동) 700G (700G*10봉)</t>
  </si>
  <si>
    <t>D+2</t>
    <phoneticPr fontId="1" type="noConversion"/>
  </si>
  <si>
    <t>[상온] 오쉐프돈까스소스(오뚜기)(2KG*6EA)-NS유통</t>
  </si>
  <si>
    <t>[냉동] 한돈프리미엄돈카츠 (160g*8ea*8ea)</t>
  </si>
  <si>
    <t>[상온] 신슈단무지(꼬들단무지) (1kg*10pk )</t>
  </si>
  <si>
    <t>[상온] 맛소금 (5KG*4EA) - NS유통</t>
  </si>
  <si>
    <t>[상온] 피클랠리쉬 (3KG * 6캔)</t>
  </si>
  <si>
    <t>유통기한</t>
    <phoneticPr fontId="1" type="noConversion"/>
  </si>
  <si>
    <t>D+1</t>
    <phoneticPr fontId="1" type="noConversion"/>
  </si>
  <si>
    <t>만전식품
(네트웍스)</t>
    <phoneticPr fontId="1" type="noConversion"/>
  </si>
  <si>
    <t>씨제이제일제당
(CJ)</t>
    <phoneticPr fontId="1" type="noConversion"/>
  </si>
  <si>
    <t>[상온] 대두유(18L*통)</t>
    <phoneticPr fontId="1" type="noConversion"/>
  </si>
  <si>
    <t>[상온] 스팸(340g*20캔)</t>
    <phoneticPr fontId="1" type="noConversion"/>
  </si>
  <si>
    <t>D+1</t>
    <phoneticPr fontId="1" type="noConversion"/>
  </si>
  <si>
    <t xml:space="preserve">놀부 </t>
    <phoneticPr fontId="1" type="noConversion"/>
  </si>
  <si>
    <t>D+2</t>
    <phoneticPr fontId="1" type="noConversion"/>
  </si>
  <si>
    <t>성경(네트웍스)</t>
    <phoneticPr fontId="1" type="noConversion"/>
  </si>
  <si>
    <t>삼성웰스토리
(네트웍스)</t>
    <phoneticPr fontId="1" type="noConversion"/>
  </si>
  <si>
    <t>[상온] 고운고추분 1kg*20봉</t>
    <phoneticPr fontId="1" type="noConversion"/>
  </si>
  <si>
    <t>D+2/1</t>
    <phoneticPr fontId="1" type="noConversion"/>
  </si>
  <si>
    <t>[상온] 미원(1kg*20봉)</t>
    <phoneticPr fontId="1" type="noConversion"/>
  </si>
  <si>
    <t>[상온] 중국산정제염(25kg*포)-이우유통</t>
    <phoneticPr fontId="1" type="noConversion"/>
  </si>
  <si>
    <t>[상온] 흑후추(200g*50EA)-이우유통</t>
    <phoneticPr fontId="1" type="noConversion"/>
  </si>
  <si>
    <t>[상온] 청학/볶음참깨(1kg*10봉)</t>
    <phoneticPr fontId="1" type="noConversion"/>
  </si>
  <si>
    <t>[상온] 청학/청학동참기름(16.5kg/통)</t>
    <phoneticPr fontId="1" type="noConversion"/>
  </si>
  <si>
    <t>[상온] 진간장(1.8L*6통)-NS유통</t>
    <phoneticPr fontId="1" type="noConversion"/>
  </si>
  <si>
    <t>D+2</t>
    <phoneticPr fontId="1" type="noConversion"/>
  </si>
  <si>
    <t>사세(오뚜기)</t>
    <phoneticPr fontId="1" type="noConversion"/>
  </si>
  <si>
    <t>[냉동] 사세 치킨텐더 (1KG*10BAG)</t>
  </si>
  <si>
    <t>[냉동] 바사칸순살치킨 (1kg*10pk)</t>
  </si>
  <si>
    <t>[냉장] GS/PM스모크햄4K (4kg*3팩)</t>
  </si>
  <si>
    <t>[냉장] 아메리칸케이준칠리소스 3kg*5ea</t>
  </si>
  <si>
    <t>진양(네트웍스)</t>
    <phoneticPr fontId="1" type="noConversion"/>
  </si>
  <si>
    <t>[상온] 진양)점보삼각김[옐로우] 100매*32개입</t>
  </si>
  <si>
    <t>[냉장] 뉴계란샐러드G(1kg x 10ea)</t>
  </si>
  <si>
    <t>[상온] 아몬드슬라이스 (1kg*10pk)</t>
  </si>
  <si>
    <t>[상온] 해바라기씨 (1kg*10pk)</t>
  </si>
  <si>
    <t>[상온] 호박씨 (1kg*10pk)</t>
  </si>
  <si>
    <t>[냉장] 콘버터G (1kg*10봉)</t>
  </si>
  <si>
    <t>[냉장] 김치볶음밥용소스(PBOX) 2KG*10개입</t>
  </si>
  <si>
    <t>D+2/1</t>
  </si>
  <si>
    <t>입고일</t>
    <phoneticPr fontId="1" type="noConversion"/>
  </si>
  <si>
    <t>유통기한</t>
    <phoneticPr fontId="1" type="noConversion"/>
  </si>
  <si>
    <t>박스</t>
    <phoneticPr fontId="1" type="noConversion"/>
  </si>
  <si>
    <t>커</t>
    <phoneticPr fontId="1" type="noConversion"/>
  </si>
  <si>
    <t>[냉장] 게맛살(1.2kg*10봉)</t>
    <phoneticPr fontId="1" type="noConversion"/>
  </si>
  <si>
    <t>D+2</t>
    <phoneticPr fontId="1" type="noConversion"/>
  </si>
  <si>
    <t>[냉장] 깍두기(10kg*box)</t>
    <phoneticPr fontId="1" type="noConversion"/>
  </si>
  <si>
    <t>[냉장] 다진맛김치(10kg*2pk)</t>
    <phoneticPr fontId="1" type="noConversion"/>
  </si>
  <si>
    <t>사조대림</t>
    <phoneticPr fontId="1" type="noConversion"/>
  </si>
  <si>
    <t>[냉장] 종가)맛김치 (10kg*2ea)</t>
  </si>
  <si>
    <t>D+2</t>
    <phoneticPr fontId="1" type="noConversion"/>
  </si>
  <si>
    <t>[상온] 롯데) GS마요네즈(10kg*box)</t>
  </si>
  <si>
    <t>[상온] GS토핑번(60EA/트레이)</t>
  </si>
  <si>
    <t>[냉장]청양식매운맛간장소스(PBOX) 2KG*10개입</t>
  </si>
  <si>
    <t>[상온] 파슬리 (150g*12봉)</t>
  </si>
  <si>
    <t>[상온] 쉐프원데리야끼소스(2kg*5ea)</t>
  </si>
  <si>
    <t>[상온] 스위트콘(3kg*6캔)태국산-이우유통</t>
  </si>
  <si>
    <t>[냉장] 야끼우동소스-J(3kg*5ea)</t>
  </si>
  <si>
    <t>[냉장] 햄마카로니샐러드(1kg*10봉)</t>
  </si>
  <si>
    <t>[냉장] 요리수소스(종이BOX) 20G*450개입</t>
  </si>
  <si>
    <t>[냉동] 냉동우동면(1.25kg*8ea)</t>
  </si>
  <si>
    <t>[냉장] 시그니처마요네즈(PBOX) 2KG*9개입</t>
  </si>
  <si>
    <t>[냉장] 머스타드소스-1(PBOX) 2KG*10개입</t>
  </si>
  <si>
    <t>제니코</t>
    <phoneticPr fontId="1" type="noConversion"/>
  </si>
  <si>
    <t>마니커</t>
    <phoneticPr fontId="1" type="noConversion"/>
  </si>
  <si>
    <t>필름</t>
    <phoneticPr fontId="1" type="noConversion"/>
  </si>
  <si>
    <t>[냉장] 새우젓갈(광천) (1kg*12ea)</t>
  </si>
  <si>
    <t>[냉동] 알찬소시지전 (1kg(20g*50ea) * 6pk)</t>
  </si>
  <si>
    <t>[냉장] 소프트체다치즈소스70(3kg*5ea)</t>
  </si>
  <si>
    <t>[상온] 채단무지(2.8kg*4ea)</t>
  </si>
  <si>
    <t>[냉동] GS혜자너비아니 ((70g*20ea)*8pk)</t>
  </si>
  <si>
    <t>반찬단지(이우)</t>
    <phoneticPr fontId="1" type="noConversion"/>
  </si>
  <si>
    <t>[냉장] 볶음김치골드(5kg)*3</t>
    <phoneticPr fontId="1" type="noConversion"/>
  </si>
  <si>
    <t>D+2</t>
    <phoneticPr fontId="1" type="noConversion"/>
  </si>
  <si>
    <t>[냉동] 닭가슴살슈레드 (1KG*10EA)</t>
  </si>
  <si>
    <t>[냉장] 어그레이트)프릴아이스 4KG</t>
  </si>
  <si>
    <t>동방푸드</t>
    <phoneticPr fontId="1" type="noConversion"/>
  </si>
  <si>
    <t>[냉장] 골드88세절K(1kg*10봉)</t>
  </si>
  <si>
    <t>[냉동] 간장돼지불고기(3KG*3EA)</t>
  </si>
  <si>
    <t>[상온] 리챔 (340g*24ea)</t>
  </si>
  <si>
    <t>야</t>
    <phoneticPr fontId="1" type="noConversion"/>
  </si>
  <si>
    <t>[냉장] 비빔밥용고추장소스 (2kg*5ea)</t>
  </si>
  <si>
    <t>재고조사자</t>
    <phoneticPr fontId="1" type="noConversion"/>
  </si>
  <si>
    <t>재고조사 시간</t>
    <phoneticPr fontId="1" type="noConversion"/>
  </si>
  <si>
    <t>[냉동]청피망다이스(1kg*10ea)</t>
  </si>
  <si>
    <t>[냉장]토마토파스타소스(2kg*6ea)</t>
  </si>
  <si>
    <t>[상온] 흑미 10KG*1개입</t>
  </si>
  <si>
    <t>[상온] 조미삼각김(100매*32팩)/ 외관변경</t>
  </si>
  <si>
    <t>[냉동] 실속물만두 (1kg(110개)*8봉)</t>
  </si>
  <si>
    <t>[냉동] 알찬김치전 (1kg(30g*33ea) * 5pk)</t>
  </si>
  <si>
    <t>[상온]바릴라스파게티면(종이BOX) 5KG*3EA</t>
  </si>
  <si>
    <t>[냉장]조청닭강정소스(2kg*10ea)</t>
  </si>
  <si>
    <t>[냉동]냉동누드은행(900g*10ea)</t>
  </si>
  <si>
    <t>[냉동]매콤한양념닭갈비(2kg*5ea)</t>
  </si>
  <si>
    <t>[냉동]청정원떡갈비(1kg*8ea)</t>
  </si>
  <si>
    <t>[냉장]통통쏘야소스(3kg*4ea)</t>
  </si>
  <si>
    <t>[냉동]계란옷입은동그랑땡(1kg*8ea)</t>
  </si>
  <si>
    <t>[냉동]홍피망다이스(1kg*10ea)</t>
  </si>
  <si>
    <t>[냉장]K소이갈릭소스(2kg*10ea)</t>
  </si>
  <si>
    <t>[상온]나쵸슬라이스할라피뇨페퍼스(3kg*6ea)</t>
  </si>
  <si>
    <t>[냉장]치즈콕콕소시지(1.4kg*8ea)</t>
  </si>
  <si>
    <t>[냉장]하선정/김밥단무지(13mm/3kg*4ea)</t>
  </si>
  <si>
    <t>커</t>
    <phoneticPr fontId="1" type="noConversion"/>
  </si>
  <si>
    <t>[냉장] 진미채견과볶음(1kg*10ea)</t>
  </si>
  <si>
    <t>[상온] 핫도그번 ((1봉*6EA)*6봉))</t>
  </si>
  <si>
    <t>[상온] 청정원돼지불고기양념(2kg*8ea)</t>
  </si>
  <si>
    <t>[냉동] 미트볼골드(1kg*10ea)</t>
  </si>
  <si>
    <t>[냉동] 등심돈까스140((140g*10ea)8ea)</t>
  </si>
  <si>
    <t>[냉장] 경양식돈까스소스H(소포장)(50g*240ea)</t>
  </si>
  <si>
    <t>[상온] 모아하우스머스타드(3.63kg*4ea)</t>
  </si>
  <si>
    <t>[상온] 삼각김(무조미/100매*32ea)</t>
  </si>
  <si>
    <t>부림</t>
    <phoneticPr fontId="1" type="noConversion"/>
  </si>
  <si>
    <t>씨제이제일제당(CJ)</t>
    <phoneticPr fontId="1" type="noConversion"/>
  </si>
  <si>
    <t>[냉동]뉴리얼포크패티(1.36kg*8ea)</t>
  </si>
  <si>
    <t>풍림푸드(대선)</t>
    <phoneticPr fontId="1" type="noConversion"/>
  </si>
  <si>
    <t>대상(직배)</t>
    <phoneticPr fontId="1" type="noConversion"/>
  </si>
  <si>
    <t>[냉장] 샌드위치보습소스(PBOX) 2KG*9개입 </t>
    <phoneticPr fontId="1" type="noConversion"/>
  </si>
  <si>
    <t>푸드머스(네트웍스)</t>
    <phoneticPr fontId="1" type="noConversion"/>
  </si>
  <si>
    <t>[냉동] 냉동혼합야채4종(한식용) (1kg*10ea)</t>
  </si>
  <si>
    <t>냉동김밥</t>
    <phoneticPr fontId="1" type="noConversion"/>
  </si>
  <si>
    <t>[냉동] 델리순살가라아게(2kg*5봉)</t>
  </si>
  <si>
    <t>[냉장] 청양마요소스(2kg*1봉)</t>
  </si>
  <si>
    <t>[냉장]후천)파프리카소스(2kg*8ea)</t>
  </si>
  <si>
    <t>[냉동] 맘모스함박스테이크80((80g*10ea)*12봉)</t>
  </si>
  <si>
    <t>[냉동] 치킨까스((85g*20ea)*6봉)</t>
  </si>
  <si>
    <t>[냉장] 숯불구이맛김밥햄(200g*30ea)</t>
  </si>
  <si>
    <t>[상온] 크리스피어니언 1kg*10pk</t>
  </si>
  <si>
    <t>[냉동]슈레드치즈-알파플러스7F(2.5kg*4ea)</t>
  </si>
  <si>
    <t>[냉장] 슬라이스용토마토(5kg*1box)</t>
  </si>
  <si>
    <t>에쓰푸드</t>
    <phoneticPr fontId="1" type="noConversion"/>
  </si>
  <si>
    <t>[상온] 치킨무(3kg*4ea)</t>
  </si>
  <si>
    <t>[상온] 설곰치킨양념소금[(3g*200ea)*15pk]</t>
  </si>
  <si>
    <t>성경)돌자반(500g*6ea)</t>
  </si>
  <si>
    <t>조흥</t>
    <phoneticPr fontId="1" type="noConversion"/>
  </si>
  <si>
    <t>태원식품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</si>
  <si>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</si>
  <si>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</si>
  <si>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</si>
  <si>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[냉장] 야끼소바소스M (2kg*10ea)</t>
  </si>
  <si>
    <t>[냉장] 삼각치킨조미소스(PBOX) 2KG*10개입 </t>
  </si>
  <si>
    <t>[냉장] 야끼소바 (3kg*2ea)</t>
  </si>
  <si>
    <t>[냉장] 적생강채(1.3kg*10ea)</t>
  </si>
  <si>
    <t>[냉동] 뉴플러스순살가라아게(1kg*10ea)</t>
  </si>
  <si>
    <t>[냉동] 브로콜리(1kg*10ea)</t>
  </si>
  <si>
    <t>[상온] 치킨파우더(1KG*12EA)</t>
  </si>
  <si>
    <t>[상온] 효소클러스트R (15kg*1포)</t>
  </si>
  <si>
    <t>[상온] 만능파기름 (2kg*5ea)</t>
  </si>
  <si>
    <t>[냉동] 납작떡갈비구이(1.2kg*10ea) 40g*30ea</t>
  </si>
  <si>
    <t>[냉장] 쌈장마요소스(2kg*5ea)</t>
  </si>
  <si>
    <t>[냉장] 마늘간장닭강정소스(PBOX) 2kg*10ea</t>
  </si>
  <si>
    <t>[냉장] 라구미트소스(3kgx4ea)</t>
  </si>
  <si>
    <t>[냉동] 세블락후랑크 CVS(1kg*10ea)</t>
  </si>
  <si>
    <t>[냉동] 더 잘군 불향가득 츠쿠네 (2kg*5ea)</t>
  </si>
  <si>
    <t>[냉장] 치킨바베큐양념소스 (2kg*10ea)</t>
  </si>
  <si>
    <t>[냉장] 츠쿠네소스 (2kg*10ea)</t>
  </si>
  <si>
    <t>[냉장] 매운돈까스소스 (2kg*10ea)</t>
  </si>
  <si>
    <t>S푸드</t>
    <phoneticPr fontId="1" type="noConversion"/>
  </si>
  <si>
    <t>[냉동] 치킨브레스트 (300g*20ea)</t>
  </si>
  <si>
    <t>[냉동] 쿡살라미 (200g*25ea)</t>
  </si>
  <si>
    <t>[냉장] 본레스햄 (500g*20ea)</t>
  </si>
  <si>
    <t>[상온] 바릴라 토르티글리오니(500g*12ea)</t>
  </si>
  <si>
    <t>이우유통</t>
    <phoneticPr fontId="1" type="noConversion"/>
  </si>
  <si>
    <t>[냉동] 혜자토네이도소시지 [(55g*14ea) *12봉]</t>
  </si>
  <si>
    <t>[냉동] 매콤고추장제육불고기 (3kg*6ea)</t>
  </si>
  <si>
    <t>[냉장] 계란후라이 (900g*10봉)</t>
  </si>
  <si>
    <t>[상온] 오쉐프_허니마스타드 드레싱 (2kg*6ea)</t>
  </si>
  <si>
    <t>[상온] 올리브슬라이스 (3kg*6ea)</t>
  </si>
  <si>
    <t>[냉동] 크레잇꼬마돈카츠(1kg(90ea)*8봉)</t>
  </si>
  <si>
    <t>[상온] 마늘향미유 (2kg*5ea)</t>
  </si>
  <si>
    <t>[냉장] 돈까스김밥용소스(3kg*5ea)</t>
  </si>
  <si>
    <t>[냉동] 김밥용등심돈까스 [(45g*25ea)*8봉]</t>
  </si>
  <si>
    <t>[상온] 카라멜소스(2.4KG*5EA)</t>
  </si>
  <si>
    <t>[냉장] 아삭아삭감자샐러드G(1kg*10ea)</t>
  </si>
  <si>
    <t>[냉장] 크리미랜치소스 (2kg*9ea)</t>
  </si>
  <si>
    <t>[상온] 고추맛기름(1.5L*9통)-NS유통</t>
  </si>
  <si>
    <t>[냉장] 청양고추머스터드소스(2kg*5ea)</t>
  </si>
  <si>
    <t>[냉동] 매운갈비맛불고기(토핑용) (2kg*5ea)</t>
  </si>
  <si>
    <t>[상온] 청정원_매운갈비양념(2kg*8ea)</t>
  </si>
  <si>
    <t>[냉장] 와사비마요소스-2(2kg*5ea)</t>
  </si>
  <si>
    <t>[냉장] 바싹갈비소스(2kg*10ea)</t>
  </si>
  <si>
    <t>[상온] 참치(2kg*5봉)-사조대림</t>
  </si>
  <si>
    <t>씨티푸드(대선)</t>
    <phoneticPr fontId="1" type="noConversion"/>
  </si>
  <si>
    <t>[냉동] 직화간장제육(5kg*2ea)</t>
  </si>
  <si>
    <t>[냉동] 통새우패티[(75g*30ea)*6봉]</t>
  </si>
  <si>
    <t>[냉장] 쌈장마요소스(3KG*5EA)</t>
  </si>
  <si>
    <t>[냉동] 비빔밥용돼지고기 (2kg*5ea)</t>
  </si>
  <si>
    <t>[냉동]한입오미산적(1KG(23G*46EA)*4봉)</t>
  </si>
  <si>
    <t>[냉동] 도라지나물 (1kg*10ea)</t>
  </si>
  <si>
    <t>[냉동] 고사리나물 (1kg*10ea)</t>
  </si>
  <si>
    <t>[냉동] 콩가루찹쌀떡 (250ea*소포장)</t>
  </si>
  <si>
    <t>[냉동] 증숙고구마다이스 (2kg*5ea)</t>
  </si>
  <si>
    <t>[상온] CJ백설 돼지갈비양념(10KG*1EA)</t>
  </si>
  <si>
    <t>NS유통</t>
    <phoneticPr fontId="1" type="noConversion"/>
  </si>
  <si>
    <t>[냉장] 미니백볶음김치(3kg*8ea)</t>
  </si>
  <si>
    <t>[상온] 들기름 (1.8L*6ea)</t>
  </si>
  <si>
    <t>[냉장] 청양고추(1kg*1봉)</t>
  </si>
  <si>
    <t>[상온] 알밥용단무지(1kg*10ea)</t>
    <phoneticPr fontId="1" type="noConversion"/>
  </si>
  <si>
    <t>이엔푸드(네트웍스)</t>
    <phoneticPr fontId="1" type="noConversion"/>
  </si>
  <si>
    <t>대상(네트웍스)</t>
    <phoneticPr fontId="1" type="noConversion"/>
  </si>
  <si>
    <t>대상(직배)</t>
    <phoneticPr fontId="1" type="noConversion"/>
  </si>
  <si>
    <t>[냉동] 매운마늘맛불고기(2kg*5ea)</t>
  </si>
  <si>
    <t>[냉장] 돈짜장소스(2kg*10ea)</t>
  </si>
  <si>
    <t>[냉장] 마요진미채소스(2kg*9ea)</t>
  </si>
  <si>
    <t>[냉장] 호두진미채볶음(1kg*10ea)</t>
  </si>
  <si>
    <t>10/24 이관</t>
    <phoneticPr fontId="1" type="noConversion"/>
  </si>
  <si>
    <t>10/23 이관</t>
    <phoneticPr fontId="1" type="noConversion"/>
  </si>
  <si>
    <t>10/30 이관</t>
    <phoneticPr fontId="1" type="noConversion"/>
  </si>
  <si>
    <t>10/28 이관</t>
    <phoneticPr fontId="1" type="noConversion"/>
  </si>
  <si>
    <t>10/23이관</t>
    <phoneticPr fontId="1" type="noConversion"/>
  </si>
  <si>
    <t>10/28이관</t>
    <phoneticPr fontId="1" type="noConversion"/>
  </si>
  <si>
    <t>10/30이관</t>
    <phoneticPr fontId="1" type="noConversion"/>
  </si>
  <si>
    <t>10/24이관</t>
    <phoneticPr fontId="1" type="noConversion"/>
  </si>
  <si>
    <t>[냉장] 청상추(2kg*1box)</t>
  </si>
  <si>
    <t>ID</t>
    <phoneticPr fontId="1" type="noConversion"/>
  </si>
  <si>
    <t>[상온] 그래도푸드)노란단무지13mm (2.5kg*4ea)</t>
    <phoneticPr fontId="1" type="noConversion"/>
  </si>
  <si>
    <t>[냉장] 얇은지단 (700G*10봉)</t>
    <phoneticPr fontId="1" type="noConversion"/>
  </si>
  <si>
    <t>풍림푸드(대선)</t>
    <phoneticPr fontId="1" type="noConversion"/>
  </si>
  <si>
    <t>[냉장] 채코울슬로(1kg*12pk)</t>
    <phoneticPr fontId="1" type="noConversion"/>
  </si>
  <si>
    <t>10/28 삭제</t>
    <phoneticPr fontId="1" type="noConversion"/>
  </si>
  <si>
    <t>일미농수산(금행)</t>
    <phoneticPr fontId="1" type="noConversion"/>
  </si>
  <si>
    <t>[냉장] 내슈빌핫마요소스(3kg*5봉)</t>
    <phoneticPr fontId="1" type="noConversion"/>
  </si>
  <si>
    <t>10/21 삭제</t>
    <phoneticPr fontId="1" type="noConversion"/>
  </si>
  <si>
    <t>10/24 삭제</t>
    <phoneticPr fontId="1" type="noConversion"/>
  </si>
  <si>
    <t>D+4/5</t>
    <phoneticPr fontId="1" type="noConversion"/>
  </si>
  <si>
    <t>정원식품(금행)</t>
    <phoneticPr fontId="1" type="noConversion"/>
  </si>
  <si>
    <t>10/25삭제</t>
    <phoneticPr fontId="1" type="noConversion"/>
  </si>
  <si>
    <t>태원식품</t>
    <phoneticPr fontId="1" type="noConversion"/>
  </si>
  <si>
    <t>선진</t>
    <phoneticPr fontId="1" type="noConversion"/>
  </si>
  <si>
    <t>사조오양</t>
    <phoneticPr fontId="1" type="noConversion"/>
  </si>
  <si>
    <t>10/21삭제</t>
    <phoneticPr fontId="1" type="noConversion"/>
  </si>
  <si>
    <t>10/20삭제</t>
    <phoneticPr fontId="1" type="noConversion"/>
  </si>
  <si>
    <t>[냉장] 칠리마요소스(2kg*9ea)</t>
    <phoneticPr fontId="1" type="noConversion"/>
  </si>
  <si>
    <t>[냉장] 야채마요소스(2kg*9ea)</t>
    <phoneticPr fontId="1" type="noConversion"/>
  </si>
  <si>
    <t>[냉장] 피나데니소스(2kg*10ea)</t>
    <phoneticPr fontId="1" type="noConversion"/>
  </si>
  <si>
    <t>[냉장] 무당근채피클(3kg*5ea)</t>
    <phoneticPr fontId="1" type="noConversion"/>
  </si>
  <si>
    <t>딜라잇푸드</t>
    <phoneticPr fontId="1" type="noConversion"/>
  </si>
  <si>
    <t>에스푸드</t>
    <phoneticPr fontId="1" type="noConversion"/>
  </si>
  <si>
    <t>희망상사</t>
    <phoneticPr fontId="1" type="noConversion"/>
  </si>
  <si>
    <t>[상온] 치킨난방용마요 (2kg*5봉)</t>
    <phoneticPr fontId="1" type="noConversion"/>
  </si>
  <si>
    <t>[상온] 노추간장(0.5L*6ea)</t>
    <phoneticPr fontId="1" type="noConversion"/>
  </si>
  <si>
    <t>11/4 삭제</t>
    <phoneticPr fontId="1" type="noConversion"/>
  </si>
  <si>
    <t>삭제</t>
    <phoneticPr fontId="1" type="noConversion"/>
  </si>
  <si>
    <t>샐</t>
    <phoneticPr fontId="1" type="noConversion"/>
  </si>
  <si>
    <t>계</t>
    <phoneticPr fontId="1" type="noConversion"/>
  </si>
  <si>
    <t>커</t>
    <phoneticPr fontId="1" type="noConversion"/>
  </si>
  <si>
    <t>11/11 삭제</t>
    <phoneticPr fontId="1" type="noConversion"/>
  </si>
  <si>
    <t>D+2</t>
    <phoneticPr fontId="1" type="noConversion"/>
  </si>
  <si>
    <t>D+1</t>
    <phoneticPr fontId="1" type="noConversion"/>
  </si>
  <si>
    <t>골드)퍼스트/GFS]착한참치마요김밥 500매*20봉</t>
  </si>
  <si>
    <t>골드)퍼스트/GFS]착한김치김밥 500매*20봉</t>
  </si>
  <si>
    <t>쓰레기봉투 (400매)</t>
  </si>
  <si>
    <t>밥비닐/윗트임(900매) 청색</t>
  </si>
  <si>
    <t>스티커</t>
    <phoneticPr fontId="1" type="noConversion"/>
  </si>
  <si>
    <t>혜자)명불허전용기 (150ea*4pk/box)</t>
  </si>
  <si>
    <t>혜자)오징어제육용기 (150ea*4pk/box)</t>
  </si>
  <si>
    <t>혜자)등심돈까스용기 (150ea*4pk/box)</t>
  </si>
  <si>
    <t>혜자)6칸공용용기 (100ea*4pk/box)</t>
  </si>
  <si>
    <t>62파이소스컵(상) (100개*30봉/박스)</t>
  </si>
  <si>
    <t>62파이소스컵(하) (100개*30봉/박스)</t>
  </si>
  <si>
    <t>두레)DR-PACK-22-3호 뚜껑소스(투명) 100개입*4줄</t>
  </si>
  <si>
    <t>두레)DR-PACK-22-3호 용기(검정) 50개입*8줄</t>
  </si>
  <si>
    <t>두레)DR-PACK-22-3호 내피2 100개입*4줄</t>
  </si>
  <si>
    <t>두레)바란小(1곽-1000장)/74*57mm 1,000개입*60줄</t>
  </si>
  <si>
    <t>용기</t>
    <phoneticPr fontId="1" type="noConversion"/>
  </si>
  <si>
    <t>[냉장] 깐쪽파 (1kg*2ea)</t>
    <phoneticPr fontId="1" type="noConversion"/>
  </si>
  <si>
    <t>11/18 삭제</t>
    <phoneticPr fontId="1" type="noConversion"/>
  </si>
  <si>
    <t>한울(네트웍스)</t>
    <phoneticPr fontId="1" type="noConversion"/>
  </si>
  <si>
    <t>천안fs(네트웍스)</t>
    <phoneticPr fontId="1" type="noConversion"/>
  </si>
  <si>
    <t>D+1</t>
    <phoneticPr fontId="1" type="noConversion"/>
  </si>
  <si>
    <t>[냉장] 산미내린깐풍기소스(3kg*5ea)</t>
    <phoneticPr fontId="1" type="noConversion"/>
  </si>
  <si>
    <t>[냉장] 타마루생면(중화면G)(3kg*2ea)</t>
    <phoneticPr fontId="1" type="noConversion"/>
  </si>
  <si>
    <t>어그레이트(네트웍스)</t>
    <phoneticPr fontId="1" type="noConversion"/>
  </si>
  <si>
    <t>한울(네트웍스)</t>
    <phoneticPr fontId="1" type="noConversion"/>
  </si>
  <si>
    <t>[냉장] 홍고추(1kg*1봉)</t>
    <phoneticPr fontId="1" type="noConversion"/>
  </si>
  <si>
    <t>삼성웰스토리(네트웍스)</t>
    <phoneticPr fontId="1" type="noConversion"/>
  </si>
  <si>
    <t>[냉동] 열무나물(1KG*6봉) - 현대그린</t>
    <phoneticPr fontId="1" type="noConversion"/>
  </si>
  <si>
    <t>[냉동] 열무나물(PBOX) 1KG*10봉 - 한울</t>
    <phoneticPr fontId="1" type="noConversion"/>
  </si>
  <si>
    <t>현대그린푸드(네트웍스)</t>
    <phoneticPr fontId="1" type="noConversion"/>
  </si>
  <si>
    <t>후레시미트(네트웍스)</t>
    <phoneticPr fontId="1" type="noConversion"/>
  </si>
  <si>
    <t>[냉동] 쉐프원 김밥용달걀말이(700g*10ea)</t>
    <phoneticPr fontId="1" type="noConversion"/>
  </si>
  <si>
    <t>[냉동] 선진매콤오징어 (2kg*6ea)</t>
    <phoneticPr fontId="1" type="noConversion"/>
  </si>
  <si>
    <t>[냉동] 선진매콤제육 (2kg*6ea)</t>
    <phoneticPr fontId="1" type="noConversion"/>
  </si>
  <si>
    <t>[냉동] 치킨스테이크 행복한맛남 (1.2kg*8ea)</t>
    <phoneticPr fontId="1" type="noConversion"/>
  </si>
  <si>
    <t>롯데웰푸드(네트웍스)</t>
    <phoneticPr fontId="1" type="noConversion"/>
  </si>
  <si>
    <t>[상온] 농가참기름(소포장) (3ml*2000ea)-이우유통</t>
    <phoneticPr fontId="1" type="noConversion"/>
  </si>
  <si>
    <t>[상온] 대두밤다이스 (3kg*4ea)</t>
    <phoneticPr fontId="1" type="noConversion"/>
  </si>
  <si>
    <t>[상온] 검은깨(1kg*10ea)</t>
    <phoneticPr fontId="1" type="noConversion"/>
  </si>
  <si>
    <t>[상온] 고소한 마요네즈 행복한맛남 (2kg*1봉)</t>
  </si>
  <si>
    <t>[냉장] 다온정단무지(12kg*1box)</t>
  </si>
  <si>
    <t>커</t>
    <phoneticPr fontId="1" type="noConversion"/>
  </si>
  <si>
    <t>[냉장] 쏘야볶음소스H (2kg*10ea)</t>
    <phoneticPr fontId="1" type="noConversion"/>
  </si>
  <si>
    <t>샐</t>
    <phoneticPr fontId="1" type="noConversion"/>
  </si>
  <si>
    <t>계</t>
    <phoneticPr fontId="1" type="noConversion"/>
  </si>
  <si>
    <t>[냉동] 연탄구이맛 간장제육불고기(3kg*3ea)</t>
    <phoneticPr fontId="1" type="noConversion"/>
  </si>
  <si>
    <t>[냉동] 찌개용어슷후랑크(1kg*10ea)</t>
    <phoneticPr fontId="1" type="noConversion"/>
  </si>
  <si>
    <t>한성기업</t>
    <phoneticPr fontId="1" type="noConversion"/>
  </si>
  <si>
    <t>D+2</t>
    <phoneticPr fontId="1" type="noConversion"/>
  </si>
  <si>
    <t>[냉동] 건새우마늘쫑볶음(1kg*6ea)</t>
    <phoneticPr fontId="1" type="noConversion"/>
  </si>
  <si>
    <t>D+1</t>
    <phoneticPr fontId="1" type="noConversion"/>
  </si>
  <si>
    <t>[냉장] 돈까스소스(소포장) 30g*420개입</t>
    <phoneticPr fontId="1" type="noConversion"/>
  </si>
  <si>
    <t>커</t>
    <phoneticPr fontId="1" type="noConversion"/>
  </si>
  <si>
    <t>샐</t>
    <phoneticPr fontId="1" type="noConversion"/>
  </si>
  <si>
    <t>11/20 삭제</t>
    <phoneticPr fontId="1" type="noConversion"/>
  </si>
  <si>
    <t>11/21 삭제</t>
    <phoneticPr fontId="1" type="noConversion"/>
  </si>
  <si>
    <t>11/21 삭제</t>
    <phoneticPr fontId="1" type="noConversion"/>
  </si>
  <si>
    <t>11/21 삭제</t>
    <phoneticPr fontId="1" type="noConversion"/>
  </si>
  <si>
    <t>11/20 삭제</t>
    <phoneticPr fontId="1" type="noConversion"/>
  </si>
  <si>
    <t>D+1</t>
    <phoneticPr fontId="1" type="noConversion"/>
  </si>
  <si>
    <t>냉동김밥</t>
    <phoneticPr fontId="1" type="noConversion"/>
  </si>
  <si>
    <t>[냉장] 깐대파(2kg/box)</t>
    <phoneticPr fontId="1" type="noConversion"/>
  </si>
  <si>
    <t>부림</t>
    <phoneticPr fontId="1" type="noConversion"/>
  </si>
  <si>
    <t>채</t>
    <phoneticPr fontId="1" type="noConversion"/>
  </si>
  <si>
    <t>11/18 삭제</t>
    <phoneticPr fontId="1" type="noConversion"/>
  </si>
  <si>
    <t>12/2 삭제</t>
    <phoneticPr fontId="1" type="noConversion"/>
  </si>
  <si>
    <t>12/9 삭제</t>
    <phoneticPr fontId="1" type="noConversion"/>
  </si>
  <si>
    <t>12/16 삭제</t>
    <phoneticPr fontId="1" type="noConversion"/>
  </si>
  <si>
    <t>11/21 삭제</t>
    <phoneticPr fontId="1" type="noConversion"/>
  </si>
  <si>
    <t>12/16삭제</t>
    <phoneticPr fontId="1" type="noConversion"/>
  </si>
  <si>
    <t>[냉장] 우엉볶음용간장소스(저염)(2kg*10ea)</t>
    <phoneticPr fontId="1" type="noConversion"/>
  </si>
  <si>
    <t>반찬단지</t>
    <phoneticPr fontId="1" type="noConversion"/>
  </si>
  <si>
    <t>혜자)돌아온명불허전 (1500)</t>
  </si>
  <si>
    <t>착한제육비빔밥 (1500)</t>
  </si>
  <si>
    <t>혜자)돌아온등심돈까스 (1500)</t>
  </si>
  <si>
    <t>뭘좋아할지몰라다넣어 (1500)</t>
  </si>
  <si>
    <t>봉단가</t>
    <phoneticPr fontId="1" type="noConversion"/>
  </si>
  <si>
    <t>금액</t>
    <phoneticPr fontId="1" type="noConversion"/>
  </si>
  <si>
    <t>[냉장] 볶음제육양념육(KCPBOX) 5KG*2개입</t>
    <phoneticPr fontId="1" type="noConversion"/>
  </si>
  <si>
    <t>D+2</t>
    <phoneticPr fontId="1" type="noConversion"/>
  </si>
  <si>
    <t>계</t>
    <phoneticPr fontId="1" type="noConversion"/>
  </si>
  <si>
    <t>12/23 삭제</t>
    <phoneticPr fontId="1" type="noConversion"/>
  </si>
  <si>
    <t>[냉동] 미니사각어묵 (1kg*10ea)</t>
    <phoneticPr fontId="1" type="noConversion"/>
  </si>
  <si>
    <t>입수량변경</t>
    <phoneticPr fontId="1" type="noConversion"/>
  </si>
  <si>
    <t>10/07 삭제</t>
    <phoneticPr fontId="1" type="noConversion"/>
  </si>
  <si>
    <t>11/04 삭제</t>
    <phoneticPr fontId="1" type="noConversion"/>
  </si>
  <si>
    <t>12/09 삭제</t>
    <phoneticPr fontId="1" type="noConversion"/>
  </si>
  <si>
    <t>사조오양)하이비엔나(1kg*10ea)</t>
    <phoneticPr fontId="1" type="noConversion"/>
  </si>
  <si>
    <t>우엉조림용 우엉채(중국산) (4kg*2pk)</t>
    <phoneticPr fontId="1" type="noConversion"/>
  </si>
  <si>
    <t>청정원미트볼(1kg*8ea)</t>
    <phoneticPr fontId="1" type="noConversion"/>
  </si>
  <si>
    <t>[냉장] 프리미엄스모크햄(4kg*3ea)</t>
    <phoneticPr fontId="1" type="noConversion"/>
  </si>
  <si>
    <t>크레잇)허니머스타드드레싱(2kg*6ea)</t>
    <phoneticPr fontId="1" type="noConversion"/>
  </si>
  <si>
    <t>순성)당근채(국내산) (4kg*3pk/box)</t>
    <phoneticPr fontId="1" type="noConversion"/>
  </si>
  <si>
    <t>순성)우엉채(국내산) (4kg*2pk/box)</t>
    <phoneticPr fontId="1" type="noConversion"/>
  </si>
  <si>
    <t>냉동김밥</t>
    <phoneticPr fontId="1" type="noConversion"/>
  </si>
  <si>
    <t>스마트푸드</t>
    <phoneticPr fontId="1" type="noConversion"/>
  </si>
  <si>
    <t>차별화상회)화미이온물엿(8kg*1개)</t>
    <phoneticPr fontId="1" type="noConversion"/>
  </si>
  <si>
    <t>쏘이마루</t>
    <phoneticPr fontId="1" type="noConversion"/>
  </si>
  <si>
    <t>쏘이마루)콩단백(1kg*10pk)</t>
    <phoneticPr fontId="1" type="noConversion"/>
  </si>
  <si>
    <t>이너피스(네트웍스)</t>
    <phoneticPr fontId="1" type="noConversion"/>
  </si>
  <si>
    <t>[상온] 표고버섯채(2.84kg*6봉)</t>
    <phoneticPr fontId="1" type="noConversion"/>
  </si>
  <si>
    <t>아림식자재</t>
    <phoneticPr fontId="1" type="noConversion"/>
  </si>
  <si>
    <t>움트리)와사비분말(200g*10pk)</t>
    <phoneticPr fontId="1" type="noConversion"/>
  </si>
  <si>
    <t>조청쌀엿(5kg*4ea)</t>
    <phoneticPr fontId="1" type="noConversion"/>
  </si>
  <si>
    <t>냉동베이커리</t>
    <phoneticPr fontId="1" type="noConversion"/>
  </si>
  <si>
    <t>GS스위트크림치즈S(2kg*6pk)</t>
    <phoneticPr fontId="1" type="noConversion"/>
  </si>
  <si>
    <t>냉동김밥</t>
    <phoneticPr fontId="1" type="noConversion"/>
  </si>
  <si>
    <t>디핀다트</t>
    <phoneticPr fontId="1" type="noConversion"/>
  </si>
  <si>
    <t>앵커체다슬라이스치즈(80ea*16pk)</t>
    <phoneticPr fontId="1" type="noConversion"/>
  </si>
  <si>
    <t>[냉동] 계란옷입은소시지전 (1kg*10pk)</t>
    <phoneticPr fontId="1" type="noConversion"/>
  </si>
  <si>
    <t>야미푸드</t>
    <phoneticPr fontId="1" type="noConversion"/>
  </si>
  <si>
    <t>1/3 삭제</t>
    <phoneticPr fontId="1" type="noConversion"/>
  </si>
  <si>
    <t>[냉동] 이츠웰 냉동유부슬라이스(1kg*5ea)</t>
    <phoneticPr fontId="1" type="noConversion"/>
  </si>
  <si>
    <t>예비용도</t>
    <phoneticPr fontId="1" type="noConversion"/>
  </si>
  <si>
    <t>1/3 삭제</t>
    <phoneticPr fontId="1" type="noConversion"/>
  </si>
  <si>
    <t>김밥세절햄88(1kg*10봉)</t>
    <phoneticPr fontId="1" type="noConversion"/>
  </si>
  <si>
    <t>[상온] 캡시컴스파이스로얄(3kg*1ea)</t>
    <phoneticPr fontId="1" type="noConversion"/>
  </si>
  <si>
    <t>[상온] 대상)리치마요네즈(2kg*5ea)</t>
    <phoneticPr fontId="1" type="noConversion"/>
  </si>
  <si>
    <t>[상온] 크리스피어니언 1kg*10pk</t>
    <phoneticPr fontId="1" type="noConversion"/>
  </si>
  <si>
    <t>[상온] 치킨난방용마요 (2kg*5봉)</t>
    <phoneticPr fontId="1" type="noConversion"/>
  </si>
  <si>
    <t>D+2</t>
    <phoneticPr fontId="1" type="noConversion"/>
  </si>
  <si>
    <t>[냉장] 새콤한 채코울슬로(1kg*12ea)</t>
    <phoneticPr fontId="1" type="noConversion"/>
  </si>
  <si>
    <t>임시용도</t>
    <phoneticPr fontId="1" type="noConversion"/>
  </si>
  <si>
    <t>[냉장] 쌈장마요소스(2kg*10봉)</t>
    <phoneticPr fontId="1" type="noConversion"/>
  </si>
  <si>
    <t>[냉장] 시크릿양념치킨소스(2kg*5ea)</t>
  </si>
  <si>
    <t>[냉장] 자메이카핫치킨소스(3kg*4ea)</t>
  </si>
  <si>
    <t>[냉장] 숙성체다치즈소스(2kg*5ea)</t>
  </si>
  <si>
    <t>제이아이(이우유통)</t>
    <phoneticPr fontId="1" type="noConversion"/>
  </si>
  <si>
    <t>[냉동] 가슴살 치킨텐더스틱(1kg*10ea)</t>
  </si>
  <si>
    <t>[냉동] 왕닭다리(8kg/1box) 38ea</t>
  </si>
  <si>
    <t>[냉동] 감자다이스2cm(1kg*10ea)</t>
  </si>
  <si>
    <t>샐</t>
    <phoneticPr fontId="1" type="noConversion"/>
  </si>
  <si>
    <t>커</t>
    <phoneticPr fontId="1" type="noConversion"/>
  </si>
  <si>
    <t>계</t>
    <phoneticPr fontId="1" type="noConversion"/>
  </si>
  <si>
    <t>튀</t>
    <phoneticPr fontId="1" type="noConversion"/>
  </si>
  <si>
    <t>합계</t>
    <phoneticPr fontId="1" type="noConversion"/>
  </si>
  <si>
    <t>거성테크</t>
    <phoneticPr fontId="1" type="noConversion"/>
  </si>
  <si>
    <t>[냉장] 국내산콩나물(5kg*1box)</t>
    <phoneticPr fontId="1" type="noConversion"/>
  </si>
  <si>
    <t>더원씨푸드</t>
    <phoneticPr fontId="1" type="noConversion"/>
  </si>
  <si>
    <t>즉석스모크햄세절(1kg*10ea)</t>
    <phoneticPr fontId="1" type="noConversion"/>
  </si>
  <si>
    <t>[상온] 이온물엿 (8L*1통)</t>
    <phoneticPr fontId="1" type="noConversion"/>
  </si>
  <si>
    <t>계</t>
    <phoneticPr fontId="1" type="noConversion"/>
  </si>
  <si>
    <t>[상온] 혼다시(1kg*12통)</t>
    <phoneticPr fontId="1" type="noConversion"/>
  </si>
  <si>
    <t>업체변경</t>
    <phoneticPr fontId="1" type="noConversion"/>
  </si>
  <si>
    <t>일 사용량
(박스)</t>
    <phoneticPr fontId="1" type="noConversion"/>
  </si>
  <si>
    <t>1/22삭제</t>
    <phoneticPr fontId="1" type="noConversion"/>
  </si>
  <si>
    <t>[냉장]닭갈비소스-J (3kg*5ea)</t>
    <phoneticPr fontId="1" type="noConversion"/>
  </si>
  <si>
    <t>두리에프앤비</t>
    <phoneticPr fontId="1" type="noConversion"/>
  </si>
  <si>
    <t>[냉동] 냉동크루아상빵(50g*60ea)</t>
    <phoneticPr fontId="1" type="noConversion"/>
  </si>
  <si>
    <t>D+2</t>
    <phoneticPr fontId="1" type="noConversion"/>
  </si>
  <si>
    <t>차별화상회)치폴레소스(1kg*1개)</t>
    <phoneticPr fontId="1" type="noConversion"/>
  </si>
  <si>
    <t>냉장1</t>
    <phoneticPr fontId="1" type="noConversion"/>
  </si>
  <si>
    <t>부자재</t>
    <phoneticPr fontId="1" type="noConversion"/>
  </si>
  <si>
    <t>냉장2</t>
    <phoneticPr fontId="1" type="noConversion"/>
  </si>
  <si>
    <t>[냉동] 김치고구마채전 (1kg(33ea)*10pk)</t>
    <phoneticPr fontId="1" type="noConversion"/>
  </si>
  <si>
    <t>[냉동] 칼집돼지갈비맛불고기 (2kg*5ea)</t>
  </si>
  <si>
    <t>리더스에프에스</t>
    <phoneticPr fontId="1" type="noConversion"/>
  </si>
  <si>
    <t>[냉동] 냉동패스츄리빵 (50개입*1box)</t>
    <phoneticPr fontId="1" type="noConversion"/>
  </si>
  <si>
    <t>쉐프원)렌치드레싱(2kg*5ea)</t>
    <phoneticPr fontId="1" type="noConversion"/>
  </si>
  <si>
    <t>쉐프원)허니머스타드드레싱(2kg*5ea)</t>
    <phoneticPr fontId="1" type="noConversion"/>
  </si>
  <si>
    <t>[상온] 쉐프원)두번자른화영당면(1kg*10ea)</t>
    <phoneticPr fontId="1" type="noConversion"/>
  </si>
  <si>
    <t>[상온] 늘푸른피클랠리쉬 (3KG*6캔)</t>
    <phoneticPr fontId="1" type="noConversion"/>
  </si>
  <si>
    <t>냉동베이커리</t>
    <phoneticPr fontId="1" type="noConversion"/>
  </si>
  <si>
    <t>[상온] 솔표홀그레인머스타드 (5KG*2ea)</t>
    <phoneticPr fontId="1" type="noConversion"/>
  </si>
  <si>
    <t>[냉동] 치킨브레스트햄(300g*20EA)</t>
    <phoneticPr fontId="1" type="noConversion"/>
  </si>
  <si>
    <t>[냉동] 한성)냉동크래미F(1kg*10ea)</t>
    <phoneticPr fontId="1" type="noConversion"/>
  </si>
  <si>
    <t>[냉동] 버터크로와상(40g*50ea)</t>
    <phoneticPr fontId="1" type="noConversion"/>
  </si>
  <si>
    <t>한설당</t>
    <phoneticPr fontId="1" type="noConversion"/>
  </si>
  <si>
    <t>바이올푸드(이우)</t>
    <phoneticPr fontId="1" type="noConversion"/>
  </si>
  <si>
    <t>[냉동] 다이스드닭갈비(4kg*2ea)</t>
    <phoneticPr fontId="1" type="noConversion"/>
  </si>
  <si>
    <t>임시용</t>
    <phoneticPr fontId="1" type="noConversion"/>
  </si>
  <si>
    <t>[냉장] 스모크햄_500(P)S/L (500g*20ea)</t>
    <phoneticPr fontId="1" type="noConversion"/>
  </si>
  <si>
    <t>[냉동] 매콤불고기양념육(앞다리)(종이BOX) 5KG*2개입</t>
    <phoneticPr fontId="1" type="noConversion"/>
  </si>
  <si>
    <t>냉동전환</t>
    <phoneticPr fontId="1" type="noConversion"/>
  </si>
  <si>
    <t>[상온] 화풍표고버섯채(종이BOX) 2.84KG*6캔</t>
    <phoneticPr fontId="1" type="noConversion"/>
  </si>
  <si>
    <t>냉동전환</t>
    <phoneticPr fontId="1" type="noConversion"/>
  </si>
  <si>
    <t>[냉동] 볶음제육양념육(KCPBOX) 5KG*2개입</t>
    <phoneticPr fontId="1" type="noConversion"/>
  </si>
  <si>
    <t>2/28삭제</t>
    <phoneticPr fontId="1" type="noConversion"/>
  </si>
  <si>
    <t>출고정지</t>
    <phoneticPr fontId="1" type="noConversion"/>
  </si>
  <si>
    <t>정우(네트웍스)</t>
    <phoneticPr fontId="1" type="noConversion"/>
  </si>
  <si>
    <t>케미코(네트웍스)</t>
    <phoneticPr fontId="1" type="noConversion"/>
  </si>
  <si>
    <t>SG&amp;P(네트웍스)</t>
    <phoneticPr fontId="1" type="noConversion"/>
  </si>
  <si>
    <t>i-printing</t>
    <phoneticPr fontId="1" type="noConversion"/>
  </si>
  <si>
    <t>수축필름</t>
    <phoneticPr fontId="1" type="noConversion"/>
  </si>
  <si>
    <t>바코드</t>
    <phoneticPr fontId="1" type="noConversion"/>
  </si>
  <si>
    <t>두레(네트웍스)</t>
    <phoneticPr fontId="1" type="noConversion"/>
  </si>
  <si>
    <t>커</t>
    <phoneticPr fontId="1" type="noConversion"/>
  </si>
  <si>
    <t>[냉장] 대파크림소스(PBOX) 2KG*9개입</t>
  </si>
  <si>
    <t>[냉동] 스틱고추불고기고로케(2kg(74ea)*5pk)</t>
  </si>
  <si>
    <t>[냉동] 당근채(10kg/box)</t>
    <phoneticPr fontId="1" type="noConversion"/>
  </si>
  <si>
    <t>국내산</t>
    <phoneticPr fontId="1" type="noConversion"/>
  </si>
  <si>
    <t>[냉장] 김밥용조미에센스소스(PBOX) 2KG*10개입</t>
  </si>
  <si>
    <t>취</t>
    <phoneticPr fontId="1" type="noConversion"/>
  </si>
  <si>
    <t>[냉장] 더커진계란구이(1.02kg*12ea)</t>
  </si>
  <si>
    <t>[냉동] 유채나물무침(1kg*10ea)</t>
    <phoneticPr fontId="1" type="noConversion"/>
  </si>
  <si>
    <t>[냉장] 봄동겉절이(5kg*2ea)</t>
    <phoneticPr fontId="1" type="noConversion"/>
  </si>
  <si>
    <t>[상온] 진양)점보삼각김[투명] 100매*32개입</t>
    <phoneticPr fontId="1" type="noConversion"/>
  </si>
  <si>
    <t>이원화</t>
    <phoneticPr fontId="1" type="noConversion"/>
  </si>
  <si>
    <t>[냉동] 계란옷입은고기완자(1kg*6ea)</t>
    <phoneticPr fontId="1" type="noConversion"/>
  </si>
  <si>
    <t>[냉장] 치즈콕콕소시지(1.4kg*8ea) (1봉=100g*14ea)</t>
  </si>
  <si>
    <t>커</t>
    <phoneticPr fontId="1" type="noConversion"/>
  </si>
  <si>
    <t>[상온] 늘푸른할라피뇨랠리쉬 (3kg*6캔)</t>
  </si>
  <si>
    <t>[냉장] 할라피뇨칠리소스(3kg*5ea)</t>
  </si>
  <si>
    <t>샐</t>
    <phoneticPr fontId="1" type="noConversion"/>
  </si>
  <si>
    <t>[냉동] 대파불고기양념육(2kg*6ea)</t>
  </si>
  <si>
    <t>계</t>
    <phoneticPr fontId="1" type="noConversion"/>
  </si>
  <si>
    <t>[냉장] 김밥용돈까스소스(PBOX) 2KG*10개입</t>
  </si>
  <si>
    <t>샐</t>
    <phoneticPr fontId="1" type="noConversion"/>
  </si>
  <si>
    <t>[상온] 모아하우스머스타드(3.628kg*4ea)</t>
  </si>
  <si>
    <t>[냉동] 두부두루치기용다짐육(2kg*6ea)</t>
    <phoneticPr fontId="1" type="noConversion"/>
  </si>
  <si>
    <t>계</t>
    <phoneticPr fontId="1" type="noConversion"/>
  </si>
  <si>
    <t>[냉장] 마파두부소스(3kg*5ea)</t>
    <phoneticPr fontId="1" type="noConversion"/>
  </si>
  <si>
    <t>[상온] 서원)K2순후추(200g*50ea)</t>
    <phoneticPr fontId="1" type="noConversion"/>
  </si>
  <si>
    <t>태원식품(금행)</t>
    <phoneticPr fontId="1" type="noConversion"/>
  </si>
  <si>
    <t>[냉장] 마라상궈소스(2kg*5ea)</t>
    <phoneticPr fontId="1" type="noConversion"/>
  </si>
  <si>
    <t>두레)종이컵-900ml 용기(크라프트무지(SKF)) 50개입*6줄</t>
  </si>
  <si>
    <t>두레)DRX-160￠ 용기(원색)/원형/덮밥 50개입*6줄</t>
  </si>
  <si>
    <t>두레)DRX-160￠반돔 뚜껑(투명)/덮밥 50개입*6줄</t>
  </si>
  <si>
    <t>[냉장] 청경채(4kg*1box)</t>
    <phoneticPr fontId="1" type="noConversion"/>
  </si>
  <si>
    <t>[냉장] 팽이버섯(150g*34ea)</t>
    <phoneticPr fontId="1" type="noConversion"/>
  </si>
  <si>
    <t>[상온] 양송이캔(2.84kg*6ea)</t>
    <phoneticPr fontId="1" type="noConversion"/>
  </si>
  <si>
    <t>야</t>
    <phoneticPr fontId="1" type="noConversion"/>
  </si>
  <si>
    <t>[상온] 감자전분(1kg*10ea)</t>
    <phoneticPr fontId="1" type="noConversion"/>
  </si>
  <si>
    <t>[상온] 점보삼각김(투명패턴) 100매*32개입</t>
    <phoneticPr fontId="1" type="noConversion"/>
  </si>
  <si>
    <t xml:space="preserve">[냉장] 삼각용다시마취반소스(PBOX) 2KG*10개입	</t>
  </si>
  <si>
    <t>취</t>
    <phoneticPr fontId="1" type="noConversion"/>
  </si>
  <si>
    <t>[상온] 오뚜기GS마요네즈 (10kg*1ea)</t>
    <phoneticPr fontId="1" type="noConversion"/>
  </si>
  <si>
    <t>샐</t>
    <phoneticPr fontId="1" type="noConversion"/>
  </si>
  <si>
    <t>[상온] 동원)참치다시(1kg*10ea)</t>
  </si>
  <si>
    <t>[냉장] 송송오이피클(1kg*6ea)</t>
    <phoneticPr fontId="1" type="noConversion"/>
  </si>
  <si>
    <t>[냉장] 볶음김치소스Y(PBOX) 2KG*10개입</t>
  </si>
  <si>
    <t>/2</t>
    <phoneticPr fontId="1" type="noConversion"/>
  </si>
  <si>
    <t>*0.4</t>
    <phoneticPr fontId="1" type="noConversion"/>
  </si>
  <si>
    <t>/6</t>
    <phoneticPr fontId="1" type="noConversion"/>
  </si>
  <si>
    <t>4/01삭제</t>
    <phoneticPr fontId="1" type="noConversion"/>
  </si>
  <si>
    <t>아워홈(리테일)</t>
    <phoneticPr fontId="1" type="noConversion"/>
  </si>
  <si>
    <t>[냉장] 아워홈)채어묵Ⅲ (1kg*10ea)</t>
    <phoneticPr fontId="1" type="noConversion"/>
  </si>
  <si>
    <t>영풍김밥용</t>
    <phoneticPr fontId="1" type="noConversion"/>
  </si>
  <si>
    <t>4/2삭제</t>
    <phoneticPr fontId="1" type="noConversion"/>
  </si>
  <si>
    <t>[냉장] 불맛향미유 (2kg*5ea)</t>
  </si>
  <si>
    <t>대상(DS유통)</t>
    <phoneticPr fontId="1" type="noConversion"/>
  </si>
  <si>
    <t>[냉동] 더잘입힌 청양볼카츠(2kg*5봉)</t>
  </si>
  <si>
    <t>튀</t>
    <phoneticPr fontId="1" type="noConversion"/>
  </si>
  <si>
    <t>[냉동] 동원)YES더원잇생선까스(1.2kg*8ea)</t>
    <phoneticPr fontId="1" type="noConversion"/>
  </si>
  <si>
    <t>삼양냉동(금행)</t>
    <phoneticPr fontId="1" type="noConversion"/>
  </si>
  <si>
    <t>[냉동] 삼양플러스함박스테이크1000 (50g(20ea)*10pk)</t>
  </si>
  <si>
    <t>D+2</t>
    <phoneticPr fontId="1" type="noConversion"/>
  </si>
  <si>
    <t>[냉장] 동원)통그릴비엔나(1000g*8봉)</t>
    <phoneticPr fontId="1" type="noConversion"/>
  </si>
  <si>
    <t>[냉장] 타르타르소스-GS(2kg*5ea)</t>
  </si>
  <si>
    <t>샐</t>
    <phoneticPr fontId="1" type="noConversion"/>
  </si>
  <si>
    <t>[냉장] 마카로니샐러드(1kg*10봉)</t>
  </si>
  <si>
    <t>[냉동] 참나물무침(PBOX) 1KG*10봉</t>
  </si>
  <si>
    <t>[냉동] 청양어묵볶음 1KG*6개입</t>
  </si>
  <si>
    <t>커</t>
    <phoneticPr fontId="1" type="noConversion"/>
  </si>
  <si>
    <t>대나무꼬지12cm(두께2.5mm) (1000ea*30봉)</t>
  </si>
  <si>
    <t>4/7삭제</t>
    <phoneticPr fontId="1" type="noConversion"/>
  </si>
  <si>
    <t>[냉장] 마늘쫑(7kg*1box)</t>
    <phoneticPr fontId="1" type="noConversion"/>
  </si>
  <si>
    <t>[냉동] 대파1/2컷(2kg*5ea)</t>
    <phoneticPr fontId="1" type="noConversion"/>
  </si>
  <si>
    <t>특판용</t>
    <phoneticPr fontId="1" type="noConversion"/>
  </si>
  <si>
    <t>[냉동] 크레잇)고추장돼지불고기(3KG*3EA)</t>
  </si>
  <si>
    <t>계</t>
    <phoneticPr fontId="1" type="noConversion"/>
  </si>
  <si>
    <t xml:space="preserve">[상온] 구운롤김 600매*8롤 </t>
    <phoneticPr fontId="1" type="noConversion"/>
  </si>
  <si>
    <t>슈퍼/냉동김밥</t>
    <phoneticPr fontId="1" type="noConversion"/>
  </si>
  <si>
    <t>부자재실</t>
    <phoneticPr fontId="1" type="noConversion"/>
  </si>
  <si>
    <t>4/13삭제</t>
    <phoneticPr fontId="1" type="noConversion"/>
  </si>
  <si>
    <t>순성김밥</t>
    <phoneticPr fontId="1" type="noConversion"/>
  </si>
  <si>
    <t>D+2</t>
    <phoneticPr fontId="1" type="noConversion"/>
  </si>
  <si>
    <t>4/21삭제</t>
    <phoneticPr fontId="1" type="noConversion"/>
  </si>
  <si>
    <t>대상(리테일)</t>
    <phoneticPr fontId="1" type="noConversion"/>
  </si>
  <si>
    <t>선진FS(리테일)</t>
    <phoneticPr fontId="1" type="noConversion"/>
  </si>
  <si>
    <t>오뚜기(리테일)</t>
    <phoneticPr fontId="1" type="noConversion"/>
  </si>
  <si>
    <t>동방푸드마스타(금행)</t>
    <phoneticPr fontId="1" type="noConversion"/>
  </si>
  <si>
    <t>4/30삭제</t>
    <phoneticPr fontId="1" type="noConversion"/>
  </si>
  <si>
    <t>[냉장] 비빔밥용고추장소스H(PBOX) 2KG*10개입</t>
  </si>
  <si>
    <t>천안fs(네트웍스)</t>
  </si>
  <si>
    <t>샐</t>
    <phoneticPr fontId="1" type="noConversion"/>
  </si>
  <si>
    <t>계</t>
    <phoneticPr fontId="1" type="noConversion"/>
  </si>
  <si>
    <t>델리캡(NS유통)</t>
    <phoneticPr fontId="1" type="noConversion"/>
  </si>
  <si>
    <t>[상온] 블랙트러플소스(400g*24캔)</t>
  </si>
  <si>
    <t>샐</t>
    <phoneticPr fontId="1" type="noConversion"/>
  </si>
  <si>
    <t>[냉동] 불고기맛느타리버섯조림(PBOX) 1KG*10봉</t>
  </si>
  <si>
    <t>[냉동] 불고기맛표고버섯조림(PBOX) 1KG*10봉</t>
  </si>
  <si>
    <t>반찬단지(리테일)</t>
    <phoneticPr fontId="1" type="noConversion"/>
  </si>
  <si>
    <t>[냉장] 세천팜)김밥단무지 (2.5kg*4ea)</t>
  </si>
  <si>
    <t>커</t>
    <phoneticPr fontId="1" type="noConversion"/>
  </si>
  <si>
    <t>[냉장] 오므라이스지단 (825g*10봉)</t>
  </si>
  <si>
    <t>[상온] 해마루 피클 슬라이스 (3KG*6캔)</t>
  </si>
  <si>
    <t>[상온] 지오씨팜 할라피뇨 슬라이스 (3KG * 6캔)</t>
  </si>
  <si>
    <t>[냉장] 크림양송이소스(PBOX) 2KG*9개입</t>
  </si>
  <si>
    <t>[냉장] 경양식오므라이스소스(PBOX) 2KG*10개입</t>
  </si>
  <si>
    <t>D+7</t>
    <phoneticPr fontId="1" type="noConversion"/>
  </si>
  <si>
    <t>5/12삭제</t>
    <phoneticPr fontId="1" type="noConversion"/>
  </si>
  <si>
    <t>5/12삭제</t>
    <phoneticPr fontId="1" type="noConversion"/>
  </si>
  <si>
    <t>냉동베이커리</t>
    <phoneticPr fontId="1" type="noConversion"/>
  </si>
  <si>
    <t>26.07.28</t>
    <phoneticPr fontId="1" type="noConversion"/>
  </si>
  <si>
    <t>27.10.27</t>
    <phoneticPr fontId="1" type="noConversion"/>
  </si>
  <si>
    <t>26.10.24</t>
    <phoneticPr fontId="1" type="noConversion"/>
  </si>
  <si>
    <t>26.10.20</t>
    <phoneticPr fontId="1" type="noConversion"/>
  </si>
  <si>
    <t>26.07.29</t>
    <phoneticPr fontId="1" type="noConversion"/>
  </si>
  <si>
    <t>에스엔피인터내셔널</t>
    <phoneticPr fontId="1" type="noConversion"/>
  </si>
  <si>
    <t>[냉동] 양파슬라이스(2kg*5ea)</t>
  </si>
  <si>
    <t>[냉장] 쉐프원 불맛베이스(캡파우치)(2kg*5ea)</t>
  </si>
  <si>
    <t>[냉장] 마일드체다SOS치즈(960g*16ea)</t>
  </si>
  <si>
    <t>매일유업(리테일)</t>
    <phoneticPr fontId="1" type="noConversion"/>
  </si>
  <si>
    <t>5/26삭제</t>
    <phoneticPr fontId="1" type="noConversion"/>
  </si>
  <si>
    <t>5/26삭제</t>
    <phoneticPr fontId="1" type="noConversion"/>
  </si>
  <si>
    <t>5/28삭제</t>
    <phoneticPr fontId="1" type="noConversion"/>
  </si>
  <si>
    <t>5/21삭제</t>
    <phoneticPr fontId="1" type="noConversion"/>
  </si>
  <si>
    <t>아이투알(네트웍스)</t>
    <phoneticPr fontId="1" type="noConversion"/>
  </si>
  <si>
    <t>5/26삭제</t>
    <phoneticPr fontId="1" type="noConversion"/>
  </si>
  <si>
    <t>[상온] 살코기참치(3kg*5팩)-S&amp;P</t>
    <phoneticPr fontId="1" type="noConversion"/>
  </si>
  <si>
    <t>3/10신상</t>
  </si>
  <si>
    <t>3/10신상</t>
    <phoneticPr fontId="1" type="noConversion"/>
  </si>
  <si>
    <t>3/17신상</t>
  </si>
  <si>
    <t>3/26신상</t>
  </si>
  <si>
    <t>1/27신상</t>
  </si>
  <si>
    <t>4/07신상</t>
  </si>
  <si>
    <t>5/5신상</t>
  </si>
  <si>
    <t>3/31신상</t>
  </si>
  <si>
    <t>4/28신상</t>
  </si>
  <si>
    <t>3/26리뉴얼</t>
  </si>
  <si>
    <t>3/03신상</t>
  </si>
  <si>
    <t>3/24신상</t>
  </si>
  <si>
    <t>4/09신상</t>
  </si>
  <si>
    <t>임시용도</t>
  </si>
  <si>
    <t>6/9삭제</t>
  </si>
  <si>
    <t>6/9삭제</t>
    <phoneticPr fontId="1" type="noConversion"/>
  </si>
  <si>
    <t>6/3삭제</t>
    <phoneticPr fontId="1" type="noConversion"/>
  </si>
  <si>
    <t>6/2삭제</t>
    <phoneticPr fontId="1" type="noConversion"/>
  </si>
  <si>
    <t>[상온] 삼각김(투명_들기름) 100매*32개입</t>
  </si>
  <si>
    <t>[냉장] 가쓰오치킨데리소스(PBOX) 2KG*10개입</t>
  </si>
  <si>
    <t>계</t>
    <phoneticPr fontId="1" type="noConversion"/>
  </si>
  <si>
    <t>[상온] 쉐프원 두번자른화영당면 (1kg*10ea)</t>
  </si>
  <si>
    <t>조리실</t>
    <phoneticPr fontId="1" type="noConversion"/>
  </si>
  <si>
    <t>[냉장] 잡채용소스_JH (3kg*5ea)</t>
  </si>
  <si>
    <t>샐</t>
    <phoneticPr fontId="1" type="noConversion"/>
  </si>
  <si>
    <t>[냉장] NEW매콤닭강정소스(PBOX) 2KG*10개입</t>
  </si>
  <si>
    <t>[냉장] 조리편한조각두부(부침용) (3kg(88ea)*3pk)</t>
  </si>
  <si>
    <t>[냉동] 불향가득떡고기말이(구이) (2kg*5pk)</t>
  </si>
  <si>
    <t>튀</t>
    <phoneticPr fontId="1" type="noConversion"/>
  </si>
  <si>
    <t>[냉동] 마일드순살치킨 (95g(10ea)*12pk)</t>
  </si>
  <si>
    <t>지앤원(진보)</t>
    <phoneticPr fontId="1" type="noConversion"/>
  </si>
  <si>
    <t>D+2</t>
    <phoneticPr fontId="1" type="noConversion"/>
  </si>
  <si>
    <t>[냉동] 동림날치알(담흥) (900g*20ea)</t>
  </si>
  <si>
    <t>[냉장] 명란마요용소스 (3kg*5ea)</t>
  </si>
  <si>
    <t>4/14삭제</t>
    <phoneticPr fontId="1" type="noConversion"/>
  </si>
  <si>
    <t>6/3삭제</t>
    <phoneticPr fontId="1" type="noConversion"/>
  </si>
  <si>
    <t>두레)DR-126호 용기(크라프트) 50개입*4줄</t>
  </si>
  <si>
    <t>두레)고급4호 뚜껑(투명) 50개입*4줄</t>
  </si>
  <si>
    <t>두레)MS-27호 내피 250개입*16줄</t>
  </si>
  <si>
    <t>[냉장] 마당놀이2(사각어묵)(1kg*10ea)</t>
  </si>
  <si>
    <t>[냉장] 알뜰어묵볼대림 (1kg*10봉)</t>
  </si>
  <si>
    <t>변경</t>
    <phoneticPr fontId="1" type="noConversion"/>
  </si>
  <si>
    <t>[냉동] 코주부사각어묵 (5kg*2ea)</t>
    <phoneticPr fontId="1" type="noConversion"/>
  </si>
  <si>
    <t>내피</t>
    <phoneticPr fontId="1" type="noConversion"/>
  </si>
  <si>
    <t>글로벌코리아</t>
  </si>
  <si>
    <t>[냉장] 데리야끼마요소스-FS (3kg*4ea)</t>
  </si>
  <si>
    <t>샐</t>
    <phoneticPr fontId="1" type="noConversion"/>
  </si>
  <si>
    <t>카테고리</t>
    <phoneticPr fontId="1" type="noConversion"/>
  </si>
  <si>
    <t>GMRO</t>
  </si>
  <si>
    <t>에코피드수축필름 (12mic*16inch*1500m) (1롤*1박스)</t>
    <phoneticPr fontId="1" type="noConversion"/>
  </si>
  <si>
    <t>60*35 청색(도시락) 4000장 (20롤*1박스)</t>
    <phoneticPr fontId="1" type="noConversion"/>
  </si>
  <si>
    <t>60*35 적색(도시락) 4000장 (20롤*1박스)</t>
    <phoneticPr fontId="1" type="noConversion"/>
  </si>
  <si>
    <t>56*45 청색(김밥) 3500장 (20롤*1박스)</t>
    <phoneticPr fontId="1" type="noConversion"/>
  </si>
  <si>
    <t>56*45 적색(김밥) 3500장 (20롤*1박스)</t>
    <phoneticPr fontId="1" type="noConversion"/>
  </si>
  <si>
    <t>54*45 청색(삼각) 3500장 (20롤*1박스)</t>
    <phoneticPr fontId="1" type="noConversion"/>
  </si>
  <si>
    <t>54*45 적색(삼각) 3500장 (20롤*1박스)</t>
    <phoneticPr fontId="1" type="noConversion"/>
  </si>
  <si>
    <t>대동전산폼</t>
  </si>
  <si>
    <t>QCS 감열지(흰색) 400장 (40롤*1박스)</t>
    <phoneticPr fontId="1" type="noConversion"/>
  </si>
  <si>
    <t>비닐월드</t>
  </si>
  <si>
    <t>대영하이텍</t>
  </si>
  <si>
    <t>윗트임(청색)[76(10)*110] 900매 (19KG*1박스)</t>
    <phoneticPr fontId="1" type="noConversion"/>
  </si>
  <si>
    <t>윗트임(적색)[76(10)*110] 900매 (18KG*1박스)</t>
    <phoneticPr fontId="1" type="noConversion"/>
  </si>
  <si>
    <t>옆트임(청색)[110(10)*70] 900매 (19KG*1박스)</t>
    <phoneticPr fontId="1" type="noConversion"/>
  </si>
  <si>
    <t>옆트임(적색)[110(10)*70] 900매 (18KG*1박스)</t>
    <phoneticPr fontId="1" type="noConversion"/>
  </si>
  <si>
    <t>한국아사히소교</t>
    <phoneticPr fontId="1" type="noConversion"/>
  </si>
  <si>
    <t>종가)김치제육김밥 500매*12봉</t>
  </si>
  <si>
    <t>왕돈까스김밥 500매*12봉</t>
  </si>
  <si>
    <t>골드)GFS/서브]직화)한돈제육쌈김밥 500매*20봉</t>
  </si>
  <si>
    <t>골드)한국/GFS]THE근본김밥 500매*20봉</t>
  </si>
  <si>
    <t>골드)델리/퍼스트/우리/GFS]더블치즈소시지김밥 500매*20봉</t>
  </si>
  <si>
    <t>골드)퍼스트/델리/GFS]불고기치즈김밥 500매*20봉</t>
  </si>
  <si>
    <t>골드)GFS]NEW스팸무스비 5000매*1롤</t>
  </si>
  <si>
    <t>골드)GFS/퍼스트]착한핫도그오리지널 3700매*1롤</t>
  </si>
  <si>
    <t>골드)GFS/퍼스트]착한핫도그양배추사라다 3700매*1롤</t>
  </si>
  <si>
    <t>골드)GFS]간지 9*9 1,000매*1봉</t>
    <phoneticPr fontId="1" type="noConversion"/>
  </si>
  <si>
    <t>골드)델리캡/퍼스트/가온/GFS/제이비/삼영]간지 4.5*15 1,000매*1봉</t>
    <phoneticPr fontId="1" type="noConversion"/>
  </si>
  <si>
    <t>골드필름(네트웍스)</t>
    <phoneticPr fontId="1" type="noConversion"/>
  </si>
  <si>
    <t>NEW혜자)돈까스고추장제육 (1000장*1롤)</t>
  </si>
  <si>
    <t>삼각)전주비빔 (4000)</t>
  </si>
  <si>
    <t>종가)들기름묵은지참치 (3000)</t>
  </si>
  <si>
    <t>더큰)리챔참치마요 (3000)</t>
  </si>
  <si>
    <t>더큰)스팸김치볶음밥 (3000)</t>
  </si>
  <si>
    <t>더큰)스팸계란볶음밥 (3000)</t>
  </si>
  <si>
    <t>더큰)닭갈비깻잎쌈밥 (3000)</t>
  </si>
  <si>
    <t>착한)마파두부덮밥(3,900원) (1500)</t>
  </si>
  <si>
    <t>착한)제육덮밥(3,900원) (1500)</t>
  </si>
  <si>
    <t>N혜자)불고기오징어제육 (1000)</t>
  </si>
  <si>
    <t>혜자)백설갈비양념제육 (1000)</t>
  </si>
  <si>
    <t>이달의도시락6월(미식편) (1500)</t>
  </si>
  <si>
    <t>에스지앤피)핫도그지함 1,000개입 (100ea*10pk)</t>
  </si>
  <si>
    <t>[1탄]가성비용기 (100ea*4pk/box)</t>
  </si>
  <si>
    <t>상지인터내쇼날</t>
    <phoneticPr fontId="1" type="noConversion"/>
  </si>
  <si>
    <t>혜자)명불허전뚜껑 (100ea*6pk/box) [PP]</t>
    <phoneticPr fontId="1" type="noConversion"/>
  </si>
  <si>
    <t>가성비뚜껑 (100ea*4pk/box) [PP]</t>
    <phoneticPr fontId="1" type="noConversion"/>
  </si>
  <si>
    <t>뚜껑</t>
    <phoneticPr fontId="1" type="noConversion"/>
  </si>
  <si>
    <t>완제품명</t>
    <phoneticPr fontId="1" type="noConversion"/>
  </si>
  <si>
    <t>혜자)돌아온
등심돈까스</t>
    <phoneticPr fontId="1" type="noConversion"/>
  </si>
  <si>
    <t>슈퍼핫도그
2종</t>
    <phoneticPr fontId="1" type="noConversion"/>
  </si>
  <si>
    <t>혜자)돌아온
명불허전</t>
    <phoneticPr fontId="1" type="noConversion"/>
  </si>
  <si>
    <t>혜자)백설갈비
양념제육</t>
    <phoneticPr fontId="1" type="noConversion"/>
  </si>
  <si>
    <t>불고기오징어
돈까스고추장</t>
    <phoneticPr fontId="1" type="noConversion"/>
  </si>
  <si>
    <t>착한제육
비빔밥</t>
    <phoneticPr fontId="1" type="noConversion"/>
  </si>
  <si>
    <t>뭘좋아할지
몰라</t>
    <phoneticPr fontId="1" type="noConversion"/>
  </si>
  <si>
    <t>착한마파두부
착한제육덮밥</t>
    <phoneticPr fontId="1" type="noConversion"/>
  </si>
  <si>
    <t>이달의
도시락6월</t>
    <phoneticPr fontId="1" type="noConversion"/>
  </si>
  <si>
    <t>아이투알)혜자)순창/제육 뚜껑 100EA*6PK [PP]</t>
    <phoneticPr fontId="1" type="noConversion"/>
  </si>
  <si>
    <t>아이투알)혜자)등심돈까스 뚜껑 100EA*6PK [PP]</t>
    <phoneticPr fontId="1" type="noConversion"/>
  </si>
  <si>
    <t>낱개(봉)</t>
    <phoneticPr fontId="1" type="noConversion"/>
  </si>
  <si>
    <t>[냉장] 알뜰주부진주줄줄이(1kg*10봉)</t>
  </si>
  <si>
    <t>그래도푸드(리테일)</t>
    <phoneticPr fontId="1" type="noConversion"/>
  </si>
  <si>
    <t>청학에프앤씨(리테일)</t>
    <phoneticPr fontId="1" type="noConversion"/>
  </si>
  <si>
    <t>한성기업(동원)</t>
    <phoneticPr fontId="1" type="noConversion"/>
  </si>
  <si>
    <t>야미푸드(진보)</t>
    <phoneticPr fontId="1" type="noConversion"/>
  </si>
  <si>
    <t>에프와이지(금행)</t>
    <phoneticPr fontId="1" type="noConversion"/>
  </si>
  <si>
    <t>와이디에스(대선)</t>
    <phoneticPr fontId="1" type="noConversion"/>
  </si>
  <si>
    <t>국일(이우)</t>
    <phoneticPr fontId="1" type="noConversion"/>
  </si>
  <si>
    <t>푸른원(리테일)</t>
    <phoneticPr fontId="1" type="noConversion"/>
  </si>
  <si>
    <t>풍림푸드(리테일)</t>
    <phoneticPr fontId="1" type="noConversion"/>
  </si>
  <si>
    <t>이레팜(네트웍스)</t>
    <phoneticPr fontId="1" type="noConversion"/>
  </si>
  <si>
    <t>농심태경(금행)</t>
    <phoneticPr fontId="1" type="noConversion"/>
  </si>
  <si>
    <t>진주햄(동원)</t>
    <phoneticPr fontId="1" type="noConversion"/>
  </si>
  <si>
    <t>다미푸드텍(금행)</t>
    <phoneticPr fontId="1" type="noConversion"/>
  </si>
  <si>
    <t>6/14 기준</t>
    <phoneticPr fontId="1" type="noConversion"/>
  </si>
  <si>
    <t>골드)퍼스트/델리/GFS]스팸계란치즈김밥 500매*20봉</t>
    <phoneticPr fontId="1" type="noConversion"/>
  </si>
  <si>
    <t>6/26삭제</t>
    <phoneticPr fontId="1" type="noConversion"/>
  </si>
  <si>
    <t>[냉장] 느타리버섯 2kg*1box</t>
  </si>
  <si>
    <t>[냉장] 팽이버섯 150g*34ea</t>
  </si>
  <si>
    <t>[상온] 수연소면(400g*20ea)</t>
  </si>
  <si>
    <t>엠아이(네트웍스)</t>
    <phoneticPr fontId="1" type="noConversion"/>
  </si>
  <si>
    <t>[냉동] 엠아이)불제육두루치기(종이BOX) 2KG*7팩</t>
  </si>
  <si>
    <t>[냉동] 엠아이)간장두루치기(종이BOX) 2KG*7팩</t>
  </si>
  <si>
    <t>커</t>
    <phoneticPr fontId="1" type="noConversion"/>
  </si>
  <si>
    <t>계</t>
    <phoneticPr fontId="1" type="noConversion"/>
  </si>
  <si>
    <t>대체품</t>
    <phoneticPr fontId="1" type="noConversion"/>
  </si>
  <si>
    <t>케미코)5찬도시락용기 400개입 (100ea*4pk)</t>
  </si>
  <si>
    <t>NEW혜자)반반제육</t>
    <phoneticPr fontId="1" type="noConversion"/>
  </si>
  <si>
    <t>NEW혜자)반반제육 (1000장*1롤)</t>
    <phoneticPr fontId="1" type="noConversion"/>
  </si>
  <si>
    <t>224박스</t>
    <phoneticPr fontId="1" type="noConversion"/>
  </si>
  <si>
    <t>계</t>
    <phoneticPr fontId="1" type="noConversion"/>
  </si>
  <si>
    <t>[냉동] 민물장어(10미*10팩/박스)</t>
  </si>
  <si>
    <t>커</t>
    <phoneticPr fontId="1" type="noConversion"/>
  </si>
  <si>
    <t>[냉동] 위드메이)훈제오리슬라이스 (800g*10pk)</t>
  </si>
  <si>
    <t>[냉장] 씨앗젓갈1KG(냉장)BOX(1kg*10ea)</t>
  </si>
  <si>
    <t>[냉장] 백오이(다다기오이) (10kg/box)</t>
  </si>
  <si>
    <t>두레)DRG-1호 뚜껑(투명) 50개입*4줄</t>
  </si>
  <si>
    <t>두레)DRG-1호 용기 100개입*2줄</t>
  </si>
  <si>
    <t>두레)MS-25-1호 내피(반투명) 200개입*10줄</t>
  </si>
  <si>
    <t>이달의
도시락7월</t>
    <phoneticPr fontId="1" type="noConversion"/>
  </si>
  <si>
    <t>통오이김밥)지함 800매*1박스</t>
  </si>
  <si>
    <t>지함</t>
    <phoneticPr fontId="1" type="noConversion"/>
  </si>
  <si>
    <t>통오이김밥</t>
    <phoneticPr fontId="1" type="noConversion"/>
  </si>
  <si>
    <t>여름보양)매콤양념오리 (3000)</t>
  </si>
  <si>
    <t>오뚜기)2배사과식초(900ml*15통)</t>
    <phoneticPr fontId="1" type="noConversion"/>
  </si>
  <si>
    <t>7/7삭제</t>
    <phoneticPr fontId="1" type="noConversion"/>
  </si>
  <si>
    <t>통오이김밥)투명필름 8000매*1박스 (400장*20봉)</t>
    <phoneticPr fontId="1" type="noConversion"/>
  </si>
  <si>
    <t>[냉동] 얇은고명지단H700G</t>
  </si>
  <si>
    <t>7/21신상</t>
    <phoneticPr fontId="1" type="noConversion"/>
  </si>
  <si>
    <t>[상온] FF소프트통식빵</t>
  </si>
  <si>
    <t>[냉장] 다진맛김치(PBOX) 10KG*2개입</t>
  </si>
  <si>
    <t>참치김치볶음김밥 500매*12봉</t>
    <phoneticPr fontId="1" type="noConversion"/>
  </si>
  <si>
    <t>[냉장] 오삼불고기소스(PBOX) 2KG*10개입</t>
  </si>
  <si>
    <t xml:space="preserve">[상온] 더원씨푸드)1/2절김 200매*30개입 </t>
  </si>
  <si>
    <t>[냉동] 선진)선진오징어제육 PK(2,000g*6PK)</t>
  </si>
  <si>
    <t>더큰)오징어&amp;제육깻잎쌈밥</t>
  </si>
  <si>
    <t>선진FS(리테일)</t>
  </si>
  <si>
    <t>이달의도시락8월(혜자편) (1500)</t>
    <phoneticPr fontId="1" type="noConversion"/>
  </si>
  <si>
    <t>이달의도시락8월(혜자편) (1000장*1롤)</t>
    <phoneticPr fontId="1" type="noConversion"/>
  </si>
  <si>
    <t>[냉장] 찜닭용소스 (3kg*5ea)</t>
  </si>
  <si>
    <t>[냉장]땡초간장소스(PBOX) 2KG*10개입</t>
  </si>
  <si>
    <t>[냉동]요리가편한쵸핑햄1kgPK </t>
  </si>
  <si>
    <t>[상온]도시락용재래김2g*10ea</t>
  </si>
  <si>
    <t>8/4신상</t>
    <phoneticPr fontId="1" type="noConversion"/>
  </si>
  <si>
    <t>[냉장]진미채견과무침(PBOX) 1KG*15봉</t>
  </si>
  <si>
    <t>[상온] 스위트콘 (3kg*6ea)</t>
  </si>
  <si>
    <t>[냉장] 통통한칼집소시지 PK(990g)</t>
  </si>
  <si>
    <t xml:space="preserve">삼성웰스토어 </t>
    <phoneticPr fontId="1" type="noConversion"/>
  </si>
  <si>
    <t>[냉동]슈레드치즈(알파플러스7F) 2.5KG*4개입</t>
  </si>
  <si>
    <t>[상온] 오이피클랠리쉬</t>
    <phoneticPr fontId="1" type="noConversion"/>
  </si>
  <si>
    <t>두레)ET-302308호(C)PET/에코젠 50개입*2줄</t>
  </si>
  <si>
    <t>두레)DRG-2호(B)PP/진한우드 200개입</t>
  </si>
  <si>
    <t>[상온]치킨난방용마요BOX(2kg*5ea)</t>
  </si>
  <si>
    <t>샐</t>
    <phoneticPr fontId="1" type="noConversion"/>
  </si>
  <si>
    <t>[냉장] 살사후실리샐러드(1kg*10봉)</t>
  </si>
  <si>
    <t>[냉장] 청양고추(1kg*5ea)</t>
  </si>
  <si>
    <t>정우)5찬도시락뚜껑C(김O) 320개입 (80ea*4pk) [PP]</t>
  </si>
  <si>
    <t>정우)PP]5찬도시락뚜껑A(김X) 80개입*4줄</t>
  </si>
  <si>
    <t>골드)GFS]무스비)햄&amp;참치김치볶음밥 5000매*1롤</t>
  </si>
  <si>
    <t>골드)GFS]무스비) 햄&amp;청양불고기 5000매*1롤</t>
  </si>
  <si>
    <t>[상온]구운김 김가루 500G*5개입</t>
  </si>
  <si>
    <t>[냉장]숯불갈비맛소스_2kg 행복한맛남</t>
  </si>
  <si>
    <t>[냉동]도톰한멘츠카츠S50 PK(50g*20ea)</t>
  </si>
  <si>
    <t>두레)★GS-89-1호 뚜껑 공용/비빔밥 조리정사각(중) 100개입*4줄</t>
  </si>
  <si>
    <t>두레)GS-89호 용기(검정) 100개입*4줄 </t>
  </si>
  <si>
    <t>두부김치제육</t>
    <phoneticPr fontId="1" type="noConversion"/>
  </si>
  <si>
    <t>두부김치제육용기 (100ea*4pk/box)</t>
  </si>
  <si>
    <t>두부김치제육뚜껑 (100ea*4pk/box)</t>
  </si>
  <si>
    <t>[냉동] 반숙계란후라이 (900g( 45g* 20개)*8봉)-변경</t>
  </si>
  <si>
    <t>[냉동]한입직화 떡갈비(20g*50ea)*10봉</t>
  </si>
  <si>
    <t>[냉동] 크레잇직화함박스테이크</t>
    <phoneticPr fontId="1" type="noConversion"/>
  </si>
  <si>
    <t>D+3</t>
    <phoneticPr fontId="1" type="noConversion"/>
  </si>
  <si>
    <t>[냉동] 알찬해물부추전 (1kg(30g*33ea) * 5pk)</t>
  </si>
  <si>
    <t>[냉동]계란옷입은고기완자(1kg*6)</t>
  </si>
  <si>
    <t>대체</t>
    <phoneticPr fontId="1" type="noConversion"/>
  </si>
  <si>
    <t>두부김치제육 (1000)</t>
  </si>
  <si>
    <t>비빔참치우동(1000)</t>
  </si>
  <si>
    <t>맘스터치</t>
    <phoneticPr fontId="1" type="noConversion"/>
  </si>
  <si>
    <t>[냉동]크리스피 순살치킨 1kg(저온)BOX(1kg*10ea)</t>
  </si>
  <si>
    <t>[냉장]김밥용진미채무침(PBOX) 1KG*15봉</t>
  </si>
  <si>
    <t>[냉장]매콤흑당갈비치킨소스(PBOX) 2KG*10개입</t>
  </si>
  <si>
    <t>[냉장]프릴아이스 4KG</t>
  </si>
  <si>
    <t>어그레이트</t>
    <phoneticPr fontId="1" type="noConversion"/>
  </si>
  <si>
    <t>8/25신상</t>
    <phoneticPr fontId="1" type="noConversion"/>
  </si>
  <si>
    <t>농심태경</t>
    <phoneticPr fontId="1" type="noConversion"/>
  </si>
  <si>
    <t>[상온] 비빔소스[30g*400ea(소포장)]</t>
    <phoneticPr fontId="1" type="noConversion"/>
  </si>
  <si>
    <t>[상온] 진골뱅이(300g*24ea)</t>
  </si>
  <si>
    <t>쯔양닭강정용기 (50ea*4pk/box)</t>
  </si>
  <si>
    <t>쯔양닭강정뚜껑 (50ea*4pk/box)</t>
  </si>
  <si>
    <t>쯔양닭강정내피 (400ea*3pk/box)</t>
  </si>
  <si>
    <t>쯔양)흑당치킨 (1000)</t>
  </si>
  <si>
    <t>필름)진미채치즈김밥 500매*12봉</t>
  </si>
  <si>
    <t>[상온] 청정원)진간장골드(13L)</t>
  </si>
  <si>
    <t>9/1신상</t>
    <phoneticPr fontId="1" type="noConversion"/>
  </si>
  <si>
    <t>[냉장]스윗닭강정소스(PBOX) 2KG*10개입</t>
  </si>
  <si>
    <t>[냉동]유채나물무침(PBOX) 1KG*10개입</t>
    <phoneticPr fontId="1" type="noConversion"/>
  </si>
  <si>
    <t>D-2</t>
    <phoneticPr fontId="1" type="noConversion"/>
  </si>
  <si>
    <t>0/1신상</t>
  </si>
  <si>
    <t>4/1신상</t>
  </si>
  <si>
    <t>합/1신상</t>
  </si>
  <si>
    <t>[냉장]계란말이G900gBOX(900g*10pk)</t>
  </si>
  <si>
    <t>SPC삼립</t>
  </si>
  <si>
    <t>이달의도시락9월(한가위편)(1000)</t>
    <phoneticPr fontId="1" type="noConversion"/>
  </si>
  <si>
    <t>26추석9월 뚜껑 (100ea*4pk/box)</t>
  </si>
  <si>
    <t>26추석9월 외피 (100ea*4pk/box)</t>
  </si>
  <si>
    <t>26추석9월 용기(9칸) (100ea*4pk/box)</t>
  </si>
  <si>
    <t>[냉동]고추장돼지불고기A(파우치)(냉동) PK(2kg)</t>
  </si>
  <si>
    <t>[냉동] 옥수수전(1kg*5봉)(30g*33개)</t>
  </si>
  <si>
    <t>[냉동] 한입오미산적(1kg*4봉)(24*46개)</t>
  </si>
  <si>
    <t>송원기공</t>
    <phoneticPr fontId="1" type="noConversion"/>
  </si>
  <si>
    <t>송원기공)베이킹컵 400개입*50줄</t>
  </si>
  <si>
    <t>하늘푸드</t>
    <phoneticPr fontId="1" type="noConversion"/>
  </si>
  <si>
    <t>[냉동]떡강정(1kg*10봉)(1봉=150ea)</t>
  </si>
  <si>
    <t>[냉동] 핫도그번 ((1봉*6EA)*6봉))</t>
    <phoneticPr fontId="1" type="noConversion"/>
  </si>
  <si>
    <t>NEW혜자)반반제육 (1000장*1롤)</t>
  </si>
  <si>
    <t>근본김밥&amp;닭강정뚜껑(100ea*8pk/box)</t>
  </si>
  <si>
    <t>뚜껑</t>
    <phoneticPr fontId="1" type="noConversion"/>
  </si>
  <si>
    <t>근본김밥&amp;달강정</t>
    <phoneticPr fontId="1" type="noConversion"/>
  </si>
  <si>
    <t>쯔양닭강정</t>
    <phoneticPr fontId="1" type="noConversion"/>
  </si>
  <si>
    <t>9월도시락</t>
    <phoneticPr fontId="1" type="noConversion"/>
  </si>
  <si>
    <t>정우)근본김밥용기 120개입*8줄 </t>
  </si>
  <si>
    <t>[상온]이금기_팬더굴소스(PE) 2.4KG</t>
  </si>
  <si>
    <t>[냉동]간장돼지불고기A(파우치) PK(2kg)★(D-2)</t>
  </si>
  <si>
    <t>대체</t>
    <phoneticPr fontId="1" type="noConversion"/>
  </si>
  <si>
    <t>[냉장]경양식돈까스소스B(PBOX) 30G*420개입</t>
  </si>
  <si>
    <t>[냉동]더진한고추장돼지불고기2kg</t>
  </si>
  <si>
    <t>[냉동] 맥적구이용양념육(종이BOX) 2KG*7팩</t>
  </si>
  <si>
    <t>[상온]다담/강된장찌개양념(2kg*6ea)</t>
  </si>
  <si>
    <t>[상온]혜자도시락김(소포장)</t>
  </si>
  <si>
    <t>[냉동]갈비함박40 PK(40g*25ea)</t>
  </si>
  <si>
    <t>혜자)두툼돈까스&amp;순창제육도시락</t>
  </si>
  <si>
    <t>상지인터내쇼날</t>
    <phoneticPr fontId="1" type="noConversion"/>
  </si>
  <si>
    <t>혜자)7칸공용용기(100ea*4pk/box)</t>
  </si>
  <si>
    <t>D+2</t>
    <phoneticPr fontId="1" type="noConversion"/>
  </si>
  <si>
    <t>혜자)7칸공용뚜껑(100ea*4pk/box)</t>
  </si>
  <si>
    <t>용기</t>
    <phoneticPr fontId="1" type="noConversion"/>
  </si>
  <si>
    <t>뚜껑</t>
    <phoneticPr fontId="1" type="noConversion"/>
  </si>
  <si>
    <t>i-printing</t>
    <phoneticPr fontId="1" type="noConversion"/>
  </si>
  <si>
    <t>더큰)맥적구이한상(3000)</t>
  </si>
  <si>
    <t>스티커</t>
    <phoneticPr fontId="1" type="noConversion"/>
  </si>
  <si>
    <t>[냉장] 카츠도시락용소스 (3kg*5ea)</t>
  </si>
  <si>
    <t>[상온] 큐원백설탕(15kg)</t>
  </si>
  <si>
    <t>롯데웰푸드(네트웍스)</t>
    <phoneticPr fontId="1" type="noConversion"/>
  </si>
  <si>
    <t>[상온]데리야끼소스 2KG*6개입</t>
  </si>
  <si>
    <t>[상온]해찬들고추장14kg</t>
    <phoneticPr fontId="1" type="noConversion"/>
  </si>
  <si>
    <t>[냉장] 만능마카로니샐러드(1kg*10봉)</t>
  </si>
  <si>
    <t>[냉장]건새우복음(냉장)BOX(1KG*10EA)</t>
  </si>
  <si>
    <t>[냉장]볶음김치G(냉장)BOX(5KG*3EA)</t>
  </si>
  <si>
    <t>제이제이</t>
    <phoneticPr fontId="1" type="noConversion"/>
  </si>
  <si>
    <t>[냉동]통살새우볼(15g*60)*10pk</t>
  </si>
  <si>
    <t>제이아이</t>
    <phoneticPr fontId="1" type="noConversion"/>
  </si>
  <si>
    <t>[냉동]목살스테이크양념육(2kg*6ea)</t>
  </si>
  <si>
    <t>[냉동]순살치킨까스J(20ea*8pk)</t>
  </si>
  <si>
    <t>[냉동]통등심돈까스J(10ea*10pk)</t>
  </si>
  <si>
    <t>[냉동]후지(3kg*4pk)</t>
  </si>
  <si>
    <t>[냉동]곤드레나물(PBOX) 1KG*10개입 </t>
  </si>
  <si>
    <t>[냉장]새콤한채코울슬로우(1kg*12pk)</t>
  </si>
  <si>
    <t>일미농수산</t>
    <phoneticPr fontId="1" type="noConversion"/>
  </si>
  <si>
    <t>샐</t>
    <phoneticPr fontId="1" type="noConversion"/>
  </si>
  <si>
    <t>[상온] 샘표금F3진간장 (1.7L*6ea)</t>
  </si>
  <si>
    <t>[상온] 매원(1.5L*8ea)</t>
  </si>
  <si>
    <t>[상온] 미향(1.8L*6ea)</t>
  </si>
  <si>
    <t>골드)GFS]간지 6*6 1,000매*1봉</t>
  </si>
  <si>
    <t>아이투알)혜자)제육 난반 용기 400EA</t>
  </si>
  <si>
    <t>아이투알)★혜자)한상가득 한식,중식 뚜껑 400EA</t>
  </si>
  <si>
    <t>혜자)통등심돈까스&amp;치킨까스도시락</t>
  </si>
  <si>
    <t>[냉장]빨간어묵볶이소스(PBOX) 2KG*10개입 </t>
  </si>
  <si>
    <t>두레)DR-종이칼라베이킹컵1호</t>
  </si>
  <si>
    <t>정우)근본김밥뚜껑 150개입*6줄 </t>
    <phoneticPr fontId="1" type="noConversion"/>
  </si>
  <si>
    <t>[상온] 국내산들기름1.8L*6</t>
  </si>
  <si>
    <t>[냉장]실비오그락지1KG(냉장)BOX(1kg*12ea)</t>
  </si>
  <si>
    <t>[냉장]양념깻잎찜(PBOX) 1KG*15봉</t>
  </si>
  <si>
    <t>[냉장]소세지야채볶음용소스(PBOX) 2KG*10개입</t>
  </si>
  <si>
    <t>[냉동]뚝배기용돼지불고기 (2kg*5봉)</t>
  </si>
  <si>
    <t>[냉동] 코주부채어묵 (5kg*2ea)</t>
  </si>
  <si>
    <t>사조오양</t>
    <phoneticPr fontId="1" type="noConversion"/>
  </si>
  <si>
    <t>[냉동]궁채느타리들깨볶음(PBOX) 1KG*10개입 </t>
    <phoneticPr fontId="1" type="noConversion"/>
  </si>
  <si>
    <t>[냉동]무나물볶음(PBOX) 1KG*10봉 </t>
  </si>
  <si>
    <t>[냉장]마카로니샐러드(1kg*10봉)</t>
  </si>
  <si>
    <t>[냉동]김밥용남도떡갈비140 PK(140g*10ea)★ </t>
  </si>
  <si>
    <t>[냉장]8mm김밥단무지2.5kg(냉장)BOX(2.5KG*4EA)</t>
  </si>
  <si>
    <t>[상온]1/2김(100*190mm)(실온)PK(200EA)*50pk</t>
  </si>
  <si>
    <t>두툼돈까스</t>
    <phoneticPr fontId="1" type="noConversion"/>
  </si>
  <si>
    <t>통등심돈까스</t>
    <phoneticPr fontId="1" type="noConversion"/>
  </si>
  <si>
    <t>2.8파이 김밥용기</t>
  </si>
  <si>
    <t>2.8파이 김밥뚜껑</t>
  </si>
  <si>
    <t>용기</t>
    <phoneticPr fontId="1" type="noConversion"/>
  </si>
  <si>
    <t>꼬마김밥</t>
    <phoneticPr fontId="1" type="noConversion"/>
  </si>
  <si>
    <t>꼬마김밥</t>
    <phoneticPr fontId="1" type="noConversion"/>
  </si>
  <si>
    <t>D+3</t>
  </si>
  <si>
    <t>[냉장]겨자소스(PBOX) 15G*800개입</t>
  </si>
  <si>
    <t>[냉장]광장김밥조미액FS(PBOX) 2KG*10개입</t>
  </si>
  <si>
    <t>아워홈(리테일)</t>
  </si>
  <si>
    <t>아워홈(리테일)</t>
    <phoneticPr fontId="1" type="noConversion"/>
  </si>
  <si>
    <t>[냉장]부산어묵 볼 행복한맛남 PK.(1kg)</t>
  </si>
  <si>
    <t>이달의도시락10월</t>
  </si>
  <si>
    <t>i-printing</t>
  </si>
  <si>
    <t>용기)에그햄꼬마김밥</t>
  </si>
  <si>
    <t>커플)곱창김참치마요&amp;전주비빔</t>
  </si>
  <si>
    <t>스티커</t>
  </si>
  <si>
    <t>구분</t>
  </si>
  <si>
    <t>거래처</t>
  </si>
  <si>
    <t>ID</t>
  </si>
  <si>
    <t>제품명</t>
  </si>
  <si>
    <t>입고일</t>
  </si>
  <si>
    <t>일 사용량
(박스)</t>
  </si>
  <si>
    <t>유통기한</t>
  </si>
  <si>
    <t>박스</t>
  </si>
  <si>
    <t>낱개</t>
  </si>
  <si>
    <t>현재고(봉)</t>
  </si>
  <si>
    <t>입수량</t>
  </si>
  <si>
    <t>발주일</t>
  </si>
  <si>
    <t>봉단가</t>
  </si>
  <si>
    <t>금액</t>
  </si>
  <si>
    <t>농심태경(금행)</t>
  </si>
  <si>
    <t>다미푸드텍(금행)</t>
  </si>
  <si>
    <t>대상(리테일)</t>
  </si>
  <si>
    <t>동방푸드마스타(금행)</t>
  </si>
  <si>
    <t/>
  </si>
  <si>
    <t>매일유업(리테일)</t>
  </si>
  <si>
    <t>반찬단지(리테일)</t>
  </si>
  <si>
    <t>부림</t>
  </si>
  <si>
    <t>[냉장] 당근채(4kg*3봉 - 1박스)</t>
  </si>
  <si>
    <t>변경</t>
  </si>
  <si>
    <t>[냉장] 깍두기(10kg*box)</t>
  </si>
  <si>
    <t>[냉장] 아워홈)채어묵Ⅲ (1kg*10ea)</t>
  </si>
  <si>
    <t>영풍김밥용</t>
  </si>
  <si>
    <t>엠디에스코리아
(CJ)</t>
  </si>
  <si>
    <t>이레팜(네트웍스)</t>
  </si>
  <si>
    <t>[냉장] 계란구이(세절)(1020g*12봉)</t>
  </si>
  <si>
    <t>이우유통</t>
  </si>
  <si>
    <t>[냉장] 송송오이피클(1kg*6ea)</t>
  </si>
  <si>
    <t>진주햄(동원)</t>
  </si>
  <si>
    <t>대체품</t>
  </si>
  <si>
    <t>한성기업
(동원)</t>
  </si>
  <si>
    <t>[냉장] 게맛살(1.2kg*10봉)</t>
  </si>
  <si>
    <t>풍림푸드(리테일)</t>
  </si>
  <si>
    <t>태원식품(금행)</t>
  </si>
  <si>
    <t>[냉장] 마라상궈소스(2kg*5ea)</t>
  </si>
  <si>
    <t>일미농수산</t>
  </si>
  <si>
    <t>순성)당근채(국내산) (4kg*3pk/box)</t>
  </si>
  <si>
    <t>순성김밥</t>
  </si>
  <si>
    <t>우엉조림용 우엉채(중국산) (4kg*2pk)</t>
  </si>
  <si>
    <t>사조오양</t>
  </si>
  <si>
    <t>사조오양)하이비엔나(1kg*10ea)</t>
  </si>
  <si>
    <t>즉석스모크햄세절(1kg*10ea)</t>
  </si>
  <si>
    <t>[냉장] 마파두부소스(3kg*5ea)</t>
  </si>
  <si>
    <t>[냉장]닭갈비소스-J (3kg*5ea)</t>
  </si>
  <si>
    <t>한울(네트웍스)</t>
  </si>
  <si>
    <t>[냉장] 볶음김치골드(5kg)*3</t>
  </si>
  <si>
    <t>[냉장] 간장소스K(2kg*10봉)</t>
  </si>
  <si>
    <t>[냉장] 고추장불고기소스(2kg*10봉)</t>
  </si>
  <si>
    <t>7/7삭제</t>
  </si>
  <si>
    <t>[냉장] 돈까스소스(소포장) 30g*420개입</t>
  </si>
  <si>
    <t>[냉장] 매콤닭강정소스(2kg*10봉)</t>
  </si>
  <si>
    <t>6/26삭제</t>
  </si>
  <si>
    <t>9/1신상</t>
  </si>
  <si>
    <t>[냉장] 쏘야볶음소스H (2kg*10ea)</t>
  </si>
  <si>
    <t>[냉장] 우엉볶음용간장소스(저염)(2kg*10ea)</t>
  </si>
  <si>
    <t>[냉장] 조미식초소스(2kg*10봉)</t>
  </si>
  <si>
    <t>동방푸드마스타
(금행)</t>
  </si>
  <si>
    <t>[냉장] 어묵볶음용소스-FS(3kg*4봉)</t>
  </si>
  <si>
    <t>[냉장] 우엉채 (3kg×5pk)-반찬단지</t>
  </si>
  <si>
    <t>어그레이트</t>
  </si>
  <si>
    <t>8/25신상</t>
  </si>
  <si>
    <t>[냉장] 깐대파(2kg/box)</t>
  </si>
  <si>
    <t>채</t>
  </si>
  <si>
    <t>[냉장] 깐도라지채(2kg*1봉 - 10kg*1box)</t>
  </si>
  <si>
    <t>[냉장] 깐양파(10kg*1box)</t>
  </si>
  <si>
    <t>[냉장] 깐쪽파 (1kg*2ea)</t>
  </si>
  <si>
    <t>[냉장] 깻잎(2kg*1box)</t>
  </si>
  <si>
    <t>[냉장] 당근(10kg*1box)</t>
  </si>
  <si>
    <t>224박스</t>
  </si>
  <si>
    <t>[냉장] 마늘쫑(7kg*1box)</t>
  </si>
  <si>
    <t>냉동김밥</t>
  </si>
  <si>
    <t>[냉장] 양배추(10kg*box)</t>
  </si>
  <si>
    <t>[냉장] 온천콩나물(4kg*1box)</t>
  </si>
  <si>
    <t>현대그린푸드(네트웍스)</t>
  </si>
  <si>
    <t>[냉동] 건새우마늘쫑볶음(1kg*6ea)</t>
  </si>
  <si>
    <t>[냉동] 열무나물(1KG*6봉) - 현대그린</t>
  </si>
  <si>
    <t>후레시미트(네트웍스)</t>
  </si>
  <si>
    <t>[냉동]유채나물무침(PBOX) 1KG*10개입</t>
  </si>
  <si>
    <t>[냉동]궁채느타리들깨볶음(PBOX) 1KG*10개입 </t>
  </si>
  <si>
    <t>씨제이제일제당(CJ)</t>
  </si>
  <si>
    <t>[냉동] 크레잇직화함박스테이크</t>
  </si>
  <si>
    <t>대상(DS유통)</t>
  </si>
  <si>
    <t>대체</t>
  </si>
  <si>
    <t>맘스터치</t>
  </si>
  <si>
    <t>사옹원</t>
  </si>
  <si>
    <t>[냉동] 냉동비프불고기토핑(1kg*10봉)</t>
  </si>
  <si>
    <t>[냉동] 찌개용어슷후랑크(1kg*10ea)</t>
  </si>
  <si>
    <t>[냉동] 70미니등심돈까스(1.05kg*8봉)-리뉴얼</t>
  </si>
  <si>
    <t>[냉동] 치킨스테이크 행복한맛남 (1.2kg*8ea)</t>
  </si>
  <si>
    <t>야미푸드(진보)</t>
  </si>
  <si>
    <t>[냉동] 계란옷입은소시지전 (1kg*10pk)</t>
  </si>
  <si>
    <t>엠아이(네트웍스)</t>
  </si>
  <si>
    <t>에프와이지(금행)</t>
  </si>
  <si>
    <t>[냉동] 두부두루치기용다짐육(2kg*6ea)</t>
  </si>
  <si>
    <t>와이디에스(대선)</t>
  </si>
  <si>
    <t>국일(이우)</t>
  </si>
  <si>
    <t>[냉동] 코주부사각어묵 (5kg*2ea)</t>
  </si>
  <si>
    <t>D-2</t>
  </si>
  <si>
    <t>푸른원(리테일)</t>
  </si>
  <si>
    <t>[냉동] 스크램블드에그(1kg*10) 업무용</t>
  </si>
  <si>
    <t>하늘푸드</t>
  </si>
  <si>
    <t>/6</t>
  </si>
  <si>
    <t>[냉동] 핫도그번 ((1봉*6EA)*6봉))</t>
  </si>
  <si>
    <t>제이제이</t>
  </si>
  <si>
    <t>제이아이</t>
  </si>
  <si>
    <t>평화영농조합</t>
  </si>
  <si>
    <t>그래도푸드(리테일)</t>
  </si>
  <si>
    <t>[상온] 그래도푸드)노란단무지13mm (2.5kg*4ea)</t>
  </si>
  <si>
    <t>농심태경</t>
  </si>
  <si>
    <t>[상온] 비빔소스[30g*400ea(소포장)]</t>
  </si>
  <si>
    <t>대상(네트웍스)</t>
  </si>
  <si>
    <t>더원씨푸드
(네트웍스)</t>
  </si>
  <si>
    <t>6/2삭제</t>
  </si>
  <si>
    <t>조리실</t>
  </si>
  <si>
    <t>롯데웰푸드(네트웍스)</t>
  </si>
  <si>
    <t>만전식품
(네트웍스)</t>
  </si>
  <si>
    <t>[상온] 점보삼각김(투명패턴) 100매*32개입</t>
  </si>
  <si>
    <t>사조대림</t>
  </si>
  <si>
    <t>삼성웰스토리
(네트웍스)</t>
  </si>
  <si>
    <t>[상온] 고운고추분 1kg*20봉</t>
  </si>
  <si>
    <t>성경(네트웍스)</t>
  </si>
  <si>
    <t>씨제이제일제당
(CJ)</t>
  </si>
  <si>
    <t>[상온] 대두유(18L*통)</t>
  </si>
  <si>
    <t>[상온] 스팸(340g*20캔)</t>
  </si>
  <si>
    <t>[상온] 하얀설탕(3kg*6봉)</t>
  </si>
  <si>
    <t>[상온]해찬들고추장14kg</t>
  </si>
  <si>
    <t>오뚜기(리테일)</t>
  </si>
  <si>
    <t>[상온] 오뚜기GS마요네즈 (10kg*1ea)</t>
  </si>
  <si>
    <t>이너피스(네트웍스)</t>
  </si>
  <si>
    <t>[상온] 화풍표고버섯채(종이BOX) 2.84KG*6캔</t>
  </si>
  <si>
    <t>크레잇)허니머스타드드레싱(2kg*6ea)</t>
  </si>
  <si>
    <t>NS유통</t>
  </si>
  <si>
    <t>[상온] 진간장(1.8L*6통)-NS유통</t>
  </si>
  <si>
    <t>더원씨푸드</t>
  </si>
  <si>
    <t xml:space="preserve">[상온] 구운롤김 600매*8롤 </t>
  </si>
  <si>
    <t>슈퍼/냉동김밥</t>
  </si>
  <si>
    <t>에스엔피인터내셔널</t>
  </si>
  <si>
    <t>[상온] 살코기참치(3kg*5팩)-S&amp;P</t>
  </si>
  <si>
    <t>[상온] 농가참기름(소포장) (3ml*2000ea)-이우유통</t>
  </si>
  <si>
    <t>[상온] 미원(1kg*20봉)</t>
  </si>
  <si>
    <t>[상온] 서원)K2순후추(200g*50ea)</t>
  </si>
  <si>
    <t>[상온] 오이피클랠리쉬</t>
  </si>
  <si>
    <t>[상온] 이온물엿 (8L*1통)</t>
  </si>
  <si>
    <t>업체변경</t>
  </si>
  <si>
    <t>[상온] 중국산정제염(25kg*포)-이우유통</t>
  </si>
  <si>
    <t>[상온] 혼다시(1kg*12통)</t>
  </si>
  <si>
    <t>일미농수산(금행)</t>
  </si>
  <si>
    <t>청학에프앤씨(리테일)</t>
  </si>
  <si>
    <t>[상온] 검은깨(1kg*10ea)</t>
  </si>
  <si>
    <t>[상온] 청학/볶음참깨(1kg*10봉)</t>
  </si>
  <si>
    <t>[상온] 청학/청학동참기름(1.8L*6EA)</t>
  </si>
  <si>
    <t>[상온] 청학/청학동참기름(16.5kg/통)</t>
  </si>
  <si>
    <t>푸드머스(네트웍스)</t>
  </si>
  <si>
    <t>한성기업(동원)</t>
  </si>
  <si>
    <t>아림식자재</t>
  </si>
  <si>
    <t>오뚜기)2배사과식초(900ml*15통)</t>
  </si>
  <si>
    <t>쏘이마루</t>
  </si>
  <si>
    <t>쏘이마루)콩단백(1kg*10pk)</t>
  </si>
  <si>
    <t>움트리)와사비분말(200g*10pk)</t>
  </si>
  <si>
    <t>대상(직배)</t>
  </si>
  <si>
    <t>조청쌀엿(5kg*4ea)</t>
  </si>
  <si>
    <t>e-printing</t>
    <phoneticPr fontId="1" type="noConversion"/>
  </si>
  <si>
    <t>[냉장]W갈릭마요소스(PBOX) 25G*480개입</t>
  </si>
  <si>
    <t>이우유통</t>
    <phoneticPr fontId="1" type="noConversion"/>
  </si>
  <si>
    <t>[냉장] 신슈단무지 찹핑 (1kg*10pk )</t>
  </si>
  <si>
    <t>[냉장] 신슈단무지 찹핑 (1kg*10pk )</t>
    <phoneticPr fontId="1" type="noConversion"/>
  </si>
  <si>
    <t>커</t>
    <phoneticPr fontId="1" type="noConversion"/>
  </si>
  <si>
    <t>[상온]빵가루(상온)PK(10kg)</t>
  </si>
  <si>
    <t>흥선</t>
  </si>
  <si>
    <t>흥선</t>
    <phoneticPr fontId="1" type="noConversion"/>
  </si>
  <si>
    <t>[상온]곱창삼각김밥김소프트PK(125g)</t>
  </si>
  <si>
    <t>[냉동]사조오양)굿픽한입물만두</t>
  </si>
  <si>
    <t>[냉장]숯불갈비맛스모크햄세절48(1KG*10)</t>
  </si>
  <si>
    <t>커</t>
    <phoneticPr fontId="1" type="noConversion"/>
  </si>
  <si>
    <t>[상온] 냉면용흰김치 2.8kg*4ea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</si>
</sst>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,##0.0"/>
    <numFmt numFmtId="177" formatCode="0.00_);[Red]\(0.00\)"/>
    <numFmt numFmtId="178" formatCode="mm&quot;월&quot;\ dd&quot;일&quot;"/>
    <numFmt numFmtId="179" formatCode="0.0_);[Red]\(0.0\)"/>
    <numFmt numFmtId="180" formatCode="_-* #,##0.0_-;\-* #,##0.0_-;_-* &quot;-&quot;_-;_-@_-"/>
    <numFmt numFmtId="181" formatCode="0.000_);[Red]\(0.000\)"/>
    <numFmt numFmtId="182" formatCode="_-* #,##0.00_-;\-* #,##0.00_-;_-* &quot;-&quot;_-;_-@_-"/>
    <numFmt numFmtId="183" formatCode="0.0000_);[Red]\(0.0000\)"/>
    <numFmt numFmtId="184" formatCode="0.00\ &quot;봉&quot;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나눔스퀘어라운드 Regular"/>
      <family val="2"/>
      <charset val="129"/>
    </font>
    <font>
      <sz val="11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26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2"/>
      <color rgb="FF0000FF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</cellStyleXfs>
  <cellXfs count="277">
    <xf numFmtId="0" fontId="0" fillId="0" borderId="0" xfId="0">
      <alignment vertical="center"/>
    </xf>
    <xf numFmtId="3" fontId="6" fillId="0" borderId="1" xfId="1" applyNumberFormat="1" applyFont="1" applyBorder="1" applyAlignment="1" applyProtection="1">
      <alignment horizontal="left" vertical="center" shrinkToFit="1"/>
      <protection locked="0"/>
    </xf>
    <xf numFmtId="3" fontId="6" fillId="2" borderId="1" xfId="1" applyNumberFormat="1" applyFont="1" applyFill="1" applyBorder="1" applyAlignment="1" applyProtection="1">
      <alignment horizontal="left" vertical="center" shrinkToFit="1"/>
      <protection locked="0"/>
    </xf>
    <xf numFmtId="0" fontId="9" fillId="0" borderId="1" xfId="1" applyFont="1" applyBorder="1" applyAlignment="1" applyProtection="1">
      <alignment horizontal="center" vertical="center" shrinkToFit="1"/>
      <protection locked="0"/>
    </xf>
    <xf numFmtId="3" fontId="9" fillId="0" borderId="1" xfId="1" applyNumberFormat="1" applyFont="1" applyBorder="1" applyAlignment="1" applyProtection="1">
      <alignment horizontal="center" vertical="center" shrinkToFit="1"/>
      <protection locked="0"/>
    </xf>
    <xf numFmtId="3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10" fillId="0" borderId="0" xfId="0" applyFont="1">
      <alignment vertical="center"/>
    </xf>
    <xf numFmtId="3" fontId="9" fillId="0" borderId="1" xfId="1" applyNumberFormat="1" applyFont="1" applyBorder="1" applyAlignment="1" applyProtection="1">
      <alignment horizontal="left" vertical="center" shrinkToFit="1"/>
      <protection locked="0"/>
    </xf>
    <xf numFmtId="3" fontId="9" fillId="2" borderId="1" xfId="1" applyNumberFormat="1" applyFont="1" applyFill="1" applyBorder="1" applyAlignment="1" applyProtection="1">
      <alignment horizontal="left" vertical="center" shrinkToFit="1"/>
      <protection locked="0"/>
    </xf>
    <xf numFmtId="3" fontId="9" fillId="3" borderId="1" xfId="1" applyNumberFormat="1" applyFont="1" applyFill="1" applyBorder="1" applyAlignment="1" applyProtection="1">
      <alignment horizontal="left" vertical="center" shrinkToFit="1"/>
      <protection locked="0"/>
    </xf>
    <xf numFmtId="0" fontId="6" fillId="0" borderId="1" xfId="1" applyFont="1" applyBorder="1" applyAlignment="1" applyProtection="1">
      <alignment horizontal="center" vertical="center" shrinkToFit="1"/>
      <protection locked="0"/>
    </xf>
    <xf numFmtId="3" fontId="8" fillId="0" borderId="1" xfId="1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 shrinkToFit="1"/>
      <protection locked="0"/>
    </xf>
    <xf numFmtId="3" fontId="11" fillId="0" borderId="1" xfId="1" applyNumberFormat="1" applyFont="1" applyBorder="1" applyAlignment="1" applyProtection="1">
      <alignment horizontal="center" vertical="center" shrinkToFit="1"/>
      <protection locked="0"/>
    </xf>
    <xf numFmtId="0" fontId="6" fillId="0" borderId="2" xfId="1" applyFont="1" applyBorder="1" applyAlignment="1" applyProtection="1">
      <alignment horizontal="center" vertical="center" shrinkToFit="1"/>
      <protection locked="0"/>
    </xf>
    <xf numFmtId="3" fontId="6" fillId="2" borderId="1" xfId="1" applyNumberFormat="1" applyFont="1" applyFill="1" applyBorder="1" applyAlignment="1" applyProtection="1">
      <alignment horizontal="center" vertical="center" shrinkToFit="1"/>
      <protection locked="0"/>
    </xf>
    <xf numFmtId="3" fontId="9" fillId="0" borderId="1" xfId="1" applyNumberFormat="1" applyFont="1" applyBorder="1" applyAlignment="1" applyProtection="1">
      <alignment horizontal="center" vertical="center" wrapText="1" shrinkToFit="1"/>
      <protection locked="0"/>
    </xf>
    <xf numFmtId="3" fontId="6" fillId="0" borderId="1" xfId="1" applyNumberFormat="1" applyFont="1" applyBorder="1" applyAlignment="1" applyProtection="1">
      <alignment horizontal="center" vertical="center" wrapText="1" shrinkToFit="1"/>
      <protection locked="0"/>
    </xf>
    <xf numFmtId="0" fontId="3" fillId="0" borderId="1" xfId="0" applyFont="1" applyBorder="1">
      <alignment vertical="center"/>
    </xf>
    <xf numFmtId="177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14" fillId="0" borderId="0" xfId="0" applyFont="1">
      <alignment vertical="center"/>
    </xf>
    <xf numFmtId="0" fontId="14" fillId="6" borderId="0" xfId="0" applyFont="1" applyFill="1">
      <alignment vertical="center"/>
    </xf>
    <xf numFmtId="0" fontId="16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3" fontId="9" fillId="0" borderId="1" xfId="1" applyNumberFormat="1" applyFont="1" applyBorder="1" applyAlignment="1">
      <alignment horizontal="center" vertical="center"/>
    </xf>
    <xf numFmtId="3" fontId="11" fillId="0" borderId="1" xfId="1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2" borderId="0" xfId="0" applyFont="1" applyFill="1">
      <alignment vertical="center"/>
    </xf>
    <xf numFmtId="0" fontId="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2" borderId="0" xfId="0" applyFont="1" applyFill="1">
      <alignment vertical="center"/>
    </xf>
    <xf numFmtId="0" fontId="18" fillId="2" borderId="0" xfId="0" applyFont="1" applyFill="1">
      <alignment vertical="center"/>
    </xf>
    <xf numFmtId="176" fontId="9" fillId="0" borderId="1" xfId="1" applyNumberFormat="1" applyFont="1" applyBorder="1" applyAlignment="1" applyProtection="1">
      <alignment horizontal="center" vertical="center" shrinkToFit="1"/>
      <protection locked="0"/>
    </xf>
    <xf numFmtId="0" fontId="14" fillId="5" borderId="0" xfId="0" applyFont="1" applyFill="1">
      <alignment vertical="center"/>
    </xf>
    <xf numFmtId="0" fontId="16" fillId="6" borderId="0" xfId="0" applyFont="1" applyFill="1">
      <alignment vertical="center"/>
    </xf>
    <xf numFmtId="0" fontId="16" fillId="5" borderId="0" xfId="0" applyFont="1" applyFill="1">
      <alignment vertical="center"/>
    </xf>
    <xf numFmtId="0" fontId="16" fillId="2" borderId="0" xfId="0" applyFont="1" applyFill="1">
      <alignment vertical="center"/>
    </xf>
    <xf numFmtId="0" fontId="14" fillId="7" borderId="0" xfId="0" applyFont="1" applyFill="1">
      <alignment vertical="center"/>
    </xf>
    <xf numFmtId="0" fontId="14" fillId="4" borderId="0" xfId="0" applyFont="1" applyFill="1">
      <alignment vertical="center"/>
    </xf>
    <xf numFmtId="3" fontId="6" fillId="0" borderId="3" xfId="1" applyNumberFormat="1" applyFont="1" applyBorder="1" applyAlignment="1" applyProtection="1">
      <alignment horizontal="center" vertical="center" shrinkToFit="1"/>
      <protection locked="0"/>
    </xf>
    <xf numFmtId="3" fontId="6" fillId="8" borderId="1" xfId="1" applyNumberFormat="1" applyFont="1" applyFill="1" applyBorder="1" applyAlignment="1" applyProtection="1">
      <alignment horizontal="center" vertical="center" wrapText="1" shrinkToFit="1"/>
      <protection locked="0"/>
    </xf>
    <xf numFmtId="3" fontId="6" fillId="8" borderId="1" xfId="1" applyNumberFormat="1" applyFont="1" applyFill="1" applyBorder="1" applyAlignment="1" applyProtection="1">
      <alignment horizontal="center" vertical="center" shrinkToFit="1"/>
      <protection locked="0"/>
    </xf>
    <xf numFmtId="0" fontId="6" fillId="8" borderId="1" xfId="1" applyFont="1" applyFill="1" applyBorder="1" applyAlignment="1" applyProtection="1">
      <alignment horizontal="center" vertical="center" shrinkToFit="1"/>
      <protection locked="0"/>
    </xf>
    <xf numFmtId="3" fontId="9" fillId="8" borderId="1" xfId="1" applyNumberFormat="1" applyFont="1" applyFill="1" applyBorder="1" applyAlignment="1" applyProtection="1">
      <alignment horizontal="center" vertical="center" shrinkToFit="1"/>
      <protection locked="0"/>
    </xf>
    <xf numFmtId="0" fontId="9" fillId="8" borderId="1" xfId="1" applyFont="1" applyFill="1" applyBorder="1" applyAlignment="1" applyProtection="1">
      <alignment horizontal="center" vertical="center" shrinkToFit="1"/>
      <protection locked="0"/>
    </xf>
    <xf numFmtId="3" fontId="6" fillId="8" borderId="1" xfId="1" applyNumberFormat="1" applyFont="1" applyFill="1" applyBorder="1" applyAlignment="1" applyProtection="1">
      <alignment horizontal="left" vertical="center" shrinkToFit="1"/>
      <protection locked="0"/>
    </xf>
    <xf numFmtId="0" fontId="14" fillId="0" borderId="0" xfId="0" applyFont="1" applyAlignment="1">
      <alignment horizontal="left" vertical="center"/>
    </xf>
    <xf numFmtId="3" fontId="6" fillId="3" borderId="1" xfId="1" applyNumberFormat="1" applyFont="1" applyFill="1" applyBorder="1" applyAlignment="1" applyProtection="1">
      <alignment horizontal="center" vertical="center" shrinkToFit="1"/>
      <protection locked="0"/>
    </xf>
    <xf numFmtId="3" fontId="6" fillId="3" borderId="1" xfId="1" applyNumberFormat="1" applyFont="1" applyFill="1" applyBorder="1" applyAlignment="1" applyProtection="1">
      <alignment horizontal="left" vertical="center" shrinkToFit="1"/>
      <protection locked="0"/>
    </xf>
    <xf numFmtId="0" fontId="9" fillId="8" borderId="1" xfId="0" applyFont="1" applyFill="1" applyBorder="1" applyAlignment="1">
      <alignment horizontal="center" vertical="center" shrinkToFit="1"/>
    </xf>
    <xf numFmtId="3" fontId="6" fillId="0" borderId="1" xfId="1" applyNumberFormat="1" applyFont="1" applyBorder="1" applyAlignment="1">
      <alignment horizontal="center" vertical="center" shrinkToFit="1"/>
    </xf>
    <xf numFmtId="3" fontId="9" fillId="0" borderId="1" xfId="1" applyNumberFormat="1" applyFont="1" applyBorder="1" applyAlignment="1">
      <alignment horizontal="center" vertical="center" shrinkToFit="1"/>
    </xf>
    <xf numFmtId="3" fontId="9" fillId="8" borderId="1" xfId="1" applyNumberFormat="1" applyFont="1" applyFill="1" applyBorder="1" applyAlignment="1" applyProtection="1">
      <alignment horizontal="left" vertical="center" shrinkToFit="1"/>
      <protection locked="0"/>
    </xf>
    <xf numFmtId="0" fontId="6" fillId="0" borderId="1" xfId="1" applyFont="1" applyBorder="1" applyAlignment="1" applyProtection="1">
      <alignment horizontal="left" vertical="center" shrinkToFit="1"/>
      <protection locked="0"/>
    </xf>
    <xf numFmtId="3" fontId="6" fillId="3" borderId="2" xfId="1" applyNumberFormat="1" applyFont="1" applyFill="1" applyBorder="1" applyAlignment="1" applyProtection="1">
      <alignment horizontal="center" vertical="center" shrinkToFit="1"/>
      <protection locked="0"/>
    </xf>
    <xf numFmtId="0" fontId="6" fillId="0" borderId="3" xfId="1" applyFont="1" applyBorder="1" applyAlignment="1" applyProtection="1">
      <alignment horizontal="center" vertical="center" shrinkToFit="1"/>
      <protection locked="0"/>
    </xf>
    <xf numFmtId="3" fontId="9" fillId="8" borderId="1" xfId="1" applyNumberFormat="1" applyFont="1" applyFill="1" applyBorder="1" applyAlignment="1" applyProtection="1">
      <alignment horizontal="center" vertical="center" wrapText="1" shrinkToFit="1"/>
      <protection locked="0"/>
    </xf>
    <xf numFmtId="0" fontId="9" fillId="8" borderId="1" xfId="0" applyFont="1" applyFill="1" applyBorder="1" applyAlignment="1">
      <alignment horizontal="left" vertical="center"/>
    </xf>
    <xf numFmtId="14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>
      <alignment vertical="center"/>
    </xf>
    <xf numFmtId="3" fontId="6" fillId="8" borderId="1" xfId="1" applyNumberFormat="1" applyFont="1" applyFill="1" applyBorder="1" applyAlignment="1" applyProtection="1">
      <alignment horizontal="left" vertical="center"/>
      <protection locked="0"/>
    </xf>
    <xf numFmtId="4" fontId="9" fillId="8" borderId="1" xfId="1" applyNumberFormat="1" applyFont="1" applyFill="1" applyBorder="1" applyAlignment="1" applyProtection="1">
      <alignment horizontal="center" vertical="center" shrinkToFit="1"/>
      <protection locked="0"/>
    </xf>
    <xf numFmtId="3" fontId="9" fillId="2" borderId="1" xfId="1" applyNumberFormat="1" applyFont="1" applyFill="1" applyBorder="1" applyAlignment="1" applyProtection="1">
      <alignment horizontal="center" vertical="center" wrapText="1" shrinkToFit="1"/>
      <protection locked="0"/>
    </xf>
    <xf numFmtId="176" fontId="9" fillId="3" borderId="1" xfId="1" applyNumberFormat="1" applyFont="1" applyFill="1" applyBorder="1" applyAlignment="1" applyProtection="1">
      <alignment horizontal="center" vertical="center" shrinkToFit="1"/>
      <protection locked="0"/>
    </xf>
    <xf numFmtId="3" fontId="9" fillId="3" borderId="1" xfId="1" applyNumberFormat="1" applyFont="1" applyFill="1" applyBorder="1" applyAlignment="1" applyProtection="1">
      <alignment horizontal="center" vertical="center" shrinkToFit="1"/>
      <protection locked="0"/>
    </xf>
    <xf numFmtId="3" fontId="9" fillId="3" borderId="1" xfId="1" applyNumberFormat="1" applyFont="1" applyFill="1" applyBorder="1" applyAlignment="1" applyProtection="1">
      <alignment horizontal="center" vertical="center" wrapText="1" shrinkToFit="1"/>
      <protection locked="0"/>
    </xf>
    <xf numFmtId="0" fontId="9" fillId="8" borderId="1" xfId="0" applyFont="1" applyFill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14" fontId="15" fillId="0" borderId="4" xfId="0" applyNumberFormat="1" applyFont="1" applyBorder="1">
      <alignment vertical="center"/>
    </xf>
    <xf numFmtId="14" fontId="15" fillId="0" borderId="5" xfId="0" applyNumberFormat="1" applyFont="1" applyBorder="1">
      <alignment vertical="center"/>
    </xf>
    <xf numFmtId="14" fontId="15" fillId="0" borderId="6" xfId="0" applyNumberFormat="1" applyFont="1" applyBorder="1">
      <alignment vertical="center"/>
    </xf>
    <xf numFmtId="0" fontId="15" fillId="0" borderId="11" xfId="1" applyFont="1" applyBorder="1" applyAlignment="1" applyProtection="1">
      <alignment vertical="center" shrinkToFit="1"/>
      <protection locked="0"/>
    </xf>
    <xf numFmtId="0" fontId="15" fillId="0" borderId="7" xfId="1" applyFont="1" applyBorder="1" applyAlignment="1" applyProtection="1">
      <alignment vertical="center" shrinkToFit="1"/>
      <protection locked="0"/>
    </xf>
    <xf numFmtId="0" fontId="15" fillId="0" borderId="4" xfId="1" applyFont="1" applyBorder="1" applyAlignment="1" applyProtection="1">
      <alignment vertical="center" shrinkToFit="1"/>
      <protection locked="0"/>
    </xf>
    <xf numFmtId="0" fontId="6" fillId="0" borderId="3" xfId="1" applyFont="1" applyBorder="1" applyAlignment="1" applyProtection="1">
      <alignment vertical="center" shrinkToFit="1"/>
      <protection locked="0"/>
    </xf>
    <xf numFmtId="0" fontId="6" fillId="0" borderId="1" xfId="1" applyFont="1" applyBorder="1" applyAlignment="1" applyProtection="1">
      <alignment vertical="center" shrinkToFit="1"/>
      <protection locked="0"/>
    </xf>
    <xf numFmtId="0" fontId="6" fillId="0" borderId="1" xfId="0" applyFont="1" applyBorder="1">
      <alignment vertical="center"/>
    </xf>
    <xf numFmtId="0" fontId="6" fillId="0" borderId="1" xfId="1" applyFont="1" applyBorder="1" applyAlignment="1" applyProtection="1">
      <alignment vertical="center" wrapText="1" shrinkToFit="1"/>
      <protection locked="0"/>
    </xf>
    <xf numFmtId="0" fontId="6" fillId="0" borderId="3" xfId="1" applyFont="1" applyBorder="1" applyAlignment="1" applyProtection="1">
      <alignment vertical="center" wrapText="1" shrinkToFit="1"/>
      <protection locked="0"/>
    </xf>
    <xf numFmtId="0" fontId="6" fillId="0" borderId="1" xfId="1" applyFont="1" applyBorder="1" applyAlignment="1" applyProtection="1">
      <alignment horizontal="right" vertical="center" wrapText="1" shrinkToFit="1"/>
      <protection locked="0"/>
    </xf>
    <xf numFmtId="0" fontId="9" fillId="0" borderId="1" xfId="1" applyFont="1" applyBorder="1" applyAlignment="1" applyProtection="1">
      <alignment vertical="center" wrapText="1" shrinkToFit="1"/>
      <protection locked="0"/>
    </xf>
    <xf numFmtId="0" fontId="9" fillId="0" borderId="1" xfId="1" applyFont="1" applyBorder="1" applyAlignment="1" applyProtection="1">
      <alignment vertical="center" shrinkToFit="1"/>
      <protection locked="0"/>
    </xf>
    <xf numFmtId="3" fontId="15" fillId="0" borderId="4" xfId="1" applyNumberFormat="1" applyFont="1" applyBorder="1" applyAlignment="1" applyProtection="1">
      <alignment horizontal="centerContinuous" vertical="center" shrinkToFit="1"/>
      <protection locked="0"/>
    </xf>
    <xf numFmtId="3" fontId="15" fillId="0" borderId="6" xfId="1" applyNumberFormat="1" applyFont="1" applyBorder="1" applyAlignment="1" applyProtection="1">
      <alignment horizontal="centerContinuous" vertical="center" shrinkToFit="1"/>
      <protection locked="0"/>
    </xf>
    <xf numFmtId="3" fontId="15" fillId="0" borderId="5" xfId="1" applyNumberFormat="1" applyFont="1" applyBorder="1" applyAlignment="1" applyProtection="1">
      <alignment horizontal="centerContinuous" vertical="center" shrinkToFit="1"/>
      <protection locked="0"/>
    </xf>
    <xf numFmtId="0" fontId="15" fillId="0" borderId="6" xfId="1" applyFont="1" applyBorder="1" applyAlignment="1" applyProtection="1">
      <alignment horizontal="centerContinuous" vertical="center" shrinkToFit="1"/>
      <protection locked="0"/>
    </xf>
    <xf numFmtId="0" fontId="1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79" fontId="6" fillId="8" borderId="1" xfId="1" applyNumberFormat="1" applyFont="1" applyFill="1" applyBorder="1" applyAlignment="1" applyProtection="1">
      <alignment horizontal="center" vertical="center" shrinkToFit="1"/>
      <protection locked="0"/>
    </xf>
    <xf numFmtId="179" fontId="6" fillId="2" borderId="1" xfId="1" applyNumberFormat="1" applyFont="1" applyFill="1" applyBorder="1" applyAlignment="1" applyProtection="1">
      <alignment horizontal="center" vertical="center" shrinkToFit="1"/>
      <protection locked="0"/>
    </xf>
    <xf numFmtId="179" fontId="6" fillId="0" borderId="1" xfId="1" applyNumberFormat="1" applyFont="1" applyBorder="1" applyAlignment="1" applyProtection="1">
      <alignment horizontal="center" vertical="center" shrinkToFit="1"/>
      <protection locked="0"/>
    </xf>
    <xf numFmtId="3" fontId="9" fillId="2" borderId="1" xfId="1" applyNumberFormat="1" applyFont="1" applyFill="1" applyBorder="1" applyAlignment="1" applyProtection="1">
      <alignment horizontal="center" vertical="center" shrinkToFit="1"/>
      <protection locked="0"/>
    </xf>
    <xf numFmtId="179" fontId="6" fillId="3" borderId="1" xfId="1" applyNumberFormat="1" applyFont="1" applyFill="1" applyBorder="1" applyAlignment="1" applyProtection="1">
      <alignment horizontal="center" vertical="center" shrinkToFit="1"/>
      <protection locked="0"/>
    </xf>
    <xf numFmtId="3" fontId="9" fillId="9" borderId="1" xfId="1" applyNumberFormat="1" applyFont="1" applyFill="1" applyBorder="1" applyAlignment="1" applyProtection="1">
      <alignment horizontal="left" vertical="center" shrinkToFit="1"/>
      <protection locked="0"/>
    </xf>
    <xf numFmtId="3" fontId="9" fillId="9" borderId="1" xfId="1" applyNumberFormat="1" applyFont="1" applyFill="1" applyBorder="1" applyAlignment="1" applyProtection="1">
      <alignment horizontal="center" vertical="center" shrinkToFit="1"/>
      <protection locked="0"/>
    </xf>
    <xf numFmtId="179" fontId="6" fillId="9" borderId="1" xfId="1" applyNumberFormat="1" applyFont="1" applyFill="1" applyBorder="1" applyAlignment="1" applyProtection="1">
      <alignment horizontal="center" vertical="center" shrinkToFit="1"/>
      <protection locked="0"/>
    </xf>
    <xf numFmtId="3" fontId="9" fillId="9" borderId="1" xfId="1" applyNumberFormat="1" applyFont="1" applyFill="1" applyBorder="1" applyAlignment="1" applyProtection="1">
      <alignment horizontal="center" vertical="center" wrapText="1" shrinkToFit="1"/>
      <protection locked="0"/>
    </xf>
    <xf numFmtId="3" fontId="6" fillId="9" borderId="1" xfId="1" applyNumberFormat="1" applyFont="1" applyFill="1" applyBorder="1" applyAlignment="1" applyProtection="1">
      <alignment horizontal="left" vertical="center" shrinkToFit="1"/>
      <protection locked="0"/>
    </xf>
    <xf numFmtId="3" fontId="6" fillId="9" borderId="1" xfId="1" applyNumberFormat="1" applyFont="1" applyFill="1" applyBorder="1" applyAlignment="1" applyProtection="1">
      <alignment horizontal="center" vertical="center" shrinkToFit="1"/>
      <protection locked="0"/>
    </xf>
    <xf numFmtId="0" fontId="2" fillId="0" borderId="1" xfId="1" applyFont="1" applyBorder="1" applyAlignment="1" applyProtection="1">
      <alignment horizontal="center" vertical="center" shrinkToFit="1"/>
      <protection locked="0"/>
    </xf>
    <xf numFmtId="3" fontId="9" fillId="10" borderId="1" xfId="1" applyNumberFormat="1" applyFont="1" applyFill="1" applyBorder="1" applyAlignment="1" applyProtection="1">
      <alignment horizontal="left" vertical="center" shrinkToFit="1"/>
      <protection locked="0"/>
    </xf>
    <xf numFmtId="3" fontId="9" fillId="10" borderId="1" xfId="1" applyNumberFormat="1" applyFont="1" applyFill="1" applyBorder="1" applyAlignment="1" applyProtection="1">
      <alignment horizontal="center" vertical="center" shrinkToFit="1"/>
      <protection locked="0"/>
    </xf>
    <xf numFmtId="179" fontId="6" fillId="10" borderId="1" xfId="1" applyNumberFormat="1" applyFont="1" applyFill="1" applyBorder="1" applyAlignment="1" applyProtection="1">
      <alignment horizontal="center" vertical="center" shrinkToFit="1"/>
      <protection locked="0"/>
    </xf>
    <xf numFmtId="3" fontId="6" fillId="9" borderId="2" xfId="1" applyNumberFormat="1" applyFont="1" applyFill="1" applyBorder="1" applyAlignment="1" applyProtection="1">
      <alignment horizontal="center" vertical="center" shrinkToFit="1"/>
      <protection locked="0"/>
    </xf>
    <xf numFmtId="3" fontId="9" fillId="10" borderId="1" xfId="1" applyNumberFormat="1" applyFont="1" applyFill="1" applyBorder="1" applyAlignment="1" applyProtection="1">
      <alignment horizontal="center" vertical="center" wrapText="1" shrinkToFit="1"/>
      <protection locked="0"/>
    </xf>
    <xf numFmtId="0" fontId="9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3" fontId="6" fillId="10" borderId="1" xfId="1" applyNumberFormat="1" applyFont="1" applyFill="1" applyBorder="1" applyAlignment="1" applyProtection="1">
      <alignment horizontal="left" vertical="center" shrinkToFit="1"/>
      <protection locked="0"/>
    </xf>
    <xf numFmtId="3" fontId="6" fillId="10" borderId="1" xfId="1" applyNumberFormat="1" applyFont="1" applyFill="1" applyBorder="1" applyAlignment="1" applyProtection="1">
      <alignment horizontal="center" vertical="center" shrinkToFit="1"/>
      <protection locked="0"/>
    </xf>
    <xf numFmtId="3" fontId="9" fillId="11" borderId="1" xfId="1" applyNumberFormat="1" applyFont="1" applyFill="1" applyBorder="1" applyAlignment="1" applyProtection="1">
      <alignment horizontal="left" vertical="center" shrinkToFit="1"/>
      <protection locked="0"/>
    </xf>
    <xf numFmtId="3" fontId="9" fillId="11" borderId="1" xfId="1" applyNumberFormat="1" applyFont="1" applyFill="1" applyBorder="1" applyAlignment="1" applyProtection="1">
      <alignment horizontal="center" vertical="center" shrinkToFit="1"/>
      <protection locked="0"/>
    </xf>
    <xf numFmtId="179" fontId="6" fillId="11" borderId="1" xfId="1" applyNumberFormat="1" applyFont="1" applyFill="1" applyBorder="1" applyAlignment="1" applyProtection="1">
      <alignment horizontal="center" vertical="center" shrinkToFit="1"/>
      <protection locked="0"/>
    </xf>
    <xf numFmtId="3" fontId="24" fillId="0" borderId="1" xfId="1" applyNumberFormat="1" applyFont="1" applyBorder="1" applyAlignment="1" applyProtection="1">
      <alignment horizontal="center" vertical="center" wrapText="1" shrinkToFit="1"/>
      <protection locked="0"/>
    </xf>
    <xf numFmtId="3" fontId="6" fillId="0" borderId="1" xfId="1" applyNumberFormat="1" applyFont="1" applyBorder="1" applyAlignment="1" applyProtection="1">
      <alignment horizontal="left" vertical="center"/>
      <protection locked="0"/>
    </xf>
    <xf numFmtId="3" fontId="6" fillId="0" borderId="3" xfId="1" applyNumberFormat="1" applyFont="1" applyBorder="1" applyAlignment="1" applyProtection="1">
      <alignment horizontal="left" vertical="center" shrinkToFit="1"/>
      <protection locked="0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2" fillId="0" borderId="1" xfId="0" applyFont="1" applyBorder="1">
      <alignment vertical="center"/>
    </xf>
    <xf numFmtId="3" fontId="15" fillId="0" borderId="1" xfId="1" applyNumberFormat="1" applyFont="1" applyBorder="1" applyAlignment="1" applyProtection="1">
      <alignment horizontal="centerContinuous" vertical="center" shrinkToFit="1"/>
      <protection locked="0"/>
    </xf>
    <xf numFmtId="0" fontId="15" fillId="0" borderId="4" xfId="1" applyFont="1" applyBorder="1" applyAlignment="1" applyProtection="1">
      <alignment horizontal="centerContinuous" vertical="center" shrinkToFit="1"/>
      <protection locked="0"/>
    </xf>
    <xf numFmtId="0" fontId="8" fillId="0" borderId="2" xfId="0" applyFont="1" applyBorder="1" applyAlignment="1">
      <alignment horizontal="center" vertical="center"/>
    </xf>
    <xf numFmtId="14" fontId="15" fillId="0" borderId="3" xfId="0" applyNumberFormat="1" applyFont="1" applyBorder="1">
      <alignment vertical="center"/>
    </xf>
    <xf numFmtId="14" fontId="26" fillId="0" borderId="5" xfId="0" applyNumberFormat="1" applyFont="1" applyBorder="1">
      <alignment vertical="center"/>
    </xf>
    <xf numFmtId="3" fontId="6" fillId="12" borderId="1" xfId="1" applyNumberFormat="1" applyFont="1" applyFill="1" applyBorder="1" applyAlignment="1" applyProtection="1">
      <alignment horizontal="left" vertical="center" shrinkToFit="1"/>
      <protection locked="0"/>
    </xf>
    <xf numFmtId="3" fontId="6" fillId="12" borderId="1" xfId="1" applyNumberFormat="1" applyFont="1" applyFill="1" applyBorder="1" applyAlignment="1" applyProtection="1">
      <alignment horizontal="center" vertical="center" shrinkToFit="1"/>
      <protection locked="0"/>
    </xf>
    <xf numFmtId="179" fontId="6" fillId="12" borderId="1" xfId="1" applyNumberFormat="1" applyFont="1" applyFill="1" applyBorder="1" applyAlignment="1" applyProtection="1">
      <alignment horizontal="center" vertical="center" shrinkToFit="1"/>
      <protection locked="0"/>
    </xf>
    <xf numFmtId="0" fontId="24" fillId="0" borderId="1" xfId="1" applyFont="1" applyBorder="1" applyAlignment="1" applyProtection="1">
      <alignment vertical="center" wrapText="1" shrinkToFit="1"/>
      <protection locked="0"/>
    </xf>
    <xf numFmtId="0" fontId="2" fillId="0" borderId="1" xfId="1" applyFont="1" applyBorder="1" applyAlignment="1" applyProtection="1">
      <alignment vertical="center" shrinkToFit="1"/>
      <protection locked="0"/>
    </xf>
    <xf numFmtId="0" fontId="6" fillId="0" borderId="0" xfId="0" applyFont="1">
      <alignment vertical="center"/>
    </xf>
    <xf numFmtId="0" fontId="6" fillId="6" borderId="0" xfId="0" applyFont="1" applyFill="1">
      <alignment vertical="center"/>
    </xf>
    <xf numFmtId="0" fontId="6" fillId="7" borderId="0" xfId="0" applyFont="1" applyFill="1">
      <alignment vertical="center"/>
    </xf>
    <xf numFmtId="3" fontId="20" fillId="0" borderId="1" xfId="1" applyNumberFormat="1" applyFont="1" applyBorder="1" applyAlignment="1" applyProtection="1">
      <alignment horizontal="center" vertical="center" shrinkToFit="1"/>
      <protection locked="0"/>
    </xf>
    <xf numFmtId="0" fontId="20" fillId="0" borderId="1" xfId="0" applyFont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vertical="center" shrinkToFit="1"/>
    </xf>
    <xf numFmtId="3" fontId="8" fillId="8" borderId="1" xfId="1" applyNumberFormat="1" applyFont="1" applyFill="1" applyBorder="1" applyAlignment="1" applyProtection="1">
      <alignment horizontal="center" vertical="center" shrinkToFit="1"/>
      <protection locked="0"/>
    </xf>
    <xf numFmtId="41" fontId="12" fillId="0" borderId="1" xfId="3" applyFont="1" applyBorder="1" applyAlignment="1">
      <alignment horizontal="center" vertical="center"/>
    </xf>
    <xf numFmtId="41" fontId="6" fillId="0" borderId="1" xfId="3" applyFont="1" applyBorder="1">
      <alignment vertical="center"/>
    </xf>
    <xf numFmtId="41" fontId="6" fillId="0" borderId="1" xfId="0" applyNumberFormat="1" applyFont="1" applyBorder="1">
      <alignment vertical="center"/>
    </xf>
    <xf numFmtId="41" fontId="23" fillId="0" borderId="1" xfId="0" applyNumberFormat="1" applyFont="1" applyBorder="1">
      <alignment vertical="center"/>
    </xf>
    <xf numFmtId="41" fontId="23" fillId="2" borderId="1" xfId="0" applyNumberFormat="1" applyFont="1" applyFill="1" applyBorder="1">
      <alignment vertical="center"/>
    </xf>
    <xf numFmtId="41" fontId="8" fillId="0" borderId="1" xfId="3" applyFont="1" applyBorder="1" applyAlignment="1">
      <alignment horizontal="center" vertical="center"/>
    </xf>
    <xf numFmtId="0" fontId="2" fillId="0" borderId="1" xfId="1" applyFont="1" applyBorder="1" applyAlignment="1" applyProtection="1">
      <alignment vertical="center" wrapText="1" shrinkToFit="1"/>
      <protection locked="0"/>
    </xf>
    <xf numFmtId="41" fontId="2" fillId="0" borderId="1" xfId="3" applyFont="1" applyBorder="1">
      <alignment vertical="center"/>
    </xf>
    <xf numFmtId="0" fontId="8" fillId="0" borderId="1" xfId="1" applyFont="1" applyBorder="1" applyAlignment="1" applyProtection="1">
      <alignment horizontal="center" vertical="center" shrinkToFit="1"/>
      <protection locked="0"/>
    </xf>
    <xf numFmtId="0" fontId="20" fillId="0" borderId="1" xfId="1" applyFont="1" applyBorder="1" applyAlignment="1" applyProtection="1">
      <alignment horizontal="center" vertical="center" shrinkToFit="1"/>
      <protection locked="0"/>
    </xf>
    <xf numFmtId="3" fontId="3" fillId="0" borderId="1" xfId="1" applyNumberFormat="1" applyFont="1" applyBorder="1" applyAlignment="1" applyProtection="1">
      <alignment horizontal="left" vertical="center" shrinkToFit="1"/>
      <protection locked="0"/>
    </xf>
    <xf numFmtId="3" fontId="3" fillId="0" borderId="1" xfId="1" applyNumberFormat="1" applyFont="1" applyBorder="1" applyAlignment="1" applyProtection="1">
      <alignment horizontal="center" vertical="center" shrinkToFit="1"/>
      <protection locked="0"/>
    </xf>
    <xf numFmtId="179" fontId="3" fillId="8" borderId="1" xfId="1" applyNumberFormat="1" applyFont="1" applyFill="1" applyBorder="1" applyAlignment="1" applyProtection="1">
      <alignment horizontal="center" vertical="center" shrinkToFit="1"/>
      <protection locked="0"/>
    </xf>
    <xf numFmtId="3" fontId="3" fillId="8" borderId="1" xfId="1" applyNumberFormat="1" applyFont="1" applyFill="1" applyBorder="1" applyAlignment="1" applyProtection="1">
      <alignment horizontal="left" vertical="center" shrinkToFit="1"/>
      <protection locked="0"/>
    </xf>
    <xf numFmtId="3" fontId="3" fillId="8" borderId="1" xfId="1" applyNumberFormat="1" applyFont="1" applyFill="1" applyBorder="1" applyAlignment="1" applyProtection="1">
      <alignment horizontal="center" vertical="center" shrinkToFit="1"/>
      <protection locked="0"/>
    </xf>
    <xf numFmtId="3" fontId="25" fillId="8" borderId="1" xfId="1" applyNumberFormat="1" applyFont="1" applyFill="1" applyBorder="1" applyAlignment="1" applyProtection="1">
      <alignment horizontal="left" vertical="center" shrinkToFit="1"/>
      <protection locked="0"/>
    </xf>
    <xf numFmtId="3" fontId="25" fillId="8" borderId="1" xfId="1" applyNumberFormat="1" applyFont="1" applyFill="1" applyBorder="1" applyAlignment="1" applyProtection="1">
      <alignment horizontal="center" vertical="center" shrinkToFit="1"/>
      <protection locked="0"/>
    </xf>
    <xf numFmtId="177" fontId="19" fillId="0" borderId="1" xfId="0" applyNumberFormat="1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 wrapText="1"/>
    </xf>
    <xf numFmtId="3" fontId="25" fillId="8" borderId="1" xfId="1" applyNumberFormat="1" applyFont="1" applyFill="1" applyBorder="1" applyAlignment="1" applyProtection="1">
      <alignment horizontal="center" vertical="center" wrapText="1" shrinkToFit="1"/>
      <protection locked="0"/>
    </xf>
    <xf numFmtId="3" fontId="3" fillId="10" borderId="1" xfId="1" applyNumberFormat="1" applyFont="1" applyFill="1" applyBorder="1" applyAlignment="1" applyProtection="1">
      <alignment horizontal="left" vertical="center" shrinkToFit="1"/>
      <protection locked="0"/>
    </xf>
    <xf numFmtId="0" fontId="20" fillId="8" borderId="1" xfId="1" applyFont="1" applyFill="1" applyBorder="1" applyAlignment="1" applyProtection="1">
      <alignment horizontal="center" vertical="center" shrinkToFit="1"/>
      <protection locked="0"/>
    </xf>
    <xf numFmtId="41" fontId="3" fillId="0" borderId="1" xfId="3" applyFont="1" applyBorder="1">
      <alignment vertical="center"/>
    </xf>
    <xf numFmtId="0" fontId="8" fillId="0" borderId="14" xfId="1" applyFont="1" applyBorder="1" applyAlignment="1" applyProtection="1">
      <alignment horizontal="center" vertical="center" shrinkToFit="1"/>
      <protection locked="0"/>
    </xf>
    <xf numFmtId="0" fontId="6" fillId="0" borderId="14" xfId="1" applyFont="1" applyBorder="1" applyAlignment="1" applyProtection="1">
      <alignment horizontal="center" vertical="center" shrinkToFit="1"/>
      <protection locked="0"/>
    </xf>
    <xf numFmtId="3" fontId="25" fillId="0" borderId="1" xfId="1" applyNumberFormat="1" applyFont="1" applyBorder="1" applyAlignment="1" applyProtection="1">
      <alignment horizontal="left" vertical="center" shrinkToFit="1"/>
      <protection locked="0"/>
    </xf>
    <xf numFmtId="3" fontId="25" fillId="0" borderId="1" xfId="1" applyNumberFormat="1" applyFont="1" applyBorder="1" applyAlignment="1" applyProtection="1">
      <alignment horizontal="center" vertical="center" shrinkToFit="1"/>
      <protection locked="0"/>
    </xf>
    <xf numFmtId="179" fontId="3" fillId="0" borderId="1" xfId="1" applyNumberFormat="1" applyFont="1" applyBorder="1" applyAlignment="1" applyProtection="1">
      <alignment horizontal="center" vertical="center" shrinkToFit="1"/>
      <protection locked="0"/>
    </xf>
    <xf numFmtId="0" fontId="25" fillId="8" borderId="1" xfId="0" applyFont="1" applyFill="1" applyBorder="1" applyAlignment="1">
      <alignment horizontal="left" vertical="center"/>
    </xf>
    <xf numFmtId="0" fontId="25" fillId="0" borderId="1" xfId="1" applyFont="1" applyBorder="1" applyAlignment="1" applyProtection="1">
      <alignment horizontal="center" vertical="center" shrinkToFit="1"/>
      <protection locked="0"/>
    </xf>
    <xf numFmtId="3" fontId="25" fillId="0" borderId="1" xfId="1" applyNumberFormat="1" applyFont="1" applyBorder="1" applyAlignment="1">
      <alignment horizontal="center" vertical="center" shrinkToFit="1"/>
    </xf>
    <xf numFmtId="3" fontId="12" fillId="0" borderId="1" xfId="1" applyNumberFormat="1" applyFont="1" applyBorder="1" applyAlignment="1" applyProtection="1">
      <alignment horizontal="center" vertical="center" shrinkToFit="1"/>
      <protection locked="0"/>
    </xf>
    <xf numFmtId="0" fontId="25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 shrinkToFit="1"/>
    </xf>
    <xf numFmtId="3" fontId="3" fillId="10" borderId="1" xfId="1" applyNumberFormat="1" applyFont="1" applyFill="1" applyBorder="1" applyAlignment="1" applyProtection="1">
      <alignment horizontal="center" vertical="center" shrinkToFit="1"/>
      <protection locked="0"/>
    </xf>
    <xf numFmtId="179" fontId="3" fillId="10" borderId="1" xfId="1" applyNumberFormat="1" applyFont="1" applyFill="1" applyBorder="1" applyAlignment="1" applyProtection="1">
      <alignment horizontal="center" vertical="center" shrinkToFit="1"/>
      <protection locked="0"/>
    </xf>
    <xf numFmtId="177" fontId="6" fillId="8" borderId="1" xfId="1" applyNumberFormat="1" applyFont="1" applyFill="1" applyBorder="1" applyAlignment="1" applyProtection="1">
      <alignment horizontal="center" vertical="center" shrinkToFit="1"/>
      <protection locked="0"/>
    </xf>
    <xf numFmtId="181" fontId="6" fillId="8" borderId="1" xfId="1" applyNumberFormat="1" applyFont="1" applyFill="1" applyBorder="1" applyAlignment="1" applyProtection="1">
      <alignment horizontal="center" vertical="center" shrinkToFit="1"/>
      <protection locked="0"/>
    </xf>
    <xf numFmtId="3" fontId="2" fillId="0" borderId="1" xfId="1" applyNumberFormat="1" applyFont="1" applyBorder="1" applyAlignment="1" applyProtection="1">
      <alignment horizontal="center" vertical="center" shrinkToFit="1"/>
      <protection locked="0"/>
    </xf>
    <xf numFmtId="179" fontId="2" fillId="8" borderId="1" xfId="1" applyNumberFormat="1" applyFont="1" applyFill="1" applyBorder="1" applyAlignment="1" applyProtection="1">
      <alignment horizontal="center" vertical="center" shrinkToFit="1"/>
      <protection locked="0"/>
    </xf>
    <xf numFmtId="0" fontId="14" fillId="0" borderId="0" xfId="0" quotePrefix="1" applyFont="1">
      <alignment vertical="center"/>
    </xf>
    <xf numFmtId="0" fontId="14" fillId="2" borderId="0" xfId="0" quotePrefix="1" applyFont="1" applyFill="1">
      <alignment vertical="center"/>
    </xf>
    <xf numFmtId="41" fontId="6" fillId="2" borderId="1" xfId="3" applyFont="1" applyFill="1" applyBorder="1">
      <alignment vertical="center"/>
    </xf>
    <xf numFmtId="41" fontId="3" fillId="2" borderId="1" xfId="3" applyFont="1" applyFill="1" applyBorder="1">
      <alignment vertical="center"/>
    </xf>
    <xf numFmtId="182" fontId="6" fillId="2" borderId="1" xfId="3" applyNumberFormat="1" applyFont="1" applyFill="1" applyBorder="1">
      <alignment vertical="center"/>
    </xf>
    <xf numFmtId="0" fontId="3" fillId="0" borderId="1" xfId="1" applyFont="1" applyBorder="1" applyAlignment="1" applyProtection="1">
      <alignment vertical="center" wrapText="1" shrinkToFit="1"/>
      <protection locked="0"/>
    </xf>
    <xf numFmtId="178" fontId="14" fillId="0" borderId="0" xfId="0" applyNumberFormat="1" applyFont="1">
      <alignment vertical="center"/>
    </xf>
    <xf numFmtId="3" fontId="24" fillId="0" borderId="1" xfId="1" applyNumberFormat="1" applyFont="1" applyBorder="1" applyAlignment="1" applyProtection="1">
      <alignment horizontal="left" vertical="center" shrinkToFit="1"/>
      <protection locked="0"/>
    </xf>
    <xf numFmtId="3" fontId="24" fillId="0" borderId="1" xfId="1" applyNumberFormat="1" applyFont="1" applyBorder="1" applyAlignment="1" applyProtection="1">
      <alignment horizontal="center" vertical="center" shrinkToFit="1"/>
      <protection locked="0"/>
    </xf>
    <xf numFmtId="179" fontId="2" fillId="0" borderId="1" xfId="1" applyNumberFormat="1" applyFont="1" applyBorder="1" applyAlignment="1" applyProtection="1">
      <alignment horizontal="center" vertical="center" shrinkToFit="1"/>
      <protection locked="0"/>
    </xf>
    <xf numFmtId="3" fontId="2" fillId="0" borderId="1" xfId="1" applyNumberFormat="1" applyFont="1" applyBorder="1" applyAlignment="1" applyProtection="1">
      <alignment horizontal="left" vertical="center" shrinkToFit="1"/>
      <protection locked="0"/>
    </xf>
    <xf numFmtId="0" fontId="7" fillId="0" borderId="1" xfId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>
      <alignment horizontal="left" vertical="center" shrinkToFit="1"/>
    </xf>
    <xf numFmtId="176" fontId="6" fillId="0" borderId="1" xfId="1" applyNumberFormat="1" applyFont="1" applyBorder="1" applyAlignment="1" applyProtection="1">
      <alignment horizontal="center" vertical="center" shrinkToFit="1"/>
      <protection locked="0"/>
    </xf>
    <xf numFmtId="181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28" fillId="0" borderId="1" xfId="1" applyFont="1" applyBorder="1" applyAlignment="1" applyProtection="1">
      <alignment horizontal="center" vertical="center" shrinkToFit="1"/>
      <protection locked="0"/>
    </xf>
    <xf numFmtId="3" fontId="2" fillId="8" borderId="1" xfId="1" applyNumberFormat="1" applyFont="1" applyFill="1" applyBorder="1" applyAlignment="1" applyProtection="1">
      <alignment horizontal="left" vertical="center" shrinkToFit="1"/>
      <protection locked="0"/>
    </xf>
    <xf numFmtId="0" fontId="25" fillId="0" borderId="1" xfId="1" applyFont="1" applyBorder="1" applyAlignment="1" applyProtection="1">
      <alignment vertical="center" wrapText="1" shrinkToFit="1"/>
      <protection locked="0"/>
    </xf>
    <xf numFmtId="181" fontId="2" fillId="0" borderId="1" xfId="1" applyNumberFormat="1" applyFont="1" applyBorder="1" applyAlignment="1" applyProtection="1">
      <alignment horizontal="center" vertical="center" shrinkToFit="1"/>
      <protection locked="0"/>
    </xf>
    <xf numFmtId="177" fontId="2" fillId="0" borderId="1" xfId="1" applyNumberFormat="1" applyFont="1" applyBorder="1" applyAlignment="1" applyProtection="1">
      <alignment horizontal="center" vertical="center" shrinkToFit="1"/>
      <protection locked="0"/>
    </xf>
    <xf numFmtId="180" fontId="3" fillId="0" borderId="1" xfId="3" applyNumberFormat="1" applyFont="1" applyBorder="1">
      <alignment vertical="center"/>
    </xf>
    <xf numFmtId="180" fontId="6" fillId="2" borderId="1" xfId="3" applyNumberFormat="1" applyFont="1" applyFill="1" applyBorder="1">
      <alignment vertical="center"/>
    </xf>
    <xf numFmtId="0" fontId="12" fillId="0" borderId="1" xfId="1" applyFont="1" applyBorder="1" applyAlignment="1" applyProtection="1">
      <alignment horizontal="center" vertical="center" shrinkToFit="1"/>
      <protection locked="0"/>
    </xf>
    <xf numFmtId="0" fontId="28" fillId="8" borderId="1" xfId="1" applyFont="1" applyFill="1" applyBorder="1" applyAlignment="1" applyProtection="1">
      <alignment horizontal="center" vertical="center" shrinkToFit="1"/>
      <protection locked="0"/>
    </xf>
    <xf numFmtId="176" fontId="24" fillId="0" borderId="1" xfId="1" applyNumberFormat="1" applyFont="1" applyBorder="1" applyAlignment="1" applyProtection="1">
      <alignment horizontal="center" vertical="center" shrinkToFit="1"/>
      <protection locked="0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3" fontId="2" fillId="8" borderId="1" xfId="1" applyNumberFormat="1" applyFont="1" applyFill="1" applyBorder="1" applyAlignment="1" applyProtection="1">
      <alignment horizontal="center" vertical="center" shrinkToFit="1"/>
      <protection locked="0"/>
    </xf>
    <xf numFmtId="3" fontId="3" fillId="2" borderId="1" xfId="1" applyNumberFormat="1" applyFont="1" applyFill="1" applyBorder="1" applyAlignment="1" applyProtection="1">
      <alignment horizontal="left" vertical="center" shrinkToFit="1"/>
      <protection locked="0"/>
    </xf>
    <xf numFmtId="0" fontId="28" fillId="0" borderId="1" xfId="0" applyFont="1" applyBorder="1" applyAlignment="1">
      <alignment horizontal="center" vertical="center"/>
    </xf>
    <xf numFmtId="177" fontId="7" fillId="8" borderId="1" xfId="1" applyNumberFormat="1" applyFont="1" applyFill="1" applyBorder="1" applyAlignment="1" applyProtection="1">
      <alignment horizontal="center" vertical="center" shrinkToFit="1"/>
      <protection locked="0"/>
    </xf>
    <xf numFmtId="4" fontId="28" fillId="8" borderId="1" xfId="1" applyNumberFormat="1" applyFont="1" applyFill="1" applyBorder="1" applyAlignment="1" applyProtection="1">
      <alignment horizontal="center" vertical="center" shrinkToFit="1"/>
      <protection locked="0"/>
    </xf>
    <xf numFmtId="3" fontId="24" fillId="8" borderId="1" xfId="1" applyNumberFormat="1" applyFont="1" applyFill="1" applyBorder="1" applyAlignment="1" applyProtection="1">
      <alignment horizontal="left" vertical="center" shrinkToFit="1"/>
      <protection locked="0"/>
    </xf>
    <xf numFmtId="3" fontId="24" fillId="8" borderId="1" xfId="1" applyNumberFormat="1" applyFont="1" applyFill="1" applyBorder="1" applyAlignment="1" applyProtection="1">
      <alignment horizontal="center" vertical="center" shrinkToFit="1"/>
      <protection locked="0"/>
    </xf>
    <xf numFmtId="183" fontId="6" fillId="0" borderId="1" xfId="1" applyNumberFormat="1" applyFont="1" applyBorder="1" applyAlignment="1" applyProtection="1">
      <alignment horizontal="center" vertical="center" shrinkToFit="1"/>
      <protection locked="0"/>
    </xf>
    <xf numFmtId="3" fontId="29" fillId="8" borderId="1" xfId="1" applyNumberFormat="1" applyFont="1" applyFill="1" applyBorder="1" applyAlignment="1" applyProtection="1">
      <alignment horizontal="left" vertical="center" shrinkToFit="1"/>
      <protection locked="0"/>
    </xf>
    <xf numFmtId="3" fontId="29" fillId="0" borderId="1" xfId="1" applyNumberFormat="1" applyFont="1" applyBorder="1" applyAlignment="1" applyProtection="1">
      <alignment horizontal="left" vertical="center" shrinkToFit="1"/>
      <protection locked="0"/>
    </xf>
    <xf numFmtId="3" fontId="6" fillId="0" borderId="2" xfId="1" applyNumberFormat="1" applyFont="1" applyBorder="1" applyAlignment="1" applyProtection="1">
      <alignment horizontal="center" vertical="center" shrinkToFit="1"/>
      <protection locked="0"/>
    </xf>
    <xf numFmtId="3" fontId="6" fillId="0" borderId="2" xfId="1" applyNumberFormat="1" applyFont="1" applyBorder="1" applyAlignment="1" applyProtection="1">
      <alignment horizontal="left" vertical="center" shrinkToFit="1"/>
      <protection locked="0"/>
    </xf>
    <xf numFmtId="179" fontId="6" fillId="0" borderId="2" xfId="1" applyNumberFormat="1" applyFont="1" applyBorder="1" applyAlignment="1" applyProtection="1">
      <alignment horizontal="center" vertical="center" shrinkToFit="1"/>
      <protection locked="0"/>
    </xf>
    <xf numFmtId="3" fontId="6" fillId="0" borderId="2" xfId="1" applyNumberFormat="1" applyFont="1" applyBorder="1" applyAlignment="1">
      <alignment horizontal="center" vertical="center" shrinkToFit="1"/>
    </xf>
    <xf numFmtId="3" fontId="8" fillId="0" borderId="1" xfId="1" applyNumberFormat="1" applyFont="1" applyBorder="1" applyAlignment="1" applyProtection="1">
      <alignment horizontal="center" vertical="center" wrapText="1" shrinkToFit="1"/>
      <protection locked="0"/>
    </xf>
    <xf numFmtId="0" fontId="7" fillId="0" borderId="14" xfId="1" applyFont="1" applyBorder="1" applyAlignment="1" applyProtection="1">
      <alignment horizontal="center" vertical="center" shrinkToFit="1"/>
      <protection locked="0"/>
    </xf>
    <xf numFmtId="3" fontId="8" fillId="0" borderId="2" xfId="1" applyNumberFormat="1" applyFont="1" applyBorder="1" applyAlignment="1" applyProtection="1">
      <alignment horizontal="center" vertical="center" shrinkToFit="1"/>
      <protection locked="0"/>
    </xf>
    <xf numFmtId="41" fontId="6" fillId="0" borderId="2" xfId="3" applyFont="1" applyBorder="1">
      <alignment vertical="center"/>
    </xf>
    <xf numFmtId="0" fontId="6" fillId="0" borderId="15" xfId="1" applyFont="1" applyBorder="1" applyAlignment="1" applyProtection="1">
      <alignment horizontal="center" vertical="center" shrinkToFit="1"/>
      <protection locked="0"/>
    </xf>
    <xf numFmtId="3" fontId="3" fillId="0" borderId="1" xfId="1" applyNumberFormat="1" applyFont="1" applyBorder="1" applyAlignment="1" applyProtection="1">
      <alignment horizontal="left" vertical="center" wrapText="1" shrinkToFit="1"/>
      <protection locked="0"/>
    </xf>
    <xf numFmtId="41" fontId="6" fillId="0" borderId="2" xfId="0" applyNumberFormat="1" applyFont="1" applyBorder="1">
      <alignment vertical="center"/>
    </xf>
    <xf numFmtId="0" fontId="3" fillId="0" borderId="2" xfId="1" applyFont="1" applyBorder="1" applyAlignment="1" applyProtection="1">
      <alignment vertical="center" shrinkToFit="1"/>
      <protection locked="0"/>
    </xf>
    <xf numFmtId="0" fontId="3" fillId="0" borderId="1" xfId="1" applyFont="1" applyBorder="1" applyAlignment="1" applyProtection="1">
      <alignment vertical="center" shrinkToFit="1"/>
      <protection locked="0"/>
    </xf>
    <xf numFmtId="184" fontId="6" fillId="9" borderId="1" xfId="1" applyNumberFormat="1" applyFont="1" applyFill="1" applyBorder="1" applyAlignment="1" applyProtection="1">
      <alignment horizontal="center" vertical="center" shrinkToFit="1"/>
      <protection locked="0"/>
    </xf>
    <xf numFmtId="0" fontId="14" fillId="3" borderId="0" xfId="0" applyFont="1" applyFill="1">
      <alignment vertical="center"/>
    </xf>
    <xf numFmtId="14" fontId="14" fillId="0" borderId="0" xfId="0" applyNumberFormat="1" applyFont="1">
      <alignment vertical="center"/>
    </xf>
    <xf numFmtId="41" fontId="6" fillId="2" borderId="1" xfId="0" applyNumberFormat="1" applyFont="1" applyFill="1" applyBorder="1">
      <alignment vertical="center"/>
    </xf>
    <xf numFmtId="14" fontId="6" fillId="10" borderId="1" xfId="1" applyNumberFormat="1" applyFont="1" applyFill="1" applyBorder="1" applyAlignment="1" applyProtection="1">
      <alignment horizontal="center" vertical="center" shrinkToFit="1"/>
      <protection locked="0"/>
    </xf>
    <xf numFmtId="4" fontId="9" fillId="0" borderId="1" xfId="1" applyNumberFormat="1" applyFont="1" applyBorder="1" applyAlignment="1" applyProtection="1">
      <alignment horizontal="center" vertical="center" shrinkToFit="1"/>
      <protection locked="0"/>
    </xf>
    <xf numFmtId="0" fontId="9" fillId="8" borderId="1" xfId="1" applyFont="1" applyFill="1" applyBorder="1" applyAlignment="1" applyProtection="1">
      <alignment vertical="center" wrapText="1" shrinkToFit="1"/>
      <protection locked="0"/>
    </xf>
    <xf numFmtId="0" fontId="20" fillId="8" borderId="1" xfId="0" applyFont="1" applyFill="1" applyBorder="1" applyAlignment="1">
      <alignment horizontal="center" vertical="center"/>
    </xf>
    <xf numFmtId="3" fontId="9" fillId="8" borderId="1" xfId="1" applyNumberFormat="1" applyFont="1" applyFill="1" applyBorder="1" applyAlignment="1">
      <alignment horizontal="center" vertical="center" shrinkToFit="1"/>
    </xf>
    <xf numFmtId="0" fontId="6" fillId="8" borderId="1" xfId="1" applyFont="1" applyFill="1" applyBorder="1" applyAlignment="1" applyProtection="1">
      <alignment vertical="center" shrinkToFit="1"/>
      <protection locked="0"/>
    </xf>
    <xf numFmtId="3" fontId="6" fillId="8" borderId="1" xfId="1" applyNumberFormat="1" applyFont="1" applyFill="1" applyBorder="1" applyAlignment="1">
      <alignment horizontal="center" vertical="center" shrinkToFit="1"/>
    </xf>
    <xf numFmtId="3" fontId="20" fillId="0" borderId="1" xfId="1" applyNumberFormat="1" applyFont="1" applyBorder="1" applyAlignment="1" applyProtection="1">
      <alignment horizontal="center" vertical="center" wrapText="1" shrinkToFit="1"/>
      <protection locked="0"/>
    </xf>
    <xf numFmtId="0" fontId="9" fillId="2" borderId="1" xfId="0" applyFont="1" applyFill="1" applyBorder="1" applyAlignment="1">
      <alignment horizontal="left" vertical="center"/>
    </xf>
    <xf numFmtId="3" fontId="6" fillId="2" borderId="1" xfId="1" applyNumberFormat="1" applyFont="1" applyFill="1" applyBorder="1" applyAlignment="1" applyProtection="1">
      <alignment horizontal="left" vertical="center"/>
      <protection locked="0"/>
    </xf>
    <xf numFmtId="178" fontId="9" fillId="0" borderId="1" xfId="0" applyNumberFormat="1" applyFont="1" applyBorder="1" applyAlignment="1">
      <alignment horizontal="center" vertical="center"/>
    </xf>
    <xf numFmtId="178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30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21" fillId="0" borderId="10" xfId="1" applyNumberFormat="1" applyFont="1" applyBorder="1" applyAlignment="1" applyProtection="1">
      <alignment horizontal="center" vertical="center" wrapText="1" shrinkToFit="1"/>
      <protection locked="0"/>
    </xf>
    <xf numFmtId="3" fontId="21" fillId="0" borderId="12" xfId="1" applyNumberFormat="1" applyFont="1" applyBorder="1" applyAlignment="1" applyProtection="1">
      <alignment horizontal="center" vertical="center" shrinkToFit="1"/>
      <protection locked="0"/>
    </xf>
    <xf numFmtId="3" fontId="21" fillId="0" borderId="8" xfId="1" applyNumberFormat="1" applyFont="1" applyBorder="1" applyAlignment="1" applyProtection="1">
      <alignment horizontal="center" vertical="center" shrinkToFit="1"/>
      <protection locked="0"/>
    </xf>
    <xf numFmtId="3" fontId="21" fillId="0" borderId="13" xfId="1" applyNumberFormat="1" applyFont="1" applyBorder="1" applyAlignment="1" applyProtection="1">
      <alignment horizontal="center" vertical="center" shrinkToFit="1"/>
      <protection locked="0"/>
    </xf>
    <xf numFmtId="14" fontId="22" fillId="0" borderId="10" xfId="0" applyNumberFormat="1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14" fontId="22" fillId="0" borderId="12" xfId="0" applyNumberFormat="1" applyFont="1" applyBorder="1" applyAlignment="1">
      <alignment horizontal="center" vertical="center"/>
    </xf>
    <xf numFmtId="14" fontId="22" fillId="0" borderId="8" xfId="0" applyNumberFormat="1" applyFont="1" applyBorder="1" applyAlignment="1">
      <alignment horizontal="center" vertical="center"/>
    </xf>
    <xf numFmtId="14" fontId="22" fillId="0" borderId="7" xfId="0" applyNumberFormat="1" applyFont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176" fontId="22" fillId="0" borderId="10" xfId="1" applyNumberFormat="1" applyFont="1" applyBorder="1" applyAlignment="1" applyProtection="1">
      <alignment horizontal="center" vertical="center" wrapText="1" shrinkToFit="1"/>
      <protection locked="0"/>
    </xf>
    <xf numFmtId="176" fontId="22" fillId="0" borderId="12" xfId="1" applyNumberFormat="1" applyFont="1" applyBorder="1" applyAlignment="1" applyProtection="1">
      <alignment horizontal="center" vertical="center" shrinkToFit="1"/>
      <protection locked="0"/>
    </xf>
    <xf numFmtId="176" fontId="22" fillId="0" borderId="8" xfId="1" applyNumberFormat="1" applyFont="1" applyBorder="1" applyAlignment="1" applyProtection="1">
      <alignment horizontal="center" vertical="center" shrinkToFit="1"/>
      <protection locked="0"/>
    </xf>
    <xf numFmtId="176" fontId="22" fillId="0" borderId="13" xfId="1" applyNumberFormat="1" applyFont="1" applyBorder="1" applyAlignment="1" applyProtection="1">
      <alignment horizontal="center" vertical="center" shrinkToFit="1"/>
      <protection locked="0"/>
    </xf>
    <xf numFmtId="14" fontId="22" fillId="0" borderId="9" xfId="0" applyNumberFormat="1" applyFont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3" fontId="22" fillId="0" borderId="10" xfId="1" applyNumberFormat="1" applyFont="1" applyBorder="1" applyAlignment="1" applyProtection="1">
      <alignment horizontal="center" vertical="center" wrapText="1" shrinkToFit="1"/>
      <protection locked="0"/>
    </xf>
    <xf numFmtId="3" fontId="22" fillId="0" borderId="12" xfId="1" applyNumberFormat="1" applyFont="1" applyBorder="1" applyAlignment="1" applyProtection="1">
      <alignment horizontal="center" vertical="center" shrinkToFit="1"/>
      <protection locked="0"/>
    </xf>
    <xf numFmtId="3" fontId="22" fillId="0" borderId="8" xfId="1" applyNumberFormat="1" applyFont="1" applyBorder="1" applyAlignment="1" applyProtection="1">
      <alignment horizontal="center" vertical="center" shrinkToFit="1"/>
      <protection locked="0"/>
    </xf>
    <xf numFmtId="3" fontId="22" fillId="0" borderId="13" xfId="1" applyNumberFormat="1" applyFont="1" applyBorder="1" applyAlignment="1" applyProtection="1">
      <alignment horizontal="center" vertical="center" shrinkToFit="1"/>
      <protection locked="0"/>
    </xf>
  </cellXfs>
  <cellStyles count="4">
    <cellStyle name="쉼표 [0]" xfId="3" builtinId="6"/>
    <cellStyle name="쉼표 [0] 10" xfId="2"/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FF"/>
      <color rgb="FF66FFFF"/>
      <color rgb="FF66FF66"/>
      <color rgb="FFFF99FF"/>
      <color rgb="FFFF66FF"/>
      <color rgb="FFE63AEA"/>
      <color rgb="FF00FF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288;&#47532;&#51088;\Desktop\&#49373;&#49328;&#49892;&#51201;_202606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288;&#47532;&#51088;\Desktop\&#49373;&#49328;&#49892;&#51201;_202606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288;&#47532;&#51088;\Desktop\&#49373;&#49328;&#49892;&#51201;_202605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288;&#47532;&#51088;\Desktop\&#49373;&#49328;&#49892;&#51201;_2026041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288;&#47532;&#51088;\Desktop\&#49373;&#49328;&#49892;&#51201;_202604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">
          <cell r="A1" t="str">
            <v>품목코드</v>
          </cell>
          <cell r="B1" t="str">
            <v>품목명칭 1</v>
          </cell>
          <cell r="C1" t="str">
            <v>지시량</v>
          </cell>
          <cell r="D1" t="str">
            <v>단위</v>
          </cell>
        </row>
        <row r="2">
          <cell r="A2">
            <v>30002630</v>
          </cell>
          <cell r="B2" t="str">
            <v>빵가루(원)</v>
          </cell>
          <cell r="C2">
            <v>0.63700000000000001</v>
          </cell>
          <cell r="D2" t="str">
            <v>Kg</v>
          </cell>
        </row>
        <row r="3">
          <cell r="A3">
            <v>30003320</v>
          </cell>
          <cell r="B3" t="str">
            <v>삼립)핫도그번(원)</v>
          </cell>
          <cell r="C3">
            <v>203</v>
          </cell>
          <cell r="D3" t="str">
            <v>개</v>
          </cell>
        </row>
        <row r="4">
          <cell r="A4">
            <v>20001437</v>
          </cell>
          <cell r="B4" t="str">
            <v>선진)냉동비프불고기토핑(원)</v>
          </cell>
          <cell r="C4">
            <v>7.843</v>
          </cell>
          <cell r="D4" t="str">
            <v>봉 (팩)</v>
          </cell>
        </row>
        <row r="5">
          <cell r="A5">
            <v>20001843</v>
          </cell>
          <cell r="B5" t="str">
            <v>푸른원)냉동시금치(원)</v>
          </cell>
          <cell r="C5">
            <v>119.214</v>
          </cell>
          <cell r="D5" t="str">
            <v>봉 (팩)</v>
          </cell>
        </row>
        <row r="6">
          <cell r="A6">
            <v>30001086</v>
          </cell>
          <cell r="B6" t="str">
            <v>푸른원)냉동혼합야채4종(원)</v>
          </cell>
          <cell r="C6">
            <v>7.2949999999999999</v>
          </cell>
          <cell r="D6" t="str">
            <v>봉 (팩)</v>
          </cell>
        </row>
        <row r="7">
          <cell r="A7">
            <v>30001145</v>
          </cell>
          <cell r="B7" t="str">
            <v>냉동다진마늘(푸른)(원)</v>
          </cell>
          <cell r="C7">
            <v>9.9049999999999994</v>
          </cell>
          <cell r="D7" t="str">
            <v>봉 (팩)</v>
          </cell>
        </row>
        <row r="8">
          <cell r="A8">
            <v>30001804</v>
          </cell>
          <cell r="B8" t="str">
            <v>아워홈)70미니등심돈까_15개(원)</v>
          </cell>
          <cell r="C8">
            <v>169.767</v>
          </cell>
          <cell r="D8" t="str">
            <v>봉 (팩)</v>
          </cell>
        </row>
        <row r="9">
          <cell r="A9">
            <v>30002098</v>
          </cell>
          <cell r="B9" t="str">
            <v>나트륨줄인가라아게(원)</v>
          </cell>
          <cell r="C9">
            <v>83.570999999999998</v>
          </cell>
          <cell r="D9" t="str">
            <v>봉 (팩)</v>
          </cell>
        </row>
        <row r="10">
          <cell r="A10">
            <v>30002109</v>
          </cell>
          <cell r="B10" t="str">
            <v>풍림)스크램블드에그(원)</v>
          </cell>
          <cell r="C10">
            <v>34.552</v>
          </cell>
          <cell r="D10" t="str">
            <v>봉 (팩)</v>
          </cell>
        </row>
        <row r="11">
          <cell r="A11">
            <v>30002283</v>
          </cell>
          <cell r="B11" t="str">
            <v>푸른원)냉동알마늘(원)</v>
          </cell>
          <cell r="C11">
            <v>11.164</v>
          </cell>
          <cell r="D11" t="str">
            <v>봉 (팩)</v>
          </cell>
        </row>
        <row r="12">
          <cell r="A12">
            <v>30002324</v>
          </cell>
          <cell r="B12" t="str">
            <v>대상)반숙계란후라이_냉동(원)</v>
          </cell>
          <cell r="C12">
            <v>106.15</v>
          </cell>
          <cell r="D12" t="str">
            <v>봉 (팩)</v>
          </cell>
        </row>
        <row r="13">
          <cell r="A13">
            <v>30002522</v>
          </cell>
          <cell r="B13" t="str">
            <v>대상)고추장돼지불고기토핑(원)</v>
          </cell>
          <cell r="C13">
            <v>89.578999999999994</v>
          </cell>
          <cell r="D13" t="str">
            <v>봉 (팩)</v>
          </cell>
        </row>
        <row r="14">
          <cell r="A14">
            <v>30002549</v>
          </cell>
          <cell r="B14" t="str">
            <v>한돈프리미엄돈카츠(원)</v>
          </cell>
          <cell r="C14">
            <v>92.05</v>
          </cell>
          <cell r="D14" t="str">
            <v>봉 (팩)</v>
          </cell>
        </row>
        <row r="15">
          <cell r="A15">
            <v>30002655</v>
          </cell>
          <cell r="B15" t="str">
            <v>전지베이컨(봉당50장)(원)</v>
          </cell>
          <cell r="C15">
            <v>17.207999999999998</v>
          </cell>
          <cell r="D15" t="str">
            <v>봉 (팩)</v>
          </cell>
        </row>
        <row r="16">
          <cell r="A16">
            <v>30002747</v>
          </cell>
          <cell r="B16" t="str">
            <v>대상)간장돼지불고기(원)</v>
          </cell>
          <cell r="C16">
            <v>30.905999999999999</v>
          </cell>
          <cell r="D16" t="str">
            <v>봉 (팩)</v>
          </cell>
        </row>
        <row r="17">
          <cell r="A17">
            <v>30002748</v>
          </cell>
          <cell r="B17" t="str">
            <v>대상)고추장돼지불고기(원)</v>
          </cell>
          <cell r="C17">
            <v>123.996</v>
          </cell>
          <cell r="D17" t="str">
            <v>봉 (팩)</v>
          </cell>
        </row>
        <row r="18">
          <cell r="A18">
            <v>30002893</v>
          </cell>
          <cell r="B18" t="str">
            <v>청정원)떡갈비_65개(원)</v>
          </cell>
          <cell r="C18">
            <v>20.404</v>
          </cell>
          <cell r="D18" t="str">
            <v>봉 (팩)</v>
          </cell>
        </row>
        <row r="19">
          <cell r="A19">
            <v>30002894</v>
          </cell>
          <cell r="B19" t="str">
            <v>크레잇)계란동그랑땡(46개)(원)</v>
          </cell>
          <cell r="C19">
            <v>28.831</v>
          </cell>
          <cell r="D19" t="str">
            <v>봉 (팩)</v>
          </cell>
        </row>
        <row r="20">
          <cell r="A20">
            <v>30002895</v>
          </cell>
          <cell r="B20" t="str">
            <v>대상)매콤한양념닭갈비(원)</v>
          </cell>
          <cell r="C20">
            <v>31.184000000000001</v>
          </cell>
          <cell r="D20" t="str">
            <v>봉 (팩)</v>
          </cell>
        </row>
        <row r="21">
          <cell r="A21">
            <v>30002949</v>
          </cell>
          <cell r="B21" t="str">
            <v>청학)냉동대파슬라이스(원)</v>
          </cell>
          <cell r="C21">
            <v>5.74</v>
          </cell>
          <cell r="D21" t="str">
            <v>봉 (팩)</v>
          </cell>
        </row>
        <row r="22">
          <cell r="A22">
            <v>30002950</v>
          </cell>
          <cell r="B22" t="str">
            <v>선진)매콤오징어(원)</v>
          </cell>
          <cell r="C22">
            <v>16.965</v>
          </cell>
          <cell r="D22" t="str">
            <v>봉 (팩)</v>
          </cell>
        </row>
        <row r="23">
          <cell r="A23">
            <v>30002951</v>
          </cell>
          <cell r="B23" t="str">
            <v>선진)매콤제육(원)</v>
          </cell>
          <cell r="C23">
            <v>48.960999999999999</v>
          </cell>
          <cell r="D23" t="str">
            <v>봉 (팩)</v>
          </cell>
        </row>
        <row r="24">
          <cell r="A24">
            <v>30002987</v>
          </cell>
          <cell r="B24" t="str">
            <v>등심돈까스140(10개)(원)</v>
          </cell>
          <cell r="C24">
            <v>88.4</v>
          </cell>
          <cell r="D24" t="str">
            <v>봉 (팩)</v>
          </cell>
        </row>
        <row r="25">
          <cell r="A25">
            <v>30002988</v>
          </cell>
          <cell r="B25" t="str">
            <v>선진)미트볼골드(봉당90개)(원)</v>
          </cell>
          <cell r="C25">
            <v>9.8230000000000004</v>
          </cell>
          <cell r="D25" t="str">
            <v>봉 (팩)</v>
          </cell>
        </row>
        <row r="26">
          <cell r="A26">
            <v>30003072</v>
          </cell>
          <cell r="B26" t="str">
            <v>크레잇)꼬마돈카츠(95개)(원)</v>
          </cell>
          <cell r="C26">
            <v>51.776000000000003</v>
          </cell>
          <cell r="D26" t="str">
            <v>봉 (팩)</v>
          </cell>
        </row>
        <row r="27">
          <cell r="A27">
            <v>30003285</v>
          </cell>
          <cell r="B27" t="str">
            <v>아워홈)미니사각어묵(원)</v>
          </cell>
          <cell r="C27">
            <v>68.953999999999994</v>
          </cell>
          <cell r="D27" t="str">
            <v>봉 (팩)</v>
          </cell>
        </row>
        <row r="28">
          <cell r="A28">
            <v>30003287</v>
          </cell>
          <cell r="B28" t="str">
            <v>G세블락프랑크(케이싱(20개(원)</v>
          </cell>
          <cell r="C28">
            <v>10.15</v>
          </cell>
          <cell r="D28" t="str">
            <v>봉 (팩)</v>
          </cell>
        </row>
        <row r="29">
          <cell r="A29">
            <v>30003294</v>
          </cell>
          <cell r="B29" t="str">
            <v>오래)매콤고추장제육불고기(원)</v>
          </cell>
          <cell r="C29">
            <v>13.613</v>
          </cell>
          <cell r="D29" t="str">
            <v>봉 (팩)</v>
          </cell>
        </row>
        <row r="30">
          <cell r="A30">
            <v>30003295</v>
          </cell>
          <cell r="B30" t="str">
            <v>선진)혜자토네이도소시지(원)</v>
          </cell>
          <cell r="C30">
            <v>59.74</v>
          </cell>
          <cell r="D30" t="str">
            <v>봉 (팩)</v>
          </cell>
        </row>
        <row r="31">
          <cell r="A31">
            <v>30003297</v>
          </cell>
          <cell r="B31" t="str">
            <v>국일)더잘군불향가득츠쿠네(원)</v>
          </cell>
          <cell r="C31">
            <v>20.908999999999999</v>
          </cell>
          <cell r="D31" t="str">
            <v>봉 (팩)</v>
          </cell>
        </row>
        <row r="32">
          <cell r="A32">
            <v>30003364</v>
          </cell>
          <cell r="B32" t="str">
            <v>아워홈)치킨스테이크(원)</v>
          </cell>
          <cell r="C32">
            <v>34.848999999999997</v>
          </cell>
          <cell r="D32" t="str">
            <v>봉 (팩)</v>
          </cell>
        </row>
        <row r="33">
          <cell r="A33">
            <v>30003391</v>
          </cell>
          <cell r="B33" t="str">
            <v>CJ)크레잇간장돼지불고기(원)</v>
          </cell>
          <cell r="C33">
            <v>35.015999999999998</v>
          </cell>
          <cell r="D33" t="str">
            <v>봉 (팩)</v>
          </cell>
        </row>
        <row r="34">
          <cell r="A34">
            <v>30003393</v>
          </cell>
          <cell r="B34" t="str">
            <v>현대그린푸드)냉동열무나물(원)</v>
          </cell>
          <cell r="C34">
            <v>37.049999999999997</v>
          </cell>
          <cell r="D34" t="str">
            <v>봉 (팩)</v>
          </cell>
        </row>
        <row r="35">
          <cell r="A35">
            <v>30003415</v>
          </cell>
          <cell r="B35" t="str">
            <v>대상)매운마늘맛불고기(원)</v>
          </cell>
          <cell r="C35">
            <v>1.663</v>
          </cell>
          <cell r="D35" t="str">
            <v>봉 (팩)</v>
          </cell>
        </row>
        <row r="36">
          <cell r="A36">
            <v>30003438</v>
          </cell>
          <cell r="B36" t="str">
            <v>아워홈)연탄구이맛제육(원)</v>
          </cell>
          <cell r="C36">
            <v>48.133000000000003</v>
          </cell>
          <cell r="D36" t="str">
            <v>봉 (팩)</v>
          </cell>
        </row>
        <row r="37">
          <cell r="A37">
            <v>30003440</v>
          </cell>
          <cell r="B37" t="str">
            <v>선진)찌개용어슷후랑크(원)</v>
          </cell>
          <cell r="C37">
            <v>29.114999999999998</v>
          </cell>
          <cell r="D37" t="str">
            <v>봉 (팩)</v>
          </cell>
        </row>
        <row r="38">
          <cell r="A38">
            <v>30003442</v>
          </cell>
          <cell r="B38" t="str">
            <v>현대)건새우마늘쫑볶음(원)</v>
          </cell>
          <cell r="C38">
            <v>37.799999999999997</v>
          </cell>
          <cell r="D38" t="str">
            <v>봉 (팩)</v>
          </cell>
        </row>
        <row r="39">
          <cell r="A39">
            <v>30003464</v>
          </cell>
          <cell r="B39" t="str">
            <v>야미)계란옷입은소시지전(원)</v>
          </cell>
          <cell r="C39">
            <v>20.018999999999998</v>
          </cell>
          <cell r="D39" t="str">
            <v>봉 (팩)</v>
          </cell>
        </row>
        <row r="40">
          <cell r="A40">
            <v>30003466</v>
          </cell>
          <cell r="B40" t="str">
            <v>선진)매콤한춘천식닭갈비(원)</v>
          </cell>
          <cell r="C40">
            <v>21.63</v>
          </cell>
          <cell r="D40" t="str">
            <v>봉 (팩)</v>
          </cell>
        </row>
        <row r="41">
          <cell r="A41">
            <v>30003487</v>
          </cell>
          <cell r="B41" t="str">
            <v>선진)두부두루치기용다짐육(원)</v>
          </cell>
          <cell r="C41">
            <v>0.6</v>
          </cell>
          <cell r="D41" t="str">
            <v>봉 (팩)</v>
          </cell>
        </row>
        <row r="42">
          <cell r="A42">
            <v>30003491</v>
          </cell>
          <cell r="B42" t="str">
            <v>대상)칼집돼지갈비맛불고기(원)</v>
          </cell>
          <cell r="C42">
            <v>18.027999999999999</v>
          </cell>
          <cell r="D42" t="str">
            <v>봉 (팩)</v>
          </cell>
        </row>
        <row r="43">
          <cell r="A43">
            <v>30003527</v>
          </cell>
          <cell r="B43" t="str">
            <v>선진)대파불고기양념육(원)</v>
          </cell>
          <cell r="C43">
            <v>35.14</v>
          </cell>
          <cell r="D43" t="str">
            <v>봉 (팩)</v>
          </cell>
        </row>
        <row r="44">
          <cell r="A44">
            <v>30003558</v>
          </cell>
          <cell r="B44" t="str">
            <v>대상)고추장돈육전지불고기(원)</v>
          </cell>
          <cell r="C44">
            <v>18.187000000000001</v>
          </cell>
          <cell r="D44" t="str">
            <v>봉 (팩)</v>
          </cell>
        </row>
        <row r="45">
          <cell r="A45">
            <v>30003569</v>
          </cell>
          <cell r="B45" t="str">
            <v>대상)김치제육용불고기토핑(원)</v>
          </cell>
          <cell r="C45">
            <v>29.437000000000001</v>
          </cell>
          <cell r="D45" t="str">
            <v>봉 (팩)</v>
          </cell>
        </row>
        <row r="46">
          <cell r="A46">
            <v>30003575</v>
          </cell>
          <cell r="B46" t="str">
            <v>CJ)크레잇고추장돼지불고기(원)</v>
          </cell>
          <cell r="C46">
            <v>1.7150000000000001</v>
          </cell>
          <cell r="D46" t="str">
            <v>봉 (팩)</v>
          </cell>
        </row>
        <row r="47">
          <cell r="A47">
            <v>30003600</v>
          </cell>
          <cell r="B47" t="str">
            <v>YDS)마일드순살치킨(10개)(원)</v>
          </cell>
          <cell r="C47">
            <v>27.9</v>
          </cell>
          <cell r="D47" t="str">
            <v>봉 (팩)</v>
          </cell>
        </row>
        <row r="48">
          <cell r="A48">
            <v>30003602</v>
          </cell>
          <cell r="B48" t="str">
            <v>광주식품)삼대가순살족발(원)</v>
          </cell>
          <cell r="C48">
            <v>25.754000000000001</v>
          </cell>
          <cell r="D48" t="str">
            <v>봉 (팩)</v>
          </cell>
        </row>
        <row r="49">
          <cell r="A49">
            <v>30003603</v>
          </cell>
          <cell r="B49" t="str">
            <v>푸른원)냉동양파슬라이스(원)</v>
          </cell>
          <cell r="C49">
            <v>37.572000000000003</v>
          </cell>
          <cell r="D49" t="str">
            <v>봉 (팩)</v>
          </cell>
        </row>
        <row r="50">
          <cell r="A50">
            <v>30003606</v>
          </cell>
          <cell r="B50" t="str">
            <v>한울)다진열무나물(원)</v>
          </cell>
          <cell r="C50">
            <v>5.8319999999999999</v>
          </cell>
          <cell r="D50" t="str">
            <v>봉 (팩)</v>
          </cell>
        </row>
        <row r="51">
          <cell r="A51">
            <v>30003609</v>
          </cell>
          <cell r="B51" t="str">
            <v>국일)불향가득떡고기말이(원)</v>
          </cell>
          <cell r="C51">
            <v>44.64</v>
          </cell>
          <cell r="D51" t="str">
            <v>봉 (팩)</v>
          </cell>
        </row>
        <row r="52">
          <cell r="A52">
            <v>30003610</v>
          </cell>
          <cell r="B52" t="str">
            <v>동원)무색명란분란(원)</v>
          </cell>
          <cell r="C52">
            <v>2.8079999999999998</v>
          </cell>
          <cell r="D52" t="str">
            <v>봉 (팩)</v>
          </cell>
        </row>
        <row r="53">
          <cell r="A53">
            <v>30003611</v>
          </cell>
          <cell r="B53" t="str">
            <v>지앤원)동림날치알(담홍)(원)</v>
          </cell>
          <cell r="C53">
            <v>0.254</v>
          </cell>
          <cell r="D53" t="str">
            <v>봉 (팩)</v>
          </cell>
        </row>
        <row r="54">
          <cell r="A54">
            <v>20001849</v>
          </cell>
          <cell r="B54" t="str">
            <v>게맛살(원)</v>
          </cell>
          <cell r="C54">
            <v>53.747</v>
          </cell>
          <cell r="D54" t="str">
            <v>봉 (팩)</v>
          </cell>
        </row>
        <row r="55">
          <cell r="A55">
            <v>20195150</v>
          </cell>
          <cell r="B55" t="str">
            <v>매일)마일드체다SOS(80개)(원)</v>
          </cell>
          <cell r="C55">
            <v>31.853999999999999</v>
          </cell>
          <cell r="D55" t="str">
            <v>봉 (팩)</v>
          </cell>
        </row>
        <row r="56">
          <cell r="A56">
            <v>30000091</v>
          </cell>
          <cell r="B56" t="str">
            <v>파프리카소스(원)</v>
          </cell>
          <cell r="C56">
            <v>2.9119999999999999</v>
          </cell>
          <cell r="D56" t="str">
            <v>봉 (팩)</v>
          </cell>
        </row>
        <row r="57">
          <cell r="A57">
            <v>30000376</v>
          </cell>
          <cell r="B57" t="str">
            <v>골드스모크햄세절88(원)</v>
          </cell>
          <cell r="C57">
            <v>32.648000000000003</v>
          </cell>
          <cell r="D57" t="str">
            <v>봉 (팩)</v>
          </cell>
        </row>
        <row r="58">
          <cell r="A58">
            <v>30000910</v>
          </cell>
          <cell r="B58" t="str">
            <v>이레팜)야채계란말이(원)</v>
          </cell>
          <cell r="C58">
            <v>29.251000000000001</v>
          </cell>
          <cell r="D58" t="str">
            <v>봉 (팩)</v>
          </cell>
        </row>
        <row r="59">
          <cell r="A59">
            <v>30001165</v>
          </cell>
          <cell r="B59" t="str">
            <v>깍두기(원)</v>
          </cell>
          <cell r="C59">
            <v>2.82</v>
          </cell>
          <cell r="D59" t="str">
            <v>박스</v>
          </cell>
        </row>
        <row r="60">
          <cell r="A60">
            <v>30002007</v>
          </cell>
          <cell r="B60" t="str">
            <v>이레팜)계란구이(세절)(원)</v>
          </cell>
          <cell r="C60">
            <v>15.157</v>
          </cell>
          <cell r="D60" t="str">
            <v>봉 (팩)</v>
          </cell>
        </row>
        <row r="61">
          <cell r="A61">
            <v>30002355</v>
          </cell>
          <cell r="B61" t="str">
            <v>아워홈)부산어묵볼(150개)(원)</v>
          </cell>
          <cell r="C61">
            <v>26.26</v>
          </cell>
          <cell r="D61" t="str">
            <v>봉 (팩)</v>
          </cell>
        </row>
        <row r="62">
          <cell r="A62">
            <v>30002431</v>
          </cell>
          <cell r="B62" t="str">
            <v>크레잇)칼집비엔나(50개)(원)</v>
          </cell>
          <cell r="C62">
            <v>43.640999999999998</v>
          </cell>
          <cell r="D62" t="str">
            <v>봉 (팩)</v>
          </cell>
        </row>
        <row r="63">
          <cell r="A63">
            <v>30002555</v>
          </cell>
          <cell r="B63" t="str">
            <v>MDS)햄마카로니샐러드G(원)</v>
          </cell>
          <cell r="C63">
            <v>49.515000000000001</v>
          </cell>
          <cell r="D63" t="str">
            <v>봉 (팩)</v>
          </cell>
        </row>
        <row r="64">
          <cell r="A64">
            <v>30002593</v>
          </cell>
          <cell r="B64" t="str">
            <v>MDS)콘버터G(원)</v>
          </cell>
          <cell r="C64">
            <v>26.006</v>
          </cell>
          <cell r="D64" t="str">
            <v>봉 (팩)</v>
          </cell>
        </row>
        <row r="65">
          <cell r="A65">
            <v>30002614</v>
          </cell>
          <cell r="B65" t="str">
            <v>동원)비엔나소세지_110개(원)</v>
          </cell>
          <cell r="C65">
            <v>59.682000000000002</v>
          </cell>
          <cell r="D65" t="str">
            <v>봉 (팩)</v>
          </cell>
        </row>
        <row r="66">
          <cell r="A66">
            <v>30002730</v>
          </cell>
          <cell r="B66" t="str">
            <v>디핀)앵커체다슬라(냉동김밥(원</v>
          </cell>
          <cell r="C66">
            <v>100.01300000000001</v>
          </cell>
          <cell r="D66" t="str">
            <v>봉 (팩)</v>
          </cell>
        </row>
        <row r="67">
          <cell r="A67">
            <v>30002846</v>
          </cell>
          <cell r="B67" t="str">
            <v>대상)비빔밥용고추장소스A(원)</v>
          </cell>
          <cell r="C67">
            <v>2.2109999999999999</v>
          </cell>
          <cell r="D67" t="str">
            <v>봉 (팩)</v>
          </cell>
        </row>
        <row r="68">
          <cell r="A68">
            <v>30002896</v>
          </cell>
          <cell r="B68" t="str">
            <v>동방)통통쏘야소스(원)</v>
          </cell>
          <cell r="C68">
            <v>3.5720000000000001</v>
          </cell>
          <cell r="D68" t="str">
            <v>봉 (팩)</v>
          </cell>
        </row>
        <row r="69">
          <cell r="A69">
            <v>30002902</v>
          </cell>
          <cell r="B69" t="str">
            <v>베지가든)토마토파스타소스(원)</v>
          </cell>
          <cell r="C69">
            <v>12.007</v>
          </cell>
          <cell r="D69" t="str">
            <v>봉 (팩)</v>
          </cell>
        </row>
        <row r="70">
          <cell r="A70">
            <v>30002903</v>
          </cell>
          <cell r="B70" t="str">
            <v>선진)치즈콕콕소시지(14개)(원)</v>
          </cell>
          <cell r="C70">
            <v>75.599999999999994</v>
          </cell>
          <cell r="D70" t="str">
            <v>봉 (팩)</v>
          </cell>
        </row>
        <row r="71">
          <cell r="A71">
            <v>30002904</v>
          </cell>
          <cell r="B71" t="str">
            <v>다미)할라피뇨칠리소스(원)</v>
          </cell>
          <cell r="C71">
            <v>3.0579999999999998</v>
          </cell>
          <cell r="D71" t="str">
            <v>봉 (팩)</v>
          </cell>
        </row>
        <row r="72">
          <cell r="A72">
            <v>30002992</v>
          </cell>
          <cell r="B72" t="str">
            <v>FS)경양식돈까스소스H(소포장(원</v>
          </cell>
          <cell r="C72">
            <v>884</v>
          </cell>
          <cell r="D72" t="str">
            <v>개</v>
          </cell>
        </row>
        <row r="73">
          <cell r="A73">
            <v>30003064</v>
          </cell>
          <cell r="B73" t="str">
            <v>다미)쌈장마요네즈소스(원)</v>
          </cell>
          <cell r="C73">
            <v>6.2060000000000004</v>
          </cell>
          <cell r="D73" t="str">
            <v>봉 (팩)</v>
          </cell>
        </row>
        <row r="74">
          <cell r="A74">
            <v>30003070</v>
          </cell>
          <cell r="B74" t="str">
            <v>한성)숯불구이맛김밥햄(원)</v>
          </cell>
          <cell r="C74">
            <v>12</v>
          </cell>
          <cell r="D74" t="str">
            <v>봉 (팩)</v>
          </cell>
        </row>
        <row r="75">
          <cell r="A75">
            <v>30003367</v>
          </cell>
          <cell r="B75" t="str">
            <v>다미)잡채용소스_JH(원)</v>
          </cell>
          <cell r="C75">
            <v>2.278</v>
          </cell>
          <cell r="D75" t="str">
            <v>봉 (팩)</v>
          </cell>
        </row>
        <row r="76">
          <cell r="A76">
            <v>30003465</v>
          </cell>
          <cell r="B76" t="str">
            <v>다미)닭갈비소스(원)</v>
          </cell>
          <cell r="C76">
            <v>1.9630000000000001</v>
          </cell>
          <cell r="D76" t="str">
            <v>봉 (팩)</v>
          </cell>
        </row>
        <row r="77">
          <cell r="A77">
            <v>30003510</v>
          </cell>
          <cell r="B77" t="str">
            <v>이레팜)더커진계란구이(원)</v>
          </cell>
          <cell r="C77">
            <v>93.741</v>
          </cell>
          <cell r="D77" t="str">
            <v>봉 (팩)</v>
          </cell>
        </row>
        <row r="78">
          <cell r="A78">
            <v>30003555</v>
          </cell>
          <cell r="B78" t="str">
            <v>다미)마파두부소스(원)</v>
          </cell>
          <cell r="C78">
            <v>0.48799999999999999</v>
          </cell>
          <cell r="D78" t="str">
            <v>봉 (팩)</v>
          </cell>
        </row>
        <row r="79">
          <cell r="A79">
            <v>30003556</v>
          </cell>
          <cell r="B79" t="str">
            <v>태원)마라상궈소스(원)</v>
          </cell>
          <cell r="C79">
            <v>3.6999999999999998E-2</v>
          </cell>
          <cell r="D79" t="str">
            <v>봉 (팩)</v>
          </cell>
        </row>
        <row r="80">
          <cell r="A80">
            <v>30003557</v>
          </cell>
          <cell r="B80" t="str">
            <v>조리편한조각두부(찌개용)(원)</v>
          </cell>
          <cell r="C80">
            <v>1.8080000000000001</v>
          </cell>
          <cell r="D80" t="str">
            <v>봉 (팩)</v>
          </cell>
        </row>
        <row r="81">
          <cell r="A81">
            <v>30003596</v>
          </cell>
          <cell r="B81" t="str">
            <v>대상)쉐프원불맛베이스(원)</v>
          </cell>
          <cell r="C81">
            <v>5.6970000000000001</v>
          </cell>
          <cell r="D81" t="str">
            <v>봉 (팩)</v>
          </cell>
        </row>
        <row r="82">
          <cell r="A82">
            <v>30003599</v>
          </cell>
          <cell r="B82" t="str">
            <v>조리편한조각두부(부침용)(원)</v>
          </cell>
          <cell r="C82">
            <v>25.364000000000001</v>
          </cell>
          <cell r="D82" t="str">
            <v>봉 (팩)</v>
          </cell>
        </row>
        <row r="83">
          <cell r="A83">
            <v>30003612</v>
          </cell>
          <cell r="B83" t="str">
            <v>다미)명란마요소스(원)</v>
          </cell>
          <cell r="C83">
            <v>0.45600000000000002</v>
          </cell>
          <cell r="D83" t="str">
            <v>봉 (팩)</v>
          </cell>
        </row>
        <row r="84">
          <cell r="A84">
            <v>30003620</v>
          </cell>
          <cell r="B84" t="str">
            <v>사조)부산어묵마당놀이2(원)</v>
          </cell>
          <cell r="C84">
            <v>50.795000000000002</v>
          </cell>
          <cell r="D84" t="str">
            <v>봉 (팩)</v>
          </cell>
        </row>
        <row r="85">
          <cell r="A85">
            <v>20001846</v>
          </cell>
          <cell r="B85" t="str">
            <v>전처리당근채(3mm)(원)</v>
          </cell>
          <cell r="C85">
            <v>49.805999999999997</v>
          </cell>
          <cell r="D85" t="str">
            <v>봉 (팩)</v>
          </cell>
        </row>
        <row r="86">
          <cell r="A86">
            <v>30000065</v>
          </cell>
          <cell r="B86" t="str">
            <v>FS)고추장불고기소스(원)</v>
          </cell>
          <cell r="C86">
            <v>17.283999999999999</v>
          </cell>
          <cell r="D86" t="str">
            <v>봉 (팩)</v>
          </cell>
        </row>
        <row r="87">
          <cell r="A87">
            <v>30000081</v>
          </cell>
          <cell r="B87" t="str">
            <v>부림)깐당근(원)</v>
          </cell>
          <cell r="C87">
            <v>0.59399999999999997</v>
          </cell>
          <cell r="D87" t="str">
            <v>박스</v>
          </cell>
        </row>
        <row r="88">
          <cell r="A88">
            <v>30000086</v>
          </cell>
          <cell r="B88" t="str">
            <v>콩나물(원)</v>
          </cell>
          <cell r="C88">
            <v>6.3529999999999998</v>
          </cell>
          <cell r="D88" t="str">
            <v>박스</v>
          </cell>
        </row>
        <row r="89">
          <cell r="A89">
            <v>30000121</v>
          </cell>
          <cell r="B89" t="str">
            <v>한울)볶음김치골드(원)</v>
          </cell>
          <cell r="C89">
            <v>50.832999999999998</v>
          </cell>
          <cell r="D89" t="str">
            <v>봉 (팩)</v>
          </cell>
        </row>
        <row r="90">
          <cell r="A90">
            <v>30000124</v>
          </cell>
          <cell r="B90" t="str">
            <v>깐쪽파(원재료)</v>
          </cell>
          <cell r="C90">
            <v>7.0119999999999996</v>
          </cell>
          <cell r="D90" t="str">
            <v>봉 (팩)</v>
          </cell>
        </row>
        <row r="91">
          <cell r="A91">
            <v>30000709</v>
          </cell>
          <cell r="B91" t="str">
            <v>FS)김치볶음밥용소스(원)</v>
          </cell>
          <cell r="C91">
            <v>41.96</v>
          </cell>
          <cell r="D91" t="str">
            <v>봉 (팩)</v>
          </cell>
        </row>
        <row r="92">
          <cell r="A92">
            <v>30000746</v>
          </cell>
          <cell r="B92" t="str">
            <v>동방)어묵볶음용소스-FS(원)</v>
          </cell>
          <cell r="C92">
            <v>1.847</v>
          </cell>
          <cell r="D92" t="str">
            <v>봉 (팩)</v>
          </cell>
        </row>
        <row r="93">
          <cell r="A93">
            <v>30001057</v>
          </cell>
          <cell r="B93" t="str">
            <v>FS)간장소스-케이(원)</v>
          </cell>
          <cell r="C93">
            <v>5.0990000000000002</v>
          </cell>
          <cell r="D93" t="str">
            <v>봉 (팩)</v>
          </cell>
        </row>
        <row r="94">
          <cell r="A94">
            <v>30001126</v>
          </cell>
          <cell r="B94" t="str">
            <v>부림)양배추(원)</v>
          </cell>
          <cell r="C94">
            <v>16.805</v>
          </cell>
          <cell r="D94" t="str">
            <v>박스</v>
          </cell>
        </row>
        <row r="95">
          <cell r="A95">
            <v>30001136</v>
          </cell>
          <cell r="B95" t="str">
            <v>부림)깻잎(원)</v>
          </cell>
          <cell r="C95">
            <v>8.8719999999999999</v>
          </cell>
          <cell r="D95" t="str">
            <v>박스</v>
          </cell>
        </row>
        <row r="96">
          <cell r="A96">
            <v>30001166</v>
          </cell>
          <cell r="B96" t="str">
            <v>부림)깐도라지채(원)</v>
          </cell>
          <cell r="C96">
            <v>10.48</v>
          </cell>
          <cell r="D96" t="str">
            <v>봉 (팩)</v>
          </cell>
        </row>
        <row r="97">
          <cell r="A97">
            <v>30001823</v>
          </cell>
          <cell r="B97" t="str">
            <v>부추(원)</v>
          </cell>
          <cell r="C97">
            <v>0.63</v>
          </cell>
          <cell r="D97" t="str">
            <v>박스</v>
          </cell>
        </row>
        <row r="98">
          <cell r="A98">
            <v>30002077</v>
          </cell>
          <cell r="B98" t="str">
            <v>FS)매콤닭강정소스(원)</v>
          </cell>
          <cell r="C98">
            <v>5.5759999999999996</v>
          </cell>
          <cell r="D98" t="str">
            <v>봉 (팩)</v>
          </cell>
        </row>
        <row r="99">
          <cell r="A99">
            <v>30002092</v>
          </cell>
          <cell r="B99" t="str">
            <v>한울)진미채견과볶음(원)</v>
          </cell>
          <cell r="C99">
            <v>20.404</v>
          </cell>
          <cell r="D99" t="str">
            <v>봉 (팩)</v>
          </cell>
        </row>
        <row r="100">
          <cell r="A100">
            <v>30002096</v>
          </cell>
          <cell r="B100" t="str">
            <v>FS)돈까스소스-FS(원)</v>
          </cell>
          <cell r="C100">
            <v>6.5650000000000004</v>
          </cell>
          <cell r="D100" t="str">
            <v>봉 (팩)</v>
          </cell>
        </row>
        <row r="101">
          <cell r="A101">
            <v>30002195</v>
          </cell>
          <cell r="B101" t="str">
            <v>FS)뉴비빔밥용고추장소스(원)</v>
          </cell>
          <cell r="C101">
            <v>28.006</v>
          </cell>
          <cell r="D101" t="str">
            <v>봉 (팩)</v>
          </cell>
        </row>
        <row r="102">
          <cell r="A102">
            <v>30002298</v>
          </cell>
          <cell r="B102" t="str">
            <v>부림)깐양파(원)</v>
          </cell>
          <cell r="C102">
            <v>4.4219999999999997</v>
          </cell>
          <cell r="D102" t="str">
            <v>봉 (팩)</v>
          </cell>
        </row>
        <row r="103">
          <cell r="A103">
            <v>30002363</v>
          </cell>
          <cell r="B103" t="str">
            <v>FS)너비아니양념소스J(원)</v>
          </cell>
          <cell r="C103">
            <v>9.9740000000000002</v>
          </cell>
          <cell r="D103" t="str">
            <v>봉 (팩)</v>
          </cell>
        </row>
        <row r="104">
          <cell r="A104">
            <v>30002442</v>
          </cell>
          <cell r="B104" t="str">
            <v>반찬단지우엉조림(원)</v>
          </cell>
          <cell r="C104">
            <v>42.088000000000001</v>
          </cell>
          <cell r="D104" t="str">
            <v>봉 (팩)</v>
          </cell>
        </row>
        <row r="105">
          <cell r="A105">
            <v>30002585</v>
          </cell>
          <cell r="B105" t="str">
            <v>FS)삼각치킨조미소스(원)</v>
          </cell>
          <cell r="C105">
            <v>10.210000000000001</v>
          </cell>
          <cell r="D105" t="str">
            <v>봉 (팩)</v>
          </cell>
        </row>
        <row r="106">
          <cell r="A106">
            <v>30002599</v>
          </cell>
          <cell r="B106" t="str">
            <v>종가)맛김치(원)</v>
          </cell>
          <cell r="C106">
            <v>18.138999999999999</v>
          </cell>
          <cell r="D106" t="str">
            <v>봉 (팩)</v>
          </cell>
        </row>
        <row r="107">
          <cell r="A107">
            <v>30002650</v>
          </cell>
          <cell r="B107" t="str">
            <v>FS)청양식매운맛간장소스(원)</v>
          </cell>
          <cell r="C107">
            <v>6.3380000000000001</v>
          </cell>
          <cell r="D107" t="str">
            <v>봉 (팩)</v>
          </cell>
        </row>
        <row r="108">
          <cell r="A108">
            <v>30002664</v>
          </cell>
          <cell r="B108" t="str">
            <v>수입산우엉채(냉동김밥용)(원)</v>
          </cell>
          <cell r="C108">
            <v>102.137</v>
          </cell>
          <cell r="D108" t="str">
            <v>봉 (팩)</v>
          </cell>
        </row>
        <row r="109">
          <cell r="A109">
            <v>30002669</v>
          </cell>
          <cell r="B109" t="str">
            <v>3mm당근채(냉동김밥용)(원)</v>
          </cell>
          <cell r="C109">
            <v>47.526000000000003</v>
          </cell>
          <cell r="D109" t="str">
            <v>봉 (팩)</v>
          </cell>
        </row>
        <row r="110">
          <cell r="A110">
            <v>30002702</v>
          </cell>
          <cell r="B110" t="str">
            <v>마늘종(냉동김밥용)(원)</v>
          </cell>
          <cell r="C110">
            <v>108.447</v>
          </cell>
          <cell r="D110" t="str">
            <v>Kg</v>
          </cell>
        </row>
        <row r="111">
          <cell r="A111">
            <v>30002875</v>
          </cell>
          <cell r="B111" t="str">
            <v>FS)조청닭강정소스(원)</v>
          </cell>
          <cell r="C111">
            <v>8.0589999999999993</v>
          </cell>
          <cell r="D111" t="str">
            <v>봉 (팩)</v>
          </cell>
        </row>
        <row r="112">
          <cell r="A112">
            <v>30003010</v>
          </cell>
          <cell r="B112" t="str">
            <v>FS)조미식초소스(원)</v>
          </cell>
          <cell r="C112">
            <v>26.841000000000001</v>
          </cell>
          <cell r="D112" t="str">
            <v>봉 (팩)</v>
          </cell>
        </row>
        <row r="113">
          <cell r="A113">
            <v>30003011</v>
          </cell>
          <cell r="B113" t="str">
            <v>FS)다시마조미식초소스(원)</v>
          </cell>
          <cell r="C113">
            <v>0.32</v>
          </cell>
          <cell r="D113" t="str">
            <v>봉 (팩)</v>
          </cell>
        </row>
        <row r="114">
          <cell r="A114">
            <v>30003288</v>
          </cell>
          <cell r="B114" t="str">
            <v>송송오이피클(랠리쉬)(원)</v>
          </cell>
          <cell r="C114">
            <v>2.137</v>
          </cell>
          <cell r="D114" t="str">
            <v>봉 (팩)</v>
          </cell>
        </row>
        <row r="115">
          <cell r="A115">
            <v>30003299</v>
          </cell>
          <cell r="B115" t="str">
            <v>FS)매운돈까스소스(원)</v>
          </cell>
          <cell r="C115">
            <v>2.9020000000000001</v>
          </cell>
          <cell r="D115" t="str">
            <v>봉 (팩)</v>
          </cell>
        </row>
        <row r="116">
          <cell r="A116">
            <v>30003308</v>
          </cell>
          <cell r="B116" t="str">
            <v>FS)치킨바베큐양념소스(원)</v>
          </cell>
          <cell r="C116">
            <v>5.6609999999999996</v>
          </cell>
          <cell r="D116" t="str">
            <v>봉 (팩)</v>
          </cell>
        </row>
        <row r="117">
          <cell r="A117">
            <v>30003310</v>
          </cell>
          <cell r="B117" t="str">
            <v>FS)츠쿠네소스(원)</v>
          </cell>
          <cell r="C117">
            <v>3.7549999999999999</v>
          </cell>
          <cell r="D117" t="str">
            <v>봉 (팩)</v>
          </cell>
        </row>
        <row r="118">
          <cell r="A118">
            <v>30003376</v>
          </cell>
          <cell r="B118" t="str">
            <v>부림)깐대파(원)</v>
          </cell>
          <cell r="C118">
            <v>6.19</v>
          </cell>
          <cell r="D118" t="str">
            <v>박스</v>
          </cell>
        </row>
        <row r="119">
          <cell r="A119">
            <v>30003400</v>
          </cell>
          <cell r="B119" t="str">
            <v>종가)백볶음김치(원)</v>
          </cell>
          <cell r="C119">
            <v>26.096</v>
          </cell>
          <cell r="D119" t="str">
            <v>봉 (팩)</v>
          </cell>
        </row>
        <row r="120">
          <cell r="A120">
            <v>30003416</v>
          </cell>
          <cell r="B120" t="str">
            <v>부림)청상추(원)</v>
          </cell>
          <cell r="C120">
            <v>0.26800000000000002</v>
          </cell>
          <cell r="D120" t="str">
            <v>박스</v>
          </cell>
        </row>
        <row r="121">
          <cell r="A121">
            <v>30003439</v>
          </cell>
          <cell r="B121" t="str">
            <v>FS)쏘야볶음소스H(원)</v>
          </cell>
          <cell r="C121">
            <v>4.6369999999999996</v>
          </cell>
          <cell r="D121" t="str">
            <v>봉 (팩)</v>
          </cell>
        </row>
        <row r="122">
          <cell r="A122">
            <v>30003443</v>
          </cell>
          <cell r="B122" t="str">
            <v>FS)돈까스소스(소포장)(원)</v>
          </cell>
          <cell r="C122">
            <v>1890</v>
          </cell>
          <cell r="D122" t="str">
            <v>개</v>
          </cell>
        </row>
        <row r="123">
          <cell r="A123">
            <v>30003454</v>
          </cell>
          <cell r="B123" t="str">
            <v>FS)우엉볶음용간장소스(원)</v>
          </cell>
          <cell r="C123">
            <v>4.05</v>
          </cell>
          <cell r="D123" t="str">
            <v>봉 (팩)</v>
          </cell>
        </row>
        <row r="124">
          <cell r="A124">
            <v>30003508</v>
          </cell>
          <cell r="B124" t="str">
            <v>FS)대파크림소스(원)</v>
          </cell>
          <cell r="C124">
            <v>16.247</v>
          </cell>
          <cell r="D124" t="str">
            <v>봉 (팩)</v>
          </cell>
        </row>
        <row r="125">
          <cell r="A125">
            <v>30003509</v>
          </cell>
          <cell r="B125" t="str">
            <v>FS)김밥용조미에센스(원)</v>
          </cell>
          <cell r="C125">
            <v>25.044</v>
          </cell>
          <cell r="D125" t="str">
            <v>봉 (팩)</v>
          </cell>
        </row>
        <row r="126">
          <cell r="A126">
            <v>30003526</v>
          </cell>
          <cell r="B126" t="str">
            <v>FS)김밥용돈까스소스(원)</v>
          </cell>
          <cell r="C126">
            <v>22.544</v>
          </cell>
          <cell r="D126" t="str">
            <v>봉 (팩)</v>
          </cell>
        </row>
        <row r="127">
          <cell r="A127">
            <v>30003543</v>
          </cell>
          <cell r="B127" t="str">
            <v>FS)삼각용다시마취반소스(원)</v>
          </cell>
          <cell r="C127">
            <v>8.8119999999999994</v>
          </cell>
          <cell r="D127" t="str">
            <v>봉 (팩)</v>
          </cell>
        </row>
        <row r="128">
          <cell r="A128">
            <v>30003559</v>
          </cell>
          <cell r="B128" t="str">
            <v>FS)볶음김치소스-Y(원)</v>
          </cell>
          <cell r="C128">
            <v>3.2429999999999999</v>
          </cell>
          <cell r="D128" t="str">
            <v>봉 (팩)</v>
          </cell>
        </row>
        <row r="129">
          <cell r="A129">
            <v>30003579</v>
          </cell>
          <cell r="B129" t="str">
            <v>FS)저당비빔밥용고추장소스H(원)</v>
          </cell>
          <cell r="C129">
            <v>9.4410000000000007</v>
          </cell>
          <cell r="D129" t="str">
            <v>봉 (팩)</v>
          </cell>
        </row>
        <row r="130">
          <cell r="A130">
            <v>30003580</v>
          </cell>
          <cell r="B130" t="str">
            <v>FS)저당고추장불고기소스H(원)</v>
          </cell>
          <cell r="C130">
            <v>4.1669999999999998</v>
          </cell>
          <cell r="D130" t="str">
            <v>봉 (팩)</v>
          </cell>
        </row>
        <row r="131">
          <cell r="A131">
            <v>30003585</v>
          </cell>
          <cell r="B131" t="str">
            <v>FS)스크램블용소스(원)</v>
          </cell>
          <cell r="C131">
            <v>4.2709999999999999</v>
          </cell>
          <cell r="D131" t="str">
            <v>봉 (팩)</v>
          </cell>
        </row>
        <row r="132">
          <cell r="A132">
            <v>30003601</v>
          </cell>
          <cell r="B132" t="str">
            <v>반찬단지)실비오그락지(원)</v>
          </cell>
          <cell r="C132">
            <v>17.620999999999999</v>
          </cell>
          <cell r="D132" t="str">
            <v>봉 (팩)</v>
          </cell>
        </row>
        <row r="133">
          <cell r="A133">
            <v>30003607</v>
          </cell>
          <cell r="B133" t="str">
            <v>FS)가쓰오치킨데리소스(원)</v>
          </cell>
          <cell r="C133">
            <v>3.5640000000000001</v>
          </cell>
          <cell r="D133" t="str">
            <v>봉 (팩)</v>
          </cell>
        </row>
        <row r="134">
          <cell r="A134">
            <v>30003608</v>
          </cell>
          <cell r="B134" t="str">
            <v>FS)NEW매콤닭강정소스(원)</v>
          </cell>
          <cell r="C134">
            <v>5.7409999999999997</v>
          </cell>
          <cell r="D134" t="str">
            <v>봉 (팩)</v>
          </cell>
        </row>
        <row r="135">
          <cell r="A135">
            <v>30003080</v>
          </cell>
          <cell r="B135" t="str">
            <v>수축필름16</v>
          </cell>
          <cell r="C135">
            <v>10.234</v>
          </cell>
          <cell r="D135" t="str">
            <v>롤</v>
          </cell>
        </row>
        <row r="136">
          <cell r="A136">
            <v>30003083</v>
          </cell>
          <cell r="B136" t="str">
            <v>에스지앤피)핫도그지함(부)</v>
          </cell>
          <cell r="C136">
            <v>0.20300000000000001</v>
          </cell>
          <cell r="D136" t="str">
            <v>봉 (팩)</v>
          </cell>
        </row>
        <row r="137">
          <cell r="A137">
            <v>30003096</v>
          </cell>
          <cell r="B137" t="str">
            <v>골드)간지(9*9)(부)</v>
          </cell>
          <cell r="C137">
            <v>0.88400000000000001</v>
          </cell>
          <cell r="D137" t="str">
            <v>봉 (팩)</v>
          </cell>
        </row>
        <row r="138">
          <cell r="A138">
            <v>30003097</v>
          </cell>
          <cell r="B138" t="str">
            <v>골드)간지(4.5*150)(부)</v>
          </cell>
          <cell r="C138">
            <v>0.20300000000000001</v>
          </cell>
          <cell r="D138" t="str">
            <v>봉 (팩)</v>
          </cell>
        </row>
        <row r="139">
          <cell r="A139">
            <v>30003098</v>
          </cell>
          <cell r="B139" t="str">
            <v>상지)1탄가성비용기(부)</v>
          </cell>
          <cell r="C139">
            <v>13.13</v>
          </cell>
          <cell r="D139" t="str">
            <v>봉 (팩)</v>
          </cell>
        </row>
        <row r="140">
          <cell r="A140">
            <v>30003099</v>
          </cell>
          <cell r="B140" t="str">
            <v>상지)가성비뚜껑(부)</v>
          </cell>
          <cell r="C140">
            <v>13.13</v>
          </cell>
          <cell r="D140" t="str">
            <v>봉 (팩)</v>
          </cell>
        </row>
        <row r="141">
          <cell r="A141">
            <v>30003107</v>
          </cell>
          <cell r="B141" t="str">
            <v>바코드56*45(김밥)(청색/적색)</v>
          </cell>
          <cell r="C141">
            <v>11288</v>
          </cell>
          <cell r="D141" t="str">
            <v>개</v>
          </cell>
        </row>
        <row r="142">
          <cell r="A142">
            <v>30003108</v>
          </cell>
          <cell r="B142" t="str">
            <v>바코드54*45(삼각)(청색/적색)</v>
          </cell>
          <cell r="C142">
            <v>26228</v>
          </cell>
          <cell r="D142" t="str">
            <v>개</v>
          </cell>
        </row>
        <row r="143">
          <cell r="A143">
            <v>30003109</v>
          </cell>
          <cell r="B143" t="str">
            <v>바코드60*35(도시락)(청색/적색)</v>
          </cell>
          <cell r="C143">
            <v>13536</v>
          </cell>
          <cell r="D143" t="str">
            <v>개</v>
          </cell>
        </row>
        <row r="144">
          <cell r="A144">
            <v>30003152</v>
          </cell>
          <cell r="B144" t="str">
            <v>이프린팅)뭘좋아할지몰라(스)</v>
          </cell>
          <cell r="C144">
            <v>1.3129999999999999</v>
          </cell>
          <cell r="D144" t="str">
            <v>롤</v>
          </cell>
        </row>
        <row r="145">
          <cell r="A145">
            <v>30003165</v>
          </cell>
          <cell r="B145" t="str">
            <v>골드)착한김치김밥(필)</v>
          </cell>
          <cell r="C145">
            <v>0.41799999999999998</v>
          </cell>
          <cell r="D145" t="str">
            <v>봉 (팩)</v>
          </cell>
        </row>
        <row r="146">
          <cell r="A146">
            <v>30003166</v>
          </cell>
          <cell r="B146" t="str">
            <v>골드)착한가격참치마요(필)</v>
          </cell>
          <cell r="C146">
            <v>0.52</v>
          </cell>
          <cell r="D146" t="str">
            <v>봉 (팩)</v>
          </cell>
        </row>
        <row r="147">
          <cell r="A147">
            <v>30003185</v>
          </cell>
          <cell r="B147" t="str">
            <v>햄참치마요무스비(필)</v>
          </cell>
          <cell r="C147">
            <v>0.20699999999999999</v>
          </cell>
          <cell r="D147" t="str">
            <v>롤</v>
          </cell>
        </row>
        <row r="148">
          <cell r="A148">
            <v>30003216</v>
          </cell>
          <cell r="B148" t="str">
            <v>두레)바란74*57mm(부)</v>
          </cell>
          <cell r="C148">
            <v>0.88400000000000001</v>
          </cell>
          <cell r="D148" t="str">
            <v>곽</v>
          </cell>
        </row>
        <row r="149">
          <cell r="A149">
            <v>30003227</v>
          </cell>
          <cell r="B149" t="str">
            <v>케미코)5찬도시락용기(부)</v>
          </cell>
          <cell r="C149">
            <v>10.41</v>
          </cell>
          <cell r="D149" t="str">
            <v>봉 (팩)</v>
          </cell>
        </row>
        <row r="150">
          <cell r="A150">
            <v>30003228</v>
          </cell>
          <cell r="B150" t="str">
            <v>케미코)5찬도시락뚜껑A(부)</v>
          </cell>
          <cell r="C150">
            <v>10.41</v>
          </cell>
          <cell r="D150" t="str">
            <v>봉 (팩)</v>
          </cell>
        </row>
        <row r="151">
          <cell r="A151">
            <v>30003230</v>
          </cell>
          <cell r="B151" t="str">
            <v>애디웹)한돈반반제육(스)</v>
          </cell>
          <cell r="C151">
            <v>0.69399999999999995</v>
          </cell>
          <cell r="D151" t="str">
            <v>롤</v>
          </cell>
        </row>
        <row r="152">
          <cell r="A152">
            <v>30003233</v>
          </cell>
          <cell r="B152" t="str">
            <v>상지)등심까스(평)뚜껑(부)</v>
          </cell>
          <cell r="C152">
            <v>8.84</v>
          </cell>
          <cell r="D152" t="str">
            <v>봉 (팩)</v>
          </cell>
        </row>
        <row r="153">
          <cell r="A153">
            <v>30003234</v>
          </cell>
          <cell r="B153" t="str">
            <v>상지)등심돈까스용기(부)</v>
          </cell>
          <cell r="C153">
            <v>5.8929999999999998</v>
          </cell>
          <cell r="D153" t="str">
            <v>봉 (팩)</v>
          </cell>
        </row>
        <row r="154">
          <cell r="A154">
            <v>30003235</v>
          </cell>
          <cell r="B154" t="str">
            <v>이프린팅)돌아온등심돈까스(스)</v>
          </cell>
          <cell r="C154">
            <v>0.88400000000000001</v>
          </cell>
          <cell r="D154" t="str">
            <v>롤</v>
          </cell>
        </row>
        <row r="155">
          <cell r="A155">
            <v>30003314</v>
          </cell>
          <cell r="B155" t="str">
            <v>상지)명불허전용기(부)</v>
          </cell>
          <cell r="C155">
            <v>5.52</v>
          </cell>
          <cell r="D155" t="str">
            <v>봉 (팩)</v>
          </cell>
        </row>
        <row r="156">
          <cell r="A156">
            <v>30003315</v>
          </cell>
          <cell r="B156" t="str">
            <v>상지)명불허전뚜껑(부)</v>
          </cell>
          <cell r="C156">
            <v>8.2799999999999994</v>
          </cell>
          <cell r="D156" t="str">
            <v>봉 (팩)</v>
          </cell>
        </row>
        <row r="157">
          <cell r="A157">
            <v>30003316</v>
          </cell>
          <cell r="B157" t="str">
            <v>이프린팅)돌아온명불허전(스)</v>
          </cell>
          <cell r="C157">
            <v>0.82799999999999996</v>
          </cell>
          <cell r="D157" t="str">
            <v>롤</v>
          </cell>
        </row>
        <row r="158">
          <cell r="A158">
            <v>30003325</v>
          </cell>
          <cell r="B158" t="str">
            <v>골드)스팸무스비치즈(필)</v>
          </cell>
          <cell r="C158">
            <v>0.41299999999999998</v>
          </cell>
          <cell r="D158" t="str">
            <v>롤</v>
          </cell>
        </row>
        <row r="159">
          <cell r="A159">
            <v>30003336</v>
          </cell>
          <cell r="B159" t="str">
            <v>골드)착한핫도그오리지널(필)</v>
          </cell>
          <cell r="C159">
            <v>3.1E-2</v>
          </cell>
          <cell r="D159" t="str">
            <v>롤</v>
          </cell>
        </row>
        <row r="160">
          <cell r="A160">
            <v>30003337</v>
          </cell>
          <cell r="B160" t="str">
            <v>골드)착한핫도그양배추(필)</v>
          </cell>
          <cell r="C160">
            <v>2.4E-2</v>
          </cell>
          <cell r="D160" t="str">
            <v>롤</v>
          </cell>
        </row>
        <row r="161">
          <cell r="A161">
            <v>30003359</v>
          </cell>
          <cell r="B161" t="str">
            <v>상지)6칸공용용기(부)</v>
          </cell>
          <cell r="C161">
            <v>38.31</v>
          </cell>
          <cell r="D161" t="str">
            <v>봉 (팩)</v>
          </cell>
        </row>
        <row r="162">
          <cell r="A162">
            <v>30003361</v>
          </cell>
          <cell r="B162" t="str">
            <v>이프린팅)직화&amp;오징어(스)</v>
          </cell>
          <cell r="C162">
            <v>1.9410000000000001</v>
          </cell>
          <cell r="D162" t="str">
            <v>롤</v>
          </cell>
        </row>
        <row r="163">
          <cell r="A163">
            <v>30003396</v>
          </cell>
          <cell r="B163" t="str">
            <v>상지)오징어제육용기(부)</v>
          </cell>
          <cell r="C163">
            <v>7.2130000000000001</v>
          </cell>
          <cell r="D163" t="str">
            <v>봉 (팩)</v>
          </cell>
        </row>
        <row r="164">
          <cell r="A164">
            <v>30003397</v>
          </cell>
          <cell r="B164" t="str">
            <v>상지)오징어제육뚜껑(부)</v>
          </cell>
          <cell r="C164">
            <v>10.82</v>
          </cell>
          <cell r="D164" t="str">
            <v>봉 (팩)</v>
          </cell>
        </row>
        <row r="165">
          <cell r="A165">
            <v>30003398</v>
          </cell>
          <cell r="B165" t="str">
            <v>애디웹)백설갈비양념제육(스)</v>
          </cell>
          <cell r="C165">
            <v>0.72099999999999997</v>
          </cell>
          <cell r="D165" t="str">
            <v>롤</v>
          </cell>
        </row>
        <row r="166">
          <cell r="A166">
            <v>30003401</v>
          </cell>
          <cell r="B166" t="str">
            <v>종가)들기름묵은지참치(스)</v>
          </cell>
          <cell r="C166">
            <v>0.60699999999999998</v>
          </cell>
          <cell r="D166" t="str">
            <v>롤</v>
          </cell>
        </row>
        <row r="167">
          <cell r="A167">
            <v>30003402</v>
          </cell>
          <cell r="B167" t="str">
            <v>부광케미컬)냉동김밥용기(8입)</v>
          </cell>
          <cell r="C167">
            <v>4500</v>
          </cell>
          <cell r="D167" t="str">
            <v>개</v>
          </cell>
        </row>
        <row r="168">
          <cell r="A168">
            <v>30003422</v>
          </cell>
          <cell r="B168" t="str">
            <v>상지)62파이소스컵(상)(부)</v>
          </cell>
          <cell r="C168">
            <v>0.67</v>
          </cell>
          <cell r="D168" t="str">
            <v>봉 (팩)</v>
          </cell>
        </row>
        <row r="169">
          <cell r="A169">
            <v>30003423</v>
          </cell>
          <cell r="B169" t="str">
            <v>이프린팅)착한제육비빔밥(스)</v>
          </cell>
          <cell r="C169">
            <v>6.7000000000000004E-2</v>
          </cell>
          <cell r="D169" t="str">
            <v>롤</v>
          </cell>
        </row>
        <row r="170">
          <cell r="A170">
            <v>30003424</v>
          </cell>
          <cell r="B170" t="str">
            <v>두레)PACK-22-3호소스(뚜껑)(부)</v>
          </cell>
          <cell r="C170">
            <v>0.67</v>
          </cell>
          <cell r="D170" t="str">
            <v>봉 (팩)</v>
          </cell>
        </row>
        <row r="171">
          <cell r="A171">
            <v>30003425</v>
          </cell>
          <cell r="B171" t="str">
            <v>두레)PACK-22-3호(용기)(부)</v>
          </cell>
          <cell r="C171">
            <v>1.34</v>
          </cell>
          <cell r="D171" t="str">
            <v>봉 (팩)</v>
          </cell>
        </row>
        <row r="172">
          <cell r="A172">
            <v>30003426</v>
          </cell>
          <cell r="B172" t="str">
            <v>두레)PACK-22-3호(내피)(부)</v>
          </cell>
          <cell r="C172">
            <v>0.67</v>
          </cell>
          <cell r="D172" t="str">
            <v>봉 (팩)</v>
          </cell>
        </row>
        <row r="173">
          <cell r="A173">
            <v>30003441</v>
          </cell>
          <cell r="B173" t="str">
            <v>정우)5찬도시락뚜껑C(부)</v>
          </cell>
          <cell r="C173">
            <v>38.31</v>
          </cell>
          <cell r="D173" t="str">
            <v>봉 (팩)</v>
          </cell>
        </row>
        <row r="174">
          <cell r="A174">
            <v>30003444</v>
          </cell>
          <cell r="B174" t="str">
            <v>거성)돈까스고추장제육(스)</v>
          </cell>
          <cell r="C174">
            <v>1.89</v>
          </cell>
          <cell r="D174" t="str">
            <v>롤</v>
          </cell>
        </row>
        <row r="175">
          <cell r="A175">
            <v>30003453</v>
          </cell>
          <cell r="B175" t="str">
            <v>상지)62파이소스컵(하)(부)</v>
          </cell>
          <cell r="C175">
            <v>0.67</v>
          </cell>
          <cell r="D175" t="str">
            <v>봉 (팩)</v>
          </cell>
        </row>
        <row r="176">
          <cell r="A176">
            <v>30003513</v>
          </cell>
          <cell r="B176" t="str">
            <v>흑백)파파베이컨리조또(스)</v>
          </cell>
          <cell r="C176">
            <v>0.55300000000000005</v>
          </cell>
          <cell r="D176" t="str">
            <v>롤</v>
          </cell>
        </row>
        <row r="177">
          <cell r="A177">
            <v>30003529</v>
          </cell>
          <cell r="B177" t="str">
            <v>골드)THE근본김밥(필)</v>
          </cell>
          <cell r="C177">
            <v>5.8719999999999999</v>
          </cell>
          <cell r="D177" t="str">
            <v>봉 (팩)</v>
          </cell>
        </row>
        <row r="178">
          <cell r="A178">
            <v>30003538</v>
          </cell>
          <cell r="B178" t="str">
            <v>골드)더블치즈소시지김밥(필)</v>
          </cell>
          <cell r="C178">
            <v>3.024</v>
          </cell>
          <cell r="D178" t="str">
            <v>봉 (팩)</v>
          </cell>
        </row>
        <row r="179">
          <cell r="A179">
            <v>30003539</v>
          </cell>
          <cell r="B179" t="str">
            <v>이토추)왕돈까스김밥(필)</v>
          </cell>
          <cell r="C179">
            <v>3.6819999999999999</v>
          </cell>
          <cell r="D179" t="str">
            <v>봉 (팩)</v>
          </cell>
        </row>
        <row r="180">
          <cell r="A180">
            <v>30003540</v>
          </cell>
          <cell r="B180" t="str">
            <v>골드)불고기치즈김밥(필)</v>
          </cell>
          <cell r="C180">
            <v>3.0920000000000001</v>
          </cell>
          <cell r="D180" t="str">
            <v>봉 (팩)</v>
          </cell>
        </row>
        <row r="181">
          <cell r="A181">
            <v>30003542</v>
          </cell>
          <cell r="B181" t="str">
            <v>더큰)리챔참치마요(스)</v>
          </cell>
          <cell r="C181">
            <v>0.85699999999999998</v>
          </cell>
          <cell r="D181" t="str">
            <v>롤</v>
          </cell>
        </row>
        <row r="182">
          <cell r="A182">
            <v>30003551</v>
          </cell>
          <cell r="B182" t="str">
            <v>두레)900ml크라프트무지(부)</v>
          </cell>
          <cell r="C182">
            <v>1.44</v>
          </cell>
          <cell r="D182" t="str">
            <v>봉 (팩)</v>
          </cell>
        </row>
        <row r="183">
          <cell r="A183">
            <v>30003552</v>
          </cell>
          <cell r="B183" t="str">
            <v>두레)DRX-160뚜껑(부)</v>
          </cell>
          <cell r="C183">
            <v>1.44</v>
          </cell>
          <cell r="D183" t="str">
            <v>봉 (팩)</v>
          </cell>
        </row>
        <row r="184">
          <cell r="A184">
            <v>30003553</v>
          </cell>
          <cell r="B184" t="str">
            <v>두레)DRX-160덮밥(찬)(부)</v>
          </cell>
          <cell r="C184">
            <v>1.44</v>
          </cell>
          <cell r="D184" t="str">
            <v>봉 (팩)</v>
          </cell>
        </row>
        <row r="185">
          <cell r="A185">
            <v>30003554</v>
          </cell>
          <cell r="B185" t="str">
            <v>착한)마파두부덮밥(스)</v>
          </cell>
          <cell r="C185">
            <v>2.3E-2</v>
          </cell>
          <cell r="D185" t="str">
            <v>롤</v>
          </cell>
        </row>
        <row r="186">
          <cell r="A186">
            <v>30003560</v>
          </cell>
          <cell r="B186" t="str">
            <v>종가)묵은지김치제육(스)</v>
          </cell>
          <cell r="C186">
            <v>0.48199999999999998</v>
          </cell>
          <cell r="D186" t="str">
            <v>롤</v>
          </cell>
        </row>
        <row r="187">
          <cell r="A187">
            <v>30003561</v>
          </cell>
          <cell r="B187" t="str">
            <v>더큰)스팸김치볶음밥(스)</v>
          </cell>
          <cell r="C187">
            <v>1.4259999999999999</v>
          </cell>
          <cell r="D187" t="str">
            <v>롤</v>
          </cell>
        </row>
        <row r="188">
          <cell r="A188">
            <v>30003574</v>
          </cell>
          <cell r="B188" t="str">
            <v>종가)김치제육김밥(필)</v>
          </cell>
          <cell r="C188">
            <v>2.29</v>
          </cell>
          <cell r="D188" t="str">
            <v>봉 (팩)</v>
          </cell>
        </row>
        <row r="189">
          <cell r="A189">
            <v>30003576</v>
          </cell>
          <cell r="B189" t="str">
            <v>착한)제육덮밥(스)</v>
          </cell>
          <cell r="C189">
            <v>2.5000000000000001E-2</v>
          </cell>
          <cell r="D189" t="str">
            <v>롤</v>
          </cell>
        </row>
        <row r="190">
          <cell r="A190">
            <v>30003577</v>
          </cell>
          <cell r="B190" t="str">
            <v>더큰)스팸계란볶음밥(스)</v>
          </cell>
          <cell r="C190">
            <v>0.96099999999999997</v>
          </cell>
          <cell r="D190" t="str">
            <v>롤</v>
          </cell>
        </row>
        <row r="191">
          <cell r="A191">
            <v>30003578</v>
          </cell>
          <cell r="B191" t="str">
            <v>더큰)닭갈비깻잎쌈밥(스)</v>
          </cell>
          <cell r="C191">
            <v>0.48499999999999999</v>
          </cell>
          <cell r="D191" t="str">
            <v>롤</v>
          </cell>
        </row>
        <row r="192">
          <cell r="A192">
            <v>30003581</v>
          </cell>
          <cell r="B192" t="str">
            <v>삼각)저당전주비빔(스)</v>
          </cell>
          <cell r="C192">
            <v>0.313</v>
          </cell>
          <cell r="D192" t="str">
            <v>롤</v>
          </cell>
        </row>
        <row r="193">
          <cell r="A193">
            <v>30003598</v>
          </cell>
          <cell r="B193" t="str">
            <v>골드)직화)한돈제육쌈김밥(필)</v>
          </cell>
          <cell r="C193">
            <v>6.77</v>
          </cell>
          <cell r="D193" t="str">
            <v>봉 (팩)</v>
          </cell>
        </row>
        <row r="194">
          <cell r="A194">
            <v>30003604</v>
          </cell>
          <cell r="B194" t="str">
            <v>삼각)전주비빔(스)</v>
          </cell>
          <cell r="C194">
            <v>1.014</v>
          </cell>
          <cell r="D194" t="str">
            <v>롤</v>
          </cell>
        </row>
        <row r="195">
          <cell r="A195">
            <v>30003613</v>
          </cell>
          <cell r="B195" t="str">
            <v>두레)6월도시락용기PP(부)</v>
          </cell>
          <cell r="C195">
            <v>1116</v>
          </cell>
          <cell r="D195" t="str">
            <v>봉 (팩)</v>
          </cell>
        </row>
        <row r="196">
          <cell r="A196">
            <v>30003614</v>
          </cell>
          <cell r="B196" t="str">
            <v>두레)6월도시락뚜껑PET(부)</v>
          </cell>
          <cell r="C196">
            <v>1116</v>
          </cell>
          <cell r="D196" t="str">
            <v>봉 (팩)</v>
          </cell>
        </row>
        <row r="197">
          <cell r="A197">
            <v>30003615</v>
          </cell>
          <cell r="B197" t="str">
            <v>이달의도시락6월(스)</v>
          </cell>
          <cell r="C197">
            <v>1116</v>
          </cell>
          <cell r="D197" t="str">
            <v>롤</v>
          </cell>
        </row>
        <row r="198">
          <cell r="A198">
            <v>30003616</v>
          </cell>
          <cell r="B198" t="str">
            <v>두레)MS-27내피(부)</v>
          </cell>
          <cell r="C198">
            <v>1116</v>
          </cell>
          <cell r="D198" t="str">
            <v>봉 (팩)</v>
          </cell>
        </row>
        <row r="199">
          <cell r="A199">
            <v>10301023</v>
          </cell>
          <cell r="B199" t="str">
            <v>참기름(1.8L)(원)</v>
          </cell>
          <cell r="C199">
            <v>25.163</v>
          </cell>
          <cell r="D199" t="str">
            <v>통</v>
          </cell>
        </row>
        <row r="200">
          <cell r="A200">
            <v>30000002</v>
          </cell>
          <cell r="B200" t="str">
            <v>정제수(원)</v>
          </cell>
          <cell r="C200">
            <v>5089.3980000000001</v>
          </cell>
          <cell r="D200" t="str">
            <v>Kg</v>
          </cell>
        </row>
        <row r="201">
          <cell r="A201">
            <v>30000006</v>
          </cell>
          <cell r="B201" t="str">
            <v>볶음참깨(원)</v>
          </cell>
          <cell r="C201">
            <v>32.908000000000001</v>
          </cell>
          <cell r="D201" t="str">
            <v>봉 (팩)</v>
          </cell>
        </row>
        <row r="202">
          <cell r="A202">
            <v>30000007</v>
          </cell>
          <cell r="B202" t="str">
            <v>참기름(16.5Kg)(원)</v>
          </cell>
          <cell r="C202">
            <v>1.087</v>
          </cell>
          <cell r="D202" t="str">
            <v>캔</v>
          </cell>
        </row>
        <row r="203">
          <cell r="A203">
            <v>30000075</v>
          </cell>
          <cell r="B203" t="str">
            <v>NS)혼다시(원)</v>
          </cell>
          <cell r="C203">
            <v>2.2240000000000002</v>
          </cell>
          <cell r="D203" t="str">
            <v>봉 (팩)</v>
          </cell>
        </row>
        <row r="204">
          <cell r="A204">
            <v>30000093</v>
          </cell>
          <cell r="B204" t="str">
            <v>대상)쇠고기실속다시(원)</v>
          </cell>
          <cell r="C204">
            <v>5.1289999999999996</v>
          </cell>
          <cell r="D204" t="str">
            <v>봉 (팩)</v>
          </cell>
        </row>
        <row r="205">
          <cell r="A205">
            <v>30000389</v>
          </cell>
          <cell r="B205" t="str">
            <v>스팸(원)</v>
          </cell>
          <cell r="C205">
            <v>596.89400000000001</v>
          </cell>
          <cell r="D205" t="str">
            <v>캔</v>
          </cell>
        </row>
        <row r="206">
          <cell r="A206">
            <v>30001140</v>
          </cell>
          <cell r="B206" t="str">
            <v>대두유(원재료)</v>
          </cell>
          <cell r="C206">
            <v>16.893999999999998</v>
          </cell>
          <cell r="D206" t="str">
            <v>캔</v>
          </cell>
        </row>
        <row r="207">
          <cell r="A207">
            <v>30001141</v>
          </cell>
          <cell r="B207" t="str">
            <v>이우)중국산정제염(원)</v>
          </cell>
          <cell r="C207">
            <v>1.2270000000000001</v>
          </cell>
          <cell r="D207" t="str">
            <v>봉 (팩)</v>
          </cell>
        </row>
        <row r="208">
          <cell r="A208">
            <v>30001164</v>
          </cell>
          <cell r="B208" t="str">
            <v>고춧가루</v>
          </cell>
          <cell r="C208">
            <v>1.9359999999999999</v>
          </cell>
          <cell r="D208" t="str">
            <v>봉 (팩)</v>
          </cell>
        </row>
        <row r="209">
          <cell r="A209">
            <v>30001169</v>
          </cell>
          <cell r="B209" t="str">
            <v>NS)물엿(원)</v>
          </cell>
          <cell r="C209">
            <v>1.05</v>
          </cell>
          <cell r="D209" t="str">
            <v>통</v>
          </cell>
        </row>
        <row r="210">
          <cell r="A210">
            <v>30001277</v>
          </cell>
          <cell r="B210" t="str">
            <v>흑후추(원)</v>
          </cell>
          <cell r="C210">
            <v>2.8849999999999998</v>
          </cell>
          <cell r="D210" t="str">
            <v>봉 (팩)</v>
          </cell>
        </row>
        <row r="211">
          <cell r="A211">
            <v>30001284</v>
          </cell>
          <cell r="B211" t="str">
            <v>이우)늘푸른할라피뇨랠리쉬(원)</v>
          </cell>
          <cell r="C211">
            <v>3.5659999999999998</v>
          </cell>
          <cell r="D211" t="str">
            <v>캔</v>
          </cell>
        </row>
        <row r="212">
          <cell r="A212">
            <v>30001472</v>
          </cell>
          <cell r="B212" t="str">
            <v>삼성웰)모아하우스머스타드(원)</v>
          </cell>
          <cell r="C212">
            <v>1.8979999999999999</v>
          </cell>
          <cell r="D212" t="str">
            <v>통</v>
          </cell>
        </row>
        <row r="213">
          <cell r="A213">
            <v>30001581</v>
          </cell>
          <cell r="B213" t="str">
            <v>토마토 케찹</v>
          </cell>
          <cell r="C213">
            <v>5.2880000000000003</v>
          </cell>
          <cell r="D213" t="str">
            <v>봉 (팩)</v>
          </cell>
        </row>
        <row r="214">
          <cell r="A214">
            <v>30001710</v>
          </cell>
          <cell r="B214" t="str">
            <v>CJ)하얀설탕(원)</v>
          </cell>
          <cell r="C214">
            <v>8.4269999999999996</v>
          </cell>
          <cell r="D214" t="str">
            <v>봉 (팩)</v>
          </cell>
        </row>
        <row r="215">
          <cell r="A215">
            <v>30001796</v>
          </cell>
          <cell r="B215" t="str">
            <v>이우)건국연유(원)</v>
          </cell>
          <cell r="C215">
            <v>1.403</v>
          </cell>
          <cell r="D215" t="str">
            <v>봉 (팩)</v>
          </cell>
        </row>
        <row r="216">
          <cell r="A216">
            <v>30001800</v>
          </cell>
          <cell r="B216" t="str">
            <v>다인소재)유니믹스HG(원)</v>
          </cell>
          <cell r="C216">
            <v>0.51500000000000001</v>
          </cell>
          <cell r="D216" t="str">
            <v>봉 (팩)</v>
          </cell>
        </row>
        <row r="217">
          <cell r="A217">
            <v>30001807</v>
          </cell>
          <cell r="B217" t="str">
            <v>이우)미원(원)</v>
          </cell>
          <cell r="C217">
            <v>0.41499999999999998</v>
          </cell>
          <cell r="D217" t="str">
            <v>봉 (팩)</v>
          </cell>
        </row>
        <row r="218">
          <cell r="A218">
            <v>30001887</v>
          </cell>
          <cell r="B218" t="str">
            <v>NS)맛소금(원)</v>
          </cell>
          <cell r="C218">
            <v>8.3000000000000004E-2</v>
          </cell>
          <cell r="D218" t="str">
            <v>봉 (팩)</v>
          </cell>
        </row>
        <row r="219">
          <cell r="A219">
            <v>30001938</v>
          </cell>
          <cell r="B219" t="str">
            <v>몽고진간장</v>
          </cell>
          <cell r="C219">
            <v>1.149</v>
          </cell>
          <cell r="D219" t="str">
            <v>통</v>
          </cell>
        </row>
        <row r="220">
          <cell r="A220">
            <v>30002439</v>
          </cell>
          <cell r="B220" t="str">
            <v>NS)고추기름(원)</v>
          </cell>
          <cell r="C220">
            <v>2.3170000000000002</v>
          </cell>
          <cell r="D220" t="str">
            <v>통</v>
          </cell>
        </row>
        <row r="221">
          <cell r="A221">
            <v>30002511</v>
          </cell>
          <cell r="B221" t="str">
            <v>한성)고미트햄(원)</v>
          </cell>
          <cell r="C221">
            <v>187.208</v>
          </cell>
          <cell r="D221" t="str">
            <v>캔</v>
          </cell>
        </row>
        <row r="222">
          <cell r="A222">
            <v>30002524</v>
          </cell>
          <cell r="B222" t="str">
            <v>다인소재)유니믹스N2(원)</v>
          </cell>
          <cell r="C222">
            <v>0.378</v>
          </cell>
          <cell r="D222" t="str">
            <v>봉 (팩)</v>
          </cell>
        </row>
        <row r="223">
          <cell r="A223">
            <v>30002547</v>
          </cell>
          <cell r="B223" t="str">
            <v>이우)신슈단무지(꼬들)(원)</v>
          </cell>
          <cell r="C223">
            <v>53.673000000000002</v>
          </cell>
          <cell r="D223" t="str">
            <v>봉 (팩)</v>
          </cell>
        </row>
        <row r="224">
          <cell r="A224">
            <v>30002628</v>
          </cell>
          <cell r="B224" t="str">
            <v>크러쉬드레드페퍼(원)</v>
          </cell>
          <cell r="C224">
            <v>0.70899999999999996</v>
          </cell>
          <cell r="D224" t="str">
            <v>통</v>
          </cell>
        </row>
        <row r="225">
          <cell r="A225">
            <v>30002629</v>
          </cell>
          <cell r="B225" t="str">
            <v>그래도푸드)노란단무지13mm(원)</v>
          </cell>
          <cell r="C225">
            <v>175.19</v>
          </cell>
          <cell r="D225" t="str">
            <v>봉 (팩)</v>
          </cell>
        </row>
        <row r="226">
          <cell r="A226">
            <v>30002659</v>
          </cell>
          <cell r="B226" t="str">
            <v>청정원진간장(냉동김밥용)(원)</v>
          </cell>
          <cell r="C226">
            <v>2.02</v>
          </cell>
          <cell r="D226" t="str">
            <v>통</v>
          </cell>
        </row>
        <row r="227">
          <cell r="A227">
            <v>30002665</v>
          </cell>
          <cell r="B227" t="str">
            <v>오뚜기)사과식초(원)</v>
          </cell>
          <cell r="C227">
            <v>1.147</v>
          </cell>
          <cell r="D227" t="str">
            <v>통</v>
          </cell>
        </row>
        <row r="228">
          <cell r="A228">
            <v>30002674</v>
          </cell>
          <cell r="B228" t="str">
            <v>이온물엿(냉동김밥용)(원)</v>
          </cell>
          <cell r="C228">
            <v>4.4880000000000004</v>
          </cell>
          <cell r="D228" t="str">
            <v>통</v>
          </cell>
        </row>
        <row r="229">
          <cell r="A229">
            <v>30002742</v>
          </cell>
          <cell r="B229" t="str">
            <v>롯데웰푸드)GS마요네즈(원)</v>
          </cell>
          <cell r="C229">
            <v>0.41</v>
          </cell>
          <cell r="D229" t="str">
            <v>봉 (팩)</v>
          </cell>
        </row>
        <row r="230">
          <cell r="A230">
            <v>30002759</v>
          </cell>
          <cell r="B230" t="str">
            <v>성경재래도시락김(소포장)(원)</v>
          </cell>
          <cell r="C230">
            <v>383.1</v>
          </cell>
          <cell r="D230" t="str">
            <v>봉 (팩)</v>
          </cell>
        </row>
        <row r="231">
          <cell r="A231">
            <v>30002766</v>
          </cell>
          <cell r="B231" t="str">
            <v>일가집)채단무지(원)</v>
          </cell>
          <cell r="C231">
            <v>11.25</v>
          </cell>
          <cell r="D231" t="str">
            <v>봉 (팩)</v>
          </cell>
        </row>
        <row r="232">
          <cell r="A232">
            <v>30002769</v>
          </cell>
          <cell r="B232" t="str">
            <v>푸드머스)바릴라스파게티(원)</v>
          </cell>
          <cell r="C232">
            <v>6.0110000000000001</v>
          </cell>
          <cell r="D232" t="str">
            <v>봉 (팩)</v>
          </cell>
        </row>
        <row r="233">
          <cell r="A233">
            <v>30002793</v>
          </cell>
          <cell r="B233" t="str">
            <v>NS)리챔오리지널(원)</v>
          </cell>
          <cell r="C233">
            <v>142.667</v>
          </cell>
          <cell r="D233" t="str">
            <v>캔</v>
          </cell>
        </row>
        <row r="234">
          <cell r="A234">
            <v>30002883</v>
          </cell>
          <cell r="B234" t="str">
            <v>청학)볶음흑임자(원)</v>
          </cell>
          <cell r="C234">
            <v>8.8999999999999996E-2</v>
          </cell>
          <cell r="D234" t="str">
            <v>봉 (팩)</v>
          </cell>
        </row>
        <row r="235">
          <cell r="A235">
            <v>30002970</v>
          </cell>
          <cell r="B235" t="str">
            <v>청정원)돼지불고기양념(원)</v>
          </cell>
          <cell r="C235">
            <v>4.5570000000000004</v>
          </cell>
          <cell r="D235" t="str">
            <v>통</v>
          </cell>
        </row>
        <row r="236">
          <cell r="A236">
            <v>30003009</v>
          </cell>
          <cell r="B236" t="str">
            <v>평화)햅쌀(500kg/포)</v>
          </cell>
          <cell r="C236">
            <v>3237.866</v>
          </cell>
          <cell r="D236" t="str">
            <v>Kg</v>
          </cell>
        </row>
        <row r="237">
          <cell r="A237">
            <v>30003061</v>
          </cell>
          <cell r="B237" t="str">
            <v>성경자반(원)</v>
          </cell>
          <cell r="C237">
            <v>18.393999999999998</v>
          </cell>
          <cell r="D237" t="str">
            <v>봉 (팩)</v>
          </cell>
        </row>
        <row r="238">
          <cell r="A238">
            <v>30003066</v>
          </cell>
          <cell r="B238" t="str">
            <v>이우)카라멜소스(원)</v>
          </cell>
          <cell r="C238">
            <v>0.33900000000000002</v>
          </cell>
          <cell r="D238" t="str">
            <v>통</v>
          </cell>
        </row>
        <row r="239">
          <cell r="A239">
            <v>30003115</v>
          </cell>
          <cell r="B239" t="str">
            <v>더원씨푸드)점보롤김</v>
          </cell>
          <cell r="C239">
            <v>18.318000000000001</v>
          </cell>
          <cell r="D239" t="str">
            <v>롤</v>
          </cell>
        </row>
        <row r="240">
          <cell r="A240">
            <v>30003116</v>
          </cell>
          <cell r="B240" t="str">
            <v>만전식품)1/2절김</v>
          </cell>
          <cell r="C240">
            <v>15</v>
          </cell>
          <cell r="D240" t="str">
            <v>봉 (팩)</v>
          </cell>
        </row>
        <row r="241">
          <cell r="A241">
            <v>30003168</v>
          </cell>
          <cell r="B241" t="str">
            <v>만전식품)3절김(원)</v>
          </cell>
          <cell r="C241">
            <v>5.165</v>
          </cell>
          <cell r="D241" t="str">
            <v>봉 (팩)</v>
          </cell>
        </row>
        <row r="242">
          <cell r="A242">
            <v>30003264</v>
          </cell>
          <cell r="B242" t="str">
            <v>더원씨푸드)롤김</v>
          </cell>
          <cell r="C242">
            <v>7.9189999999999996</v>
          </cell>
          <cell r="D242" t="str">
            <v>롤</v>
          </cell>
        </row>
        <row r="243">
          <cell r="A243">
            <v>30003276</v>
          </cell>
          <cell r="B243" t="str">
            <v>오뚜기)이금기치킨파우더(원)</v>
          </cell>
          <cell r="C243">
            <v>0.83</v>
          </cell>
          <cell r="D243" t="str">
            <v>봉 (팩)</v>
          </cell>
        </row>
        <row r="244">
          <cell r="A244">
            <v>30003296</v>
          </cell>
          <cell r="B244" t="str">
            <v>오뚜기)허니머스타드드레싱(원)</v>
          </cell>
          <cell r="C244">
            <v>2.3580000000000001</v>
          </cell>
          <cell r="D244" t="str">
            <v>봉 (팩)</v>
          </cell>
        </row>
        <row r="245">
          <cell r="A245">
            <v>30003322</v>
          </cell>
          <cell r="B245" t="str">
            <v>이우)크리스피어니언(원)</v>
          </cell>
          <cell r="C245">
            <v>2.2320000000000002</v>
          </cell>
          <cell r="D245" t="str">
            <v>봉 (팩)</v>
          </cell>
        </row>
        <row r="246">
          <cell r="A246">
            <v>30003323</v>
          </cell>
          <cell r="B246" t="str">
            <v>이우)선인)단풍당시럽(원)</v>
          </cell>
          <cell r="C246">
            <v>1.3759999999999999</v>
          </cell>
          <cell r="D246" t="str">
            <v>봉 (팩)</v>
          </cell>
        </row>
        <row r="247">
          <cell r="A247">
            <v>30003340</v>
          </cell>
          <cell r="B247" t="str">
            <v>청정원)매운갈비양념(원)</v>
          </cell>
          <cell r="C247">
            <v>7.7510000000000003</v>
          </cell>
          <cell r="D247" t="str">
            <v>통</v>
          </cell>
        </row>
        <row r="248">
          <cell r="A248">
            <v>30003365</v>
          </cell>
          <cell r="B248" t="str">
            <v>오뚜기)이금기팬더굴소스(원)</v>
          </cell>
          <cell r="C248">
            <v>0.32700000000000001</v>
          </cell>
          <cell r="D248" t="str">
            <v>봉 (팩)</v>
          </cell>
        </row>
        <row r="249">
          <cell r="A249">
            <v>30003368</v>
          </cell>
          <cell r="B249" t="str">
            <v>대상)두번자른화영당면(원)</v>
          </cell>
          <cell r="C249">
            <v>12.445</v>
          </cell>
          <cell r="D249" t="str">
            <v>봉 (팩)</v>
          </cell>
        </row>
        <row r="250">
          <cell r="A250">
            <v>30003392</v>
          </cell>
          <cell r="B250" t="str">
            <v>CJ)백설돼지갈비양념(원)</v>
          </cell>
          <cell r="C250">
            <v>1.07</v>
          </cell>
          <cell r="D250" t="str">
            <v>통</v>
          </cell>
        </row>
        <row r="251">
          <cell r="A251">
            <v>30003399</v>
          </cell>
          <cell r="B251" t="str">
            <v>청학)들기름(원)</v>
          </cell>
          <cell r="C251">
            <v>1.2589999999999999</v>
          </cell>
          <cell r="D251" t="str">
            <v>통</v>
          </cell>
        </row>
        <row r="252">
          <cell r="A252">
            <v>30003414</v>
          </cell>
          <cell r="B252" t="str">
            <v>농가참기름골드(소포장)(원)</v>
          </cell>
          <cell r="C252">
            <v>67</v>
          </cell>
          <cell r="D252" t="str">
            <v>개</v>
          </cell>
        </row>
        <row r="253">
          <cell r="A253">
            <v>30003419</v>
          </cell>
          <cell r="B253" t="str">
            <v>사조참치(원)</v>
          </cell>
          <cell r="C253">
            <v>45.61</v>
          </cell>
          <cell r="D253" t="str">
            <v>봉 (팩)</v>
          </cell>
        </row>
        <row r="254">
          <cell r="A254">
            <v>30003421</v>
          </cell>
          <cell r="B254" t="str">
            <v>구운김밥용김(반절김)</v>
          </cell>
          <cell r="C254">
            <v>33.819000000000003</v>
          </cell>
          <cell r="D254" t="str">
            <v>봉 (팩)</v>
          </cell>
        </row>
        <row r="255">
          <cell r="A255">
            <v>30003455</v>
          </cell>
          <cell r="B255" t="str">
            <v>순성농협쌀(원)</v>
          </cell>
          <cell r="C255">
            <v>293.505</v>
          </cell>
          <cell r="D255" t="str">
            <v>Kg</v>
          </cell>
        </row>
        <row r="256">
          <cell r="A256">
            <v>30003476</v>
          </cell>
          <cell r="B256" t="str">
            <v>이너피스)표고버섯캔(원)</v>
          </cell>
          <cell r="C256">
            <v>7.8</v>
          </cell>
          <cell r="D256" t="str">
            <v>캔</v>
          </cell>
        </row>
        <row r="257">
          <cell r="A257">
            <v>30003528</v>
          </cell>
          <cell r="B257" t="str">
            <v>태원)불맛향미유(원)</v>
          </cell>
          <cell r="C257">
            <v>0.22700000000000001</v>
          </cell>
          <cell r="D257" t="str">
            <v>봉 (팩)</v>
          </cell>
        </row>
        <row r="258">
          <cell r="A258">
            <v>30003541</v>
          </cell>
          <cell r="B258" t="str">
            <v>진양)점보삼각김밥김(투명)</v>
          </cell>
          <cell r="C258">
            <v>209.22</v>
          </cell>
          <cell r="D258" t="str">
            <v>봉 (팩)</v>
          </cell>
        </row>
        <row r="259">
          <cell r="A259">
            <v>30003544</v>
          </cell>
          <cell r="B259" t="str">
            <v>오뚜기)GS마요네즈(원)</v>
          </cell>
          <cell r="C259">
            <v>16.436</v>
          </cell>
          <cell r="D259" t="str">
            <v>봉 (팩)</v>
          </cell>
        </row>
        <row r="260">
          <cell r="A260">
            <v>30003545</v>
          </cell>
          <cell r="B260" t="str">
            <v>동원)참치다시(원)</v>
          </cell>
          <cell r="C260">
            <v>1.17</v>
          </cell>
          <cell r="D260" t="str">
            <v>봉 (팩)</v>
          </cell>
        </row>
        <row r="261">
          <cell r="A261">
            <v>30003582</v>
          </cell>
          <cell r="B261" t="str">
            <v>세천팜)김밥용단무지(원)</v>
          </cell>
          <cell r="C261">
            <v>40.875</v>
          </cell>
          <cell r="D261" t="str">
            <v>봉 (팩)</v>
          </cell>
        </row>
        <row r="262">
          <cell r="A262">
            <v>30003605</v>
          </cell>
          <cell r="B262" t="str">
            <v>삼각김밥용김(투명/들기름)(원)</v>
          </cell>
          <cell r="C262">
            <v>53.06</v>
          </cell>
          <cell r="D262" t="str">
            <v>봉 (팩)</v>
          </cell>
        </row>
        <row r="263">
          <cell r="A263">
            <v>30002327</v>
          </cell>
          <cell r="B263" t="str">
            <v>흑미</v>
          </cell>
          <cell r="C263">
            <v>2.4390000000000001</v>
          </cell>
          <cell r="D263" t="str">
            <v>봉 (팩)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품목코드</v>
          </cell>
          <cell r="B1" t="str">
            <v>품목명칭 1</v>
          </cell>
          <cell r="C1" t="str">
            <v>지시량</v>
          </cell>
          <cell r="D1" t="str">
            <v>단위</v>
          </cell>
        </row>
        <row r="2">
          <cell r="A2">
            <v>20195103</v>
          </cell>
          <cell r="B2" t="str">
            <v>마리오)트러플불고기김밥(필름)</v>
          </cell>
          <cell r="C2">
            <v>555</v>
          </cell>
          <cell r="D2" t="str">
            <v>장</v>
          </cell>
        </row>
        <row r="3">
          <cell r="A3">
            <v>10320046</v>
          </cell>
          <cell r="B3" t="str">
            <v>슈퍼)착한1900핫도그(오리지널)</v>
          </cell>
          <cell r="C3">
            <v>73</v>
          </cell>
          <cell r="D3" t="str">
            <v>개</v>
          </cell>
        </row>
        <row r="4">
          <cell r="A4">
            <v>10320047</v>
          </cell>
          <cell r="B4" t="str">
            <v>슈퍼)착한1900핫도그(사라다)</v>
          </cell>
          <cell r="C4">
            <v>63</v>
          </cell>
          <cell r="D4" t="str">
            <v>개</v>
          </cell>
        </row>
        <row r="5">
          <cell r="A5">
            <v>10520071</v>
          </cell>
          <cell r="B5" t="str">
            <v>혜자)한돈반반제육</v>
          </cell>
          <cell r="C5">
            <v>1196</v>
          </cell>
          <cell r="D5" t="str">
            <v>개</v>
          </cell>
        </row>
        <row r="6">
          <cell r="A6">
            <v>10520087</v>
          </cell>
          <cell r="B6" t="str">
            <v>뭘좋아할지몰라다넣어</v>
          </cell>
          <cell r="C6">
            <v>1630</v>
          </cell>
          <cell r="D6" t="str">
            <v>개</v>
          </cell>
        </row>
        <row r="7">
          <cell r="A7">
            <v>10520093</v>
          </cell>
          <cell r="B7" t="str">
            <v>혜자)돌아온등심돈까스</v>
          </cell>
          <cell r="C7">
            <v>1087</v>
          </cell>
          <cell r="D7" t="str">
            <v>개</v>
          </cell>
        </row>
        <row r="8">
          <cell r="A8">
            <v>10520104</v>
          </cell>
          <cell r="B8" t="str">
            <v>혜자)돌아온명불허전</v>
          </cell>
          <cell r="C8">
            <v>975</v>
          </cell>
          <cell r="D8" t="str">
            <v>개</v>
          </cell>
        </row>
        <row r="9">
          <cell r="A9">
            <v>10520111</v>
          </cell>
          <cell r="B9" t="str">
            <v>혜자)백설갈비양념제육</v>
          </cell>
          <cell r="C9">
            <v>1360</v>
          </cell>
          <cell r="D9" t="str">
            <v>개</v>
          </cell>
        </row>
        <row r="10">
          <cell r="A10">
            <v>10520113</v>
          </cell>
          <cell r="B10" t="str">
            <v>슈퍼)착한제육비빔밥</v>
          </cell>
          <cell r="C10">
            <v>31</v>
          </cell>
          <cell r="D10" t="str">
            <v>개</v>
          </cell>
        </row>
        <row r="11">
          <cell r="A11">
            <v>10520114</v>
          </cell>
          <cell r="B11" t="str">
            <v>NEW혜자)직화불고기&amp;오징어제육</v>
          </cell>
          <cell r="C11">
            <v>2265</v>
          </cell>
          <cell r="D11" t="str">
            <v>개</v>
          </cell>
        </row>
        <row r="12">
          <cell r="A12">
            <v>10520115</v>
          </cell>
          <cell r="B12" t="str">
            <v>NEW혜자)돈까스고추장제육</v>
          </cell>
          <cell r="C12">
            <v>2296</v>
          </cell>
          <cell r="D12" t="str">
            <v>개</v>
          </cell>
        </row>
        <row r="13">
          <cell r="A13">
            <v>10520121</v>
          </cell>
          <cell r="B13" t="str">
            <v>착한)마파두부덮밥(3,900원)</v>
          </cell>
          <cell r="C13">
            <v>12</v>
          </cell>
          <cell r="D13" t="str">
            <v>개</v>
          </cell>
        </row>
        <row r="14">
          <cell r="A14">
            <v>10520124</v>
          </cell>
          <cell r="B14" t="str">
            <v>착한)제육덮밥(3,900원)</v>
          </cell>
          <cell r="C14">
            <v>20</v>
          </cell>
          <cell r="D14" t="str">
            <v>개</v>
          </cell>
        </row>
        <row r="15">
          <cell r="A15">
            <v>10420092</v>
          </cell>
          <cell r="B15" t="str">
            <v>슈퍼)착한참치마요김밥</v>
          </cell>
          <cell r="C15">
            <v>163</v>
          </cell>
          <cell r="D15" t="str">
            <v>개</v>
          </cell>
        </row>
        <row r="16">
          <cell r="A16">
            <v>10420099</v>
          </cell>
          <cell r="B16" t="str">
            <v>슈퍼)착한김치김밥</v>
          </cell>
          <cell r="C16">
            <v>132</v>
          </cell>
          <cell r="D16" t="str">
            <v>개</v>
          </cell>
        </row>
        <row r="17">
          <cell r="A17">
            <v>10420121</v>
          </cell>
          <cell r="B17" t="str">
            <v>THE근본김밥</v>
          </cell>
          <cell r="C17">
            <v>3078</v>
          </cell>
          <cell r="D17" t="str">
            <v>개</v>
          </cell>
        </row>
        <row r="18">
          <cell r="A18">
            <v>10420122</v>
          </cell>
          <cell r="B18" t="str">
            <v>왕돈까스김밥</v>
          </cell>
          <cell r="C18">
            <v>2038</v>
          </cell>
          <cell r="D18" t="str">
            <v>개</v>
          </cell>
        </row>
        <row r="19">
          <cell r="A19">
            <v>10420123</v>
          </cell>
          <cell r="B19" t="str">
            <v>불고기치즈김밥</v>
          </cell>
          <cell r="C19">
            <v>1796</v>
          </cell>
          <cell r="D19" t="str">
            <v>개</v>
          </cell>
        </row>
        <row r="20">
          <cell r="A20">
            <v>10420124</v>
          </cell>
          <cell r="B20" t="str">
            <v>더블치즈소시지김밥</v>
          </cell>
          <cell r="C20">
            <v>1766</v>
          </cell>
          <cell r="D20" t="str">
            <v>개</v>
          </cell>
        </row>
        <row r="21">
          <cell r="A21">
            <v>10420125</v>
          </cell>
          <cell r="B21" t="str">
            <v>종가)김치제육김밥</v>
          </cell>
          <cell r="C21">
            <v>1400</v>
          </cell>
          <cell r="D21" t="str">
            <v>개</v>
          </cell>
        </row>
        <row r="22">
          <cell r="A22">
            <v>10420126</v>
          </cell>
          <cell r="B22" t="str">
            <v>마리오)트러플불고기김밥</v>
          </cell>
          <cell r="C22">
            <v>555</v>
          </cell>
          <cell r="D22" t="str">
            <v>개</v>
          </cell>
        </row>
        <row r="23">
          <cell r="A23">
            <v>10420127</v>
          </cell>
          <cell r="B23" t="str">
            <v>직화)한돈제육쌈김밥</v>
          </cell>
          <cell r="C23">
            <v>3373</v>
          </cell>
          <cell r="D23" t="str">
            <v>개</v>
          </cell>
        </row>
        <row r="24">
          <cell r="A24">
            <v>20194316</v>
          </cell>
          <cell r="B24" t="str">
            <v>슈퍼)착한참치마요김밥(성형)</v>
          </cell>
          <cell r="C24">
            <v>108.721</v>
          </cell>
          <cell r="D24" t="str">
            <v>개</v>
          </cell>
        </row>
        <row r="25">
          <cell r="A25">
            <v>20194478</v>
          </cell>
          <cell r="B25" t="str">
            <v>슈퍼)착한김치김밥(성형)</v>
          </cell>
          <cell r="C25">
            <v>88.043999999999997</v>
          </cell>
          <cell r="D25" t="str">
            <v>개</v>
          </cell>
        </row>
        <row r="26">
          <cell r="A26">
            <v>20194980</v>
          </cell>
          <cell r="B26" t="str">
            <v>THE근본김밥(성형)</v>
          </cell>
          <cell r="C26">
            <v>2052</v>
          </cell>
          <cell r="D26" t="str">
            <v>개</v>
          </cell>
        </row>
        <row r="27">
          <cell r="A27">
            <v>20195002</v>
          </cell>
          <cell r="B27" t="str">
            <v>왕돈까스김밥(성형)</v>
          </cell>
          <cell r="C27">
            <v>1358.6659999999999</v>
          </cell>
          <cell r="D27" t="str">
            <v>개</v>
          </cell>
        </row>
        <row r="28">
          <cell r="A28">
            <v>20195006</v>
          </cell>
          <cell r="B28" t="str">
            <v>더블치즈소시지김밥(성형)</v>
          </cell>
          <cell r="C28">
            <v>1177.3340000000001</v>
          </cell>
          <cell r="D28" t="str">
            <v>개</v>
          </cell>
        </row>
        <row r="29">
          <cell r="A29">
            <v>20195007</v>
          </cell>
          <cell r="B29" t="str">
            <v>불고기치즈김밥(성형)</v>
          </cell>
          <cell r="C29">
            <v>1197.3330000000001</v>
          </cell>
          <cell r="D29" t="str">
            <v>개</v>
          </cell>
        </row>
        <row r="30">
          <cell r="A30">
            <v>20195010</v>
          </cell>
          <cell r="B30" t="str">
            <v>종가)김치제육김밥(성형)</v>
          </cell>
          <cell r="C30">
            <v>933.33299999999997</v>
          </cell>
          <cell r="D30" t="str">
            <v>개</v>
          </cell>
        </row>
        <row r="31">
          <cell r="A31">
            <v>20195091</v>
          </cell>
          <cell r="B31" t="str">
            <v>마리오)트러플불고기김밥(성형)</v>
          </cell>
          <cell r="C31">
            <v>370</v>
          </cell>
          <cell r="D31" t="str">
            <v>개</v>
          </cell>
        </row>
        <row r="32">
          <cell r="A32">
            <v>20195110</v>
          </cell>
          <cell r="B32" t="str">
            <v>직화)한돈제육쌈김밥(성형)</v>
          </cell>
          <cell r="C32">
            <v>2248.6660000000002</v>
          </cell>
          <cell r="D32" t="str">
            <v>개</v>
          </cell>
        </row>
        <row r="33">
          <cell r="A33">
            <v>10120050</v>
          </cell>
          <cell r="B33" t="str">
            <v>삼각)저당전주비빔</v>
          </cell>
          <cell r="C33">
            <v>1437</v>
          </cell>
          <cell r="D33" t="str">
            <v>개</v>
          </cell>
        </row>
        <row r="34">
          <cell r="A34">
            <v>10120051</v>
          </cell>
          <cell r="B34" t="str">
            <v>삼각)전주비빔</v>
          </cell>
          <cell r="C34">
            <v>4210</v>
          </cell>
          <cell r="D34" t="str">
            <v>개</v>
          </cell>
        </row>
        <row r="35">
          <cell r="A35">
            <v>10820015</v>
          </cell>
          <cell r="B35" t="str">
            <v>NEW햄참치마요무스비</v>
          </cell>
          <cell r="C35">
            <v>1047</v>
          </cell>
          <cell r="D35" t="str">
            <v>개</v>
          </cell>
        </row>
        <row r="36">
          <cell r="A36">
            <v>10920052</v>
          </cell>
          <cell r="B36" t="str">
            <v>NEW스팸무스비</v>
          </cell>
          <cell r="C36">
            <v>2093</v>
          </cell>
          <cell r="D36" t="str">
            <v>개</v>
          </cell>
        </row>
        <row r="37">
          <cell r="A37">
            <v>10920058</v>
          </cell>
          <cell r="B37" t="str">
            <v>종가)묵은지김치제육</v>
          </cell>
          <cell r="C37">
            <v>2121</v>
          </cell>
          <cell r="D37" t="str">
            <v>개</v>
          </cell>
        </row>
        <row r="38">
          <cell r="A38">
            <v>10920059</v>
          </cell>
          <cell r="B38" t="str">
            <v>더큰)리챔참치마요</v>
          </cell>
          <cell r="C38">
            <v>3647</v>
          </cell>
          <cell r="D38" t="str">
            <v>개</v>
          </cell>
        </row>
        <row r="39">
          <cell r="A39">
            <v>10920060</v>
          </cell>
          <cell r="B39" t="str">
            <v>종가)들기름묵은지참치</v>
          </cell>
          <cell r="C39">
            <v>2588</v>
          </cell>
          <cell r="D39" t="str">
            <v>개</v>
          </cell>
        </row>
        <row r="40">
          <cell r="A40">
            <v>10920061</v>
          </cell>
          <cell r="B40" t="str">
            <v>더큰)스팸김치볶음밥</v>
          </cell>
          <cell r="C40">
            <v>5988</v>
          </cell>
          <cell r="D40" t="str">
            <v>개</v>
          </cell>
        </row>
        <row r="41">
          <cell r="A41">
            <v>10920062</v>
          </cell>
          <cell r="B41" t="str">
            <v>더큰)스팸계란볶음밥</v>
          </cell>
          <cell r="C41">
            <v>4155</v>
          </cell>
          <cell r="D41" t="str">
            <v>개</v>
          </cell>
        </row>
        <row r="42">
          <cell r="A42">
            <v>10920063</v>
          </cell>
          <cell r="B42" t="str">
            <v>더큰)닭갈비깻잎쌈밥</v>
          </cell>
          <cell r="C42">
            <v>2285</v>
          </cell>
          <cell r="D42" t="str">
            <v>개</v>
          </cell>
        </row>
        <row r="43">
          <cell r="A43">
            <v>10920064</v>
          </cell>
          <cell r="B43" t="str">
            <v>프렌치파파)베이컨리조또</v>
          </cell>
          <cell r="C43">
            <v>1888</v>
          </cell>
          <cell r="D43" t="str">
            <v>개</v>
          </cell>
        </row>
        <row r="44">
          <cell r="A44">
            <v>20000803</v>
          </cell>
          <cell r="B44" t="str">
            <v>스팸슬라이스_12등분</v>
          </cell>
          <cell r="C44">
            <v>2093</v>
          </cell>
          <cell r="D44" t="str">
            <v>장</v>
          </cell>
        </row>
        <row r="45">
          <cell r="A45">
            <v>20001848</v>
          </cell>
          <cell r="B45" t="str">
            <v>[게맛살(1/2컷팅)]</v>
          </cell>
          <cell r="C45">
            <v>69.632999999999996</v>
          </cell>
          <cell r="D45" t="str">
            <v>Kg</v>
          </cell>
        </row>
        <row r="46">
          <cell r="A46">
            <v>20002010</v>
          </cell>
          <cell r="B46" t="str">
            <v>[선]더큰)스팸(0.8*0.8컷팅)</v>
          </cell>
          <cell r="C46">
            <v>153.66900000000001</v>
          </cell>
          <cell r="D46" t="str">
            <v>Kg</v>
          </cell>
        </row>
        <row r="47">
          <cell r="A47">
            <v>20191950</v>
          </cell>
          <cell r="B47" t="str">
            <v>야채계란말이(대각1/2커팅)</v>
          </cell>
          <cell r="C47">
            <v>24.45</v>
          </cell>
          <cell r="D47" t="str">
            <v>Kg</v>
          </cell>
        </row>
        <row r="48">
          <cell r="A48">
            <v>20192183</v>
          </cell>
          <cell r="B48" t="str">
            <v>미니등심돈까스70 1/2 컷팅</v>
          </cell>
          <cell r="C48">
            <v>1630</v>
          </cell>
          <cell r="D48" t="str">
            <v>개</v>
          </cell>
        </row>
        <row r="49">
          <cell r="A49">
            <v>20193144</v>
          </cell>
          <cell r="B49" t="str">
            <v>고미트햄슬라이스_12등분</v>
          </cell>
          <cell r="C49">
            <v>1047</v>
          </cell>
          <cell r="D49" t="str">
            <v>장</v>
          </cell>
        </row>
        <row r="50">
          <cell r="A50">
            <v>20193256</v>
          </cell>
          <cell r="B50" t="str">
            <v>한돈돈카츠튀김세로절단</v>
          </cell>
          <cell r="C50">
            <v>815.2</v>
          </cell>
          <cell r="D50" t="str">
            <v>개</v>
          </cell>
        </row>
        <row r="51">
          <cell r="A51">
            <v>20193371</v>
          </cell>
          <cell r="B51" t="str">
            <v>스크램블에그찹핑</v>
          </cell>
          <cell r="C51">
            <v>30.984000000000002</v>
          </cell>
          <cell r="D51" t="str">
            <v>Kg</v>
          </cell>
        </row>
        <row r="52">
          <cell r="A52">
            <v>20193417</v>
          </cell>
          <cell r="B52" t="str">
            <v>고미트햄슬라이스_24등분</v>
          </cell>
          <cell r="C52">
            <v>1630</v>
          </cell>
          <cell r="D52" t="str">
            <v>장</v>
          </cell>
        </row>
        <row r="53">
          <cell r="A53">
            <v>20193458</v>
          </cell>
          <cell r="B53" t="str">
            <v>빵가루찹핑</v>
          </cell>
          <cell r="C53">
            <v>0.39900000000000002</v>
          </cell>
          <cell r="D53" t="str">
            <v>Kg</v>
          </cell>
        </row>
        <row r="54">
          <cell r="A54">
            <v>20193829</v>
          </cell>
          <cell r="B54" t="str">
            <v>리챔슬라이스_24등분</v>
          </cell>
          <cell r="C54">
            <v>3647</v>
          </cell>
          <cell r="D54" t="str">
            <v>장</v>
          </cell>
        </row>
        <row r="55">
          <cell r="A55">
            <v>20194052</v>
          </cell>
          <cell r="B55" t="str">
            <v>크레잇)칼집비엔나(50개)사선1/2</v>
          </cell>
          <cell r="C55">
            <v>52.615000000000002</v>
          </cell>
          <cell r="D55" t="str">
            <v>Kg</v>
          </cell>
        </row>
        <row r="56">
          <cell r="A56">
            <v>20194249</v>
          </cell>
          <cell r="B56" t="str">
            <v>야채계란말이_1/2일자커팅</v>
          </cell>
          <cell r="C56">
            <v>8.1530000000000005</v>
          </cell>
          <cell r="D56" t="str">
            <v>Kg</v>
          </cell>
        </row>
        <row r="57">
          <cell r="A57">
            <v>20194251</v>
          </cell>
          <cell r="B57" t="str">
            <v>아워홈돈까스140(1/4컷)</v>
          </cell>
          <cell r="C57">
            <v>1087</v>
          </cell>
          <cell r="D57" t="str">
            <v>개</v>
          </cell>
        </row>
        <row r="58">
          <cell r="A58">
            <v>20194480</v>
          </cell>
          <cell r="B58" t="str">
            <v>숯불구이맛김밥햄(커팅)</v>
          </cell>
          <cell r="C58">
            <v>1.516</v>
          </cell>
          <cell r="D58" t="str">
            <v>Kg</v>
          </cell>
        </row>
        <row r="59">
          <cell r="A59">
            <v>20194501</v>
          </cell>
          <cell r="B59" t="str">
            <v>무스비김(3절김1/2컷)</v>
          </cell>
          <cell r="C59">
            <v>3140</v>
          </cell>
          <cell r="D59" t="str">
            <v>장</v>
          </cell>
        </row>
        <row r="60">
          <cell r="A60">
            <v>20194626</v>
          </cell>
          <cell r="B60" t="str">
            <v>전지베이컨(1cm커팅)</v>
          </cell>
          <cell r="C60">
            <v>19.606999999999999</v>
          </cell>
          <cell r="D60" t="str">
            <v>Kg</v>
          </cell>
        </row>
        <row r="61">
          <cell r="A61">
            <v>20194671</v>
          </cell>
          <cell r="B61" t="str">
            <v>아워홈)치킨스테이크(1/4십자컷)</v>
          </cell>
          <cell r="C61">
            <v>984.84900000000005</v>
          </cell>
          <cell r="D61" t="str">
            <v>개</v>
          </cell>
        </row>
        <row r="62">
          <cell r="A62">
            <v>20194775</v>
          </cell>
          <cell r="B62" t="str">
            <v>미니등심돈까스70_1/3컷</v>
          </cell>
          <cell r="C62">
            <v>2296</v>
          </cell>
          <cell r="D62" t="str">
            <v>개</v>
          </cell>
        </row>
        <row r="63">
          <cell r="A63">
            <v>20194887</v>
          </cell>
          <cell r="B63" t="str">
            <v>계란옷소시지전튀김1/2컷</v>
          </cell>
          <cell r="C63">
            <v>2392</v>
          </cell>
          <cell r="D63" t="str">
            <v>개</v>
          </cell>
        </row>
        <row r="64">
          <cell r="A64">
            <v>20195149</v>
          </cell>
          <cell r="B64" t="str">
            <v>마일드체다치즈_1/2사각</v>
          </cell>
          <cell r="C64">
            <v>5936.6689999999999</v>
          </cell>
          <cell r="D64" t="str">
            <v>개</v>
          </cell>
        </row>
        <row r="65">
          <cell r="A65">
            <v>20001679</v>
          </cell>
          <cell r="B65" t="str">
            <v>골드스모크햄세절88(개봉)</v>
          </cell>
          <cell r="C65">
            <v>35.823999999999998</v>
          </cell>
          <cell r="D65" t="str">
            <v>Kg</v>
          </cell>
        </row>
        <row r="66">
          <cell r="A66">
            <v>20192020</v>
          </cell>
          <cell r="B66" t="str">
            <v>이레팜)계란세절</v>
          </cell>
          <cell r="C66">
            <v>18.902999999999999</v>
          </cell>
          <cell r="D66" t="str">
            <v>Kg</v>
          </cell>
        </row>
        <row r="67">
          <cell r="A67">
            <v>20192191</v>
          </cell>
          <cell r="B67" t="str">
            <v>견과진미채</v>
          </cell>
          <cell r="C67">
            <v>25.077000000000002</v>
          </cell>
          <cell r="D67" t="str">
            <v>Kg</v>
          </cell>
        </row>
        <row r="68">
          <cell r="A68">
            <v>20192735</v>
          </cell>
          <cell r="B68" t="str">
            <v>아워홈)부산어묵볼(봉당150개)</v>
          </cell>
          <cell r="C68">
            <v>4890</v>
          </cell>
          <cell r="D68" t="str">
            <v>개</v>
          </cell>
        </row>
        <row r="69">
          <cell r="A69">
            <v>20192765</v>
          </cell>
          <cell r="B69" t="str">
            <v>에그스크램블(해동)</v>
          </cell>
          <cell r="C69">
            <v>28.167999999999999</v>
          </cell>
          <cell r="D69" t="str">
            <v>Kg</v>
          </cell>
        </row>
        <row r="70">
          <cell r="A70">
            <v>20193434</v>
          </cell>
          <cell r="B70" t="str">
            <v>동원)비엔나소세지(봉당110개)</v>
          </cell>
          <cell r="C70">
            <v>8150</v>
          </cell>
          <cell r="D70" t="str">
            <v>개</v>
          </cell>
        </row>
        <row r="71">
          <cell r="A71">
            <v>20194571</v>
          </cell>
          <cell r="B71" t="str">
            <v>아워홈)미니사각어묵(해동)</v>
          </cell>
          <cell r="C71">
            <v>81.933000000000007</v>
          </cell>
          <cell r="D71" t="str">
            <v>Kg</v>
          </cell>
        </row>
        <row r="72">
          <cell r="A72">
            <v>20194572</v>
          </cell>
          <cell r="B72" t="str">
            <v>G세블락프랑크(케이싱)(20개)</v>
          </cell>
          <cell r="C72">
            <v>136</v>
          </cell>
          <cell r="D72" t="str">
            <v>개</v>
          </cell>
        </row>
        <row r="73">
          <cell r="A73">
            <v>20194584</v>
          </cell>
          <cell r="B73" t="str">
            <v>혜자토네이도소시지(14개)(해동)</v>
          </cell>
          <cell r="C73">
            <v>984.84900000000005</v>
          </cell>
          <cell r="D73" t="str">
            <v>개</v>
          </cell>
        </row>
        <row r="74">
          <cell r="A74">
            <v>20194691</v>
          </cell>
          <cell r="B74" t="str">
            <v>아워홈)치킨스테이크(해동)(6개)</v>
          </cell>
          <cell r="C74">
            <v>246.21299999999999</v>
          </cell>
          <cell r="D74" t="str">
            <v>개</v>
          </cell>
        </row>
        <row r="75">
          <cell r="A75">
            <v>20194717</v>
          </cell>
          <cell r="B75" t="str">
            <v>현대그린푸드)열무나물(해동)</v>
          </cell>
          <cell r="C75">
            <v>44.32</v>
          </cell>
          <cell r="D75" t="str">
            <v>Kg</v>
          </cell>
        </row>
        <row r="76">
          <cell r="A76">
            <v>20194773</v>
          </cell>
          <cell r="B76" t="str">
            <v>선진)찌개용어슷후랑크(해동)</v>
          </cell>
          <cell r="C76">
            <v>33.975000000000001</v>
          </cell>
          <cell r="D76" t="str">
            <v>Kg</v>
          </cell>
        </row>
        <row r="77">
          <cell r="A77">
            <v>20194779</v>
          </cell>
          <cell r="B77" t="str">
            <v>현대)건새우마늘쫑볶음(해동)</v>
          </cell>
          <cell r="C77">
            <v>45.92</v>
          </cell>
          <cell r="D77" t="str">
            <v>Kg</v>
          </cell>
        </row>
        <row r="78">
          <cell r="A78">
            <v>20194984</v>
          </cell>
          <cell r="B78" t="str">
            <v>이레팜)더커진계란구이</v>
          </cell>
          <cell r="C78">
            <v>115.819</v>
          </cell>
          <cell r="D78" t="str">
            <v>Kg</v>
          </cell>
        </row>
        <row r="79">
          <cell r="A79">
            <v>20194985</v>
          </cell>
          <cell r="B79" t="str">
            <v>아워홈)김밥용어묵슬라이스</v>
          </cell>
          <cell r="C79">
            <v>50.183999999999997</v>
          </cell>
          <cell r="D79" t="str">
            <v>Kg</v>
          </cell>
        </row>
        <row r="80">
          <cell r="A80">
            <v>20195054</v>
          </cell>
          <cell r="B80" t="str">
            <v>조각두부(찌개용)(탈수)</v>
          </cell>
          <cell r="C80">
            <v>1.149</v>
          </cell>
          <cell r="D80" t="str">
            <v>Kg</v>
          </cell>
        </row>
        <row r="81">
          <cell r="A81">
            <v>20195100</v>
          </cell>
          <cell r="B81" t="str">
            <v>한울)표고버섯볶음(해동)</v>
          </cell>
          <cell r="C81">
            <v>6.2750000000000004</v>
          </cell>
          <cell r="D81" t="str">
            <v>Kg</v>
          </cell>
        </row>
        <row r="82">
          <cell r="A82">
            <v>20195101</v>
          </cell>
          <cell r="B82" t="str">
            <v>한울)건느타리볶음(해동)</v>
          </cell>
          <cell r="C82">
            <v>6.4080000000000004</v>
          </cell>
          <cell r="D82" t="str">
            <v>Kg</v>
          </cell>
        </row>
        <row r="83">
          <cell r="A83">
            <v>20194188</v>
          </cell>
          <cell r="B83" t="str">
            <v>삼립)핫도그번</v>
          </cell>
          <cell r="C83">
            <v>136</v>
          </cell>
          <cell r="D83" t="str">
            <v>개</v>
          </cell>
        </row>
        <row r="84">
          <cell r="A84">
            <v>30002630</v>
          </cell>
          <cell r="B84" t="str">
            <v>빵가루(원)</v>
          </cell>
          <cell r="C84">
            <v>0.39900000000000002</v>
          </cell>
          <cell r="D84" t="str">
            <v>Kg</v>
          </cell>
        </row>
        <row r="85">
          <cell r="A85">
            <v>30003320</v>
          </cell>
          <cell r="B85" t="str">
            <v>삼립)핫도그번(원)</v>
          </cell>
          <cell r="C85">
            <v>136</v>
          </cell>
          <cell r="D85" t="str">
            <v>개</v>
          </cell>
        </row>
        <row r="86">
          <cell r="A86">
            <v>20001437</v>
          </cell>
          <cell r="B86" t="str">
            <v>선진)냉동비프불고기토핑(원)</v>
          </cell>
          <cell r="C86">
            <v>7.0960000000000001</v>
          </cell>
          <cell r="D86" t="str">
            <v>봉 (팩)</v>
          </cell>
        </row>
        <row r="87">
          <cell r="A87">
            <v>20001843</v>
          </cell>
          <cell r="B87" t="str">
            <v>푸른원)냉동시금치(원)</v>
          </cell>
          <cell r="C87">
            <v>137.73400000000001</v>
          </cell>
          <cell r="D87" t="str">
            <v>봉 (팩)</v>
          </cell>
        </row>
        <row r="88">
          <cell r="A88">
            <v>30001086</v>
          </cell>
          <cell r="B88" t="str">
            <v>푸른원)냉동혼합야채4종(원)</v>
          </cell>
          <cell r="C88">
            <v>9.0559999999999992</v>
          </cell>
          <cell r="D88" t="str">
            <v>봉 (팩)</v>
          </cell>
        </row>
        <row r="89">
          <cell r="A89">
            <v>30001145</v>
          </cell>
          <cell r="B89" t="str">
            <v>냉동다진마늘(푸른)(원)</v>
          </cell>
          <cell r="C89">
            <v>10.159000000000001</v>
          </cell>
          <cell r="D89" t="str">
            <v>봉 (팩)</v>
          </cell>
        </row>
        <row r="90">
          <cell r="A90">
            <v>30001804</v>
          </cell>
          <cell r="B90" t="str">
            <v>아워홈)70미니등심돈까_15개(원)</v>
          </cell>
          <cell r="C90">
            <v>207.4</v>
          </cell>
          <cell r="D90" t="str">
            <v>봉 (팩)</v>
          </cell>
        </row>
        <row r="91">
          <cell r="A91">
            <v>30002098</v>
          </cell>
          <cell r="B91" t="str">
            <v>나트륨줄인가라아게(원)</v>
          </cell>
          <cell r="C91">
            <v>103.5</v>
          </cell>
          <cell r="D91" t="str">
            <v>봉 (팩)</v>
          </cell>
        </row>
        <row r="92">
          <cell r="A92">
            <v>30002109</v>
          </cell>
          <cell r="B92" t="str">
            <v>풍림)스크램블드에그(원)</v>
          </cell>
          <cell r="C92">
            <v>28.167999999999999</v>
          </cell>
          <cell r="D92" t="str">
            <v>봉 (팩)</v>
          </cell>
        </row>
        <row r="93">
          <cell r="A93">
            <v>30002283</v>
          </cell>
          <cell r="B93" t="str">
            <v>푸른원)냉동알마늘(원)</v>
          </cell>
          <cell r="C93">
            <v>14.032999999999999</v>
          </cell>
          <cell r="D93" t="str">
            <v>봉 (팩)</v>
          </cell>
        </row>
        <row r="94">
          <cell r="A94">
            <v>30002324</v>
          </cell>
          <cell r="B94" t="str">
            <v>대상)반숙계란후라이_냉동(원)</v>
          </cell>
          <cell r="C94">
            <v>127.8</v>
          </cell>
          <cell r="D94" t="str">
            <v>봉 (팩)</v>
          </cell>
        </row>
        <row r="95">
          <cell r="A95">
            <v>30002522</v>
          </cell>
          <cell r="B95" t="str">
            <v>대상)고추장돼지불고기토핑(원)</v>
          </cell>
          <cell r="C95">
            <v>89.260999999999996</v>
          </cell>
          <cell r="D95" t="str">
            <v>봉 (팩)</v>
          </cell>
        </row>
        <row r="96">
          <cell r="A96">
            <v>30002549</v>
          </cell>
          <cell r="B96" t="str">
            <v>한돈프리미엄돈카츠(원)</v>
          </cell>
          <cell r="C96">
            <v>101.9</v>
          </cell>
          <cell r="D96" t="str">
            <v>봉 (팩)</v>
          </cell>
        </row>
        <row r="97">
          <cell r="A97">
            <v>30002655</v>
          </cell>
          <cell r="B97" t="str">
            <v>전지베이컨(봉당50장)(원)</v>
          </cell>
          <cell r="C97">
            <v>19.606999999999999</v>
          </cell>
          <cell r="D97" t="str">
            <v>봉 (팩)</v>
          </cell>
        </row>
        <row r="98">
          <cell r="A98">
            <v>30002747</v>
          </cell>
          <cell r="B98" t="str">
            <v>대상)간장돼지불고기(원)</v>
          </cell>
          <cell r="C98">
            <v>35.506999999999998</v>
          </cell>
          <cell r="D98" t="str">
            <v>봉 (팩)</v>
          </cell>
        </row>
        <row r="99">
          <cell r="A99">
            <v>30002748</v>
          </cell>
          <cell r="B99" t="str">
            <v>대상)고추장돼지불고기(원)</v>
          </cell>
          <cell r="C99">
            <v>147.70599999999999</v>
          </cell>
          <cell r="D99" t="str">
            <v>봉 (팩)</v>
          </cell>
        </row>
        <row r="100">
          <cell r="A100">
            <v>30002893</v>
          </cell>
          <cell r="B100" t="str">
            <v>청정원)떡갈비_65개(원)</v>
          </cell>
          <cell r="C100">
            <v>25.331</v>
          </cell>
          <cell r="D100" t="str">
            <v>봉 (팩)</v>
          </cell>
        </row>
        <row r="101">
          <cell r="A101">
            <v>30002894</v>
          </cell>
          <cell r="B101" t="str">
            <v>크레잇)계란동그랑땡(46개)(원)</v>
          </cell>
          <cell r="C101">
            <v>35.792000000000002</v>
          </cell>
          <cell r="D101" t="str">
            <v>봉 (팩)</v>
          </cell>
        </row>
        <row r="102">
          <cell r="A102">
            <v>30002895</v>
          </cell>
          <cell r="B102" t="str">
            <v>대상)매콤한양념닭갈비(원)</v>
          </cell>
          <cell r="C102">
            <v>38.713000000000001</v>
          </cell>
          <cell r="D102" t="str">
            <v>봉 (팩)</v>
          </cell>
        </row>
        <row r="103">
          <cell r="A103">
            <v>30002949</v>
          </cell>
          <cell r="B103" t="str">
            <v>청학)냉동대파슬라이스(원)</v>
          </cell>
          <cell r="C103">
            <v>5.9909999999999997</v>
          </cell>
          <cell r="D103" t="str">
            <v>봉 (팩)</v>
          </cell>
        </row>
        <row r="104">
          <cell r="A104">
            <v>30002950</v>
          </cell>
          <cell r="B104" t="str">
            <v>선진)매콤오징어(원)</v>
          </cell>
          <cell r="C104">
            <v>19.797999999999998</v>
          </cell>
          <cell r="D104" t="str">
            <v>봉 (팩)</v>
          </cell>
        </row>
        <row r="105">
          <cell r="A105">
            <v>30002951</v>
          </cell>
          <cell r="B105" t="str">
            <v>선진)매콤제육(원)</v>
          </cell>
          <cell r="C105">
            <v>57.134</v>
          </cell>
          <cell r="D105" t="str">
            <v>봉 (팩)</v>
          </cell>
        </row>
        <row r="106">
          <cell r="A106">
            <v>30002987</v>
          </cell>
          <cell r="B106" t="str">
            <v>등심돈까스140(10개)(원)</v>
          </cell>
          <cell r="C106">
            <v>108.7</v>
          </cell>
          <cell r="D106" t="str">
            <v>봉 (팩)</v>
          </cell>
        </row>
        <row r="107">
          <cell r="A107">
            <v>30002988</v>
          </cell>
          <cell r="B107" t="str">
            <v>선진)미트볼골드(봉당90개)(원)</v>
          </cell>
          <cell r="C107">
            <v>12.077</v>
          </cell>
          <cell r="D107" t="str">
            <v>봉 (팩)</v>
          </cell>
        </row>
        <row r="108">
          <cell r="A108">
            <v>30003072</v>
          </cell>
          <cell r="B108" t="str">
            <v>크레잇)꼬마돈카츠(95개)(원)</v>
          </cell>
          <cell r="C108">
            <v>63.680999999999997</v>
          </cell>
          <cell r="D108" t="str">
            <v>봉 (팩)</v>
          </cell>
        </row>
        <row r="109">
          <cell r="A109">
            <v>30003285</v>
          </cell>
          <cell r="B109" t="str">
            <v>아워홈)미니사각어묵(원)</v>
          </cell>
          <cell r="C109">
            <v>81.933000000000007</v>
          </cell>
          <cell r="D109" t="str">
            <v>봉 (팩)</v>
          </cell>
        </row>
        <row r="110">
          <cell r="A110">
            <v>30003287</v>
          </cell>
          <cell r="B110" t="str">
            <v>G세블락프랑크(케이싱(20개(원)</v>
          </cell>
          <cell r="C110">
            <v>6.8</v>
          </cell>
          <cell r="D110" t="str">
            <v>봉 (팩)</v>
          </cell>
        </row>
        <row r="111">
          <cell r="A111">
            <v>30003294</v>
          </cell>
          <cell r="B111" t="str">
            <v>오래)매콤고추장제육불고기(원)</v>
          </cell>
          <cell r="C111">
            <v>16.029</v>
          </cell>
          <cell r="D111" t="str">
            <v>봉 (팩)</v>
          </cell>
        </row>
        <row r="112">
          <cell r="A112">
            <v>30003295</v>
          </cell>
          <cell r="B112" t="str">
            <v>선진)혜자토네이도소시지(원)</v>
          </cell>
          <cell r="C112">
            <v>70.346999999999994</v>
          </cell>
          <cell r="D112" t="str">
            <v>봉 (팩)</v>
          </cell>
        </row>
        <row r="113">
          <cell r="A113">
            <v>30003297</v>
          </cell>
          <cell r="B113" t="str">
            <v>국일)더잘군불향가득츠쿠네(원)</v>
          </cell>
          <cell r="C113">
            <v>24.620999999999999</v>
          </cell>
          <cell r="D113" t="str">
            <v>봉 (팩)</v>
          </cell>
        </row>
        <row r="114">
          <cell r="A114">
            <v>30003364</v>
          </cell>
          <cell r="B114" t="str">
            <v>아워홈)치킨스테이크(원)</v>
          </cell>
          <cell r="C114">
            <v>41.036000000000001</v>
          </cell>
          <cell r="D114" t="str">
            <v>봉 (팩)</v>
          </cell>
        </row>
        <row r="115">
          <cell r="A115">
            <v>30003391</v>
          </cell>
          <cell r="B115" t="str">
            <v>CJ)크레잇간장돼지불고기(원)</v>
          </cell>
          <cell r="C115">
            <v>44.012999999999998</v>
          </cell>
          <cell r="D115" t="str">
            <v>봉 (팩)</v>
          </cell>
        </row>
        <row r="116">
          <cell r="A116">
            <v>30003393</v>
          </cell>
          <cell r="B116" t="str">
            <v>현대그린푸드)냉동열무나물(원)</v>
          </cell>
          <cell r="C116">
            <v>44.32</v>
          </cell>
          <cell r="D116" t="str">
            <v>봉 (팩)</v>
          </cell>
        </row>
        <row r="117">
          <cell r="A117">
            <v>30003415</v>
          </cell>
          <cell r="B117" t="str">
            <v>대상)매운마늘맛불고기(원)</v>
          </cell>
          <cell r="C117">
            <v>0.76900000000000002</v>
          </cell>
          <cell r="D117" t="str">
            <v>봉 (팩)</v>
          </cell>
        </row>
        <row r="118">
          <cell r="A118">
            <v>30003438</v>
          </cell>
          <cell r="B118" t="str">
            <v>아워홈)연탄구이맛제육(원)</v>
          </cell>
          <cell r="C118">
            <v>56.165999999999997</v>
          </cell>
          <cell r="D118" t="str">
            <v>봉 (팩)</v>
          </cell>
        </row>
        <row r="119">
          <cell r="A119">
            <v>30003440</v>
          </cell>
          <cell r="B119" t="str">
            <v>선진)찌개용어슷후랑크(원)</v>
          </cell>
          <cell r="C119">
            <v>33.975000000000001</v>
          </cell>
          <cell r="D119" t="str">
            <v>봉 (팩)</v>
          </cell>
        </row>
        <row r="120">
          <cell r="A120">
            <v>30003442</v>
          </cell>
          <cell r="B120" t="str">
            <v>현대)건새우마늘쫑볶음(원)</v>
          </cell>
          <cell r="C120">
            <v>45.92</v>
          </cell>
          <cell r="D120" t="str">
            <v>봉 (팩)</v>
          </cell>
        </row>
        <row r="121">
          <cell r="A121">
            <v>30003464</v>
          </cell>
          <cell r="B121" t="str">
            <v>야미)계란옷입은소시지전(원)</v>
          </cell>
          <cell r="C121">
            <v>23</v>
          </cell>
          <cell r="D121" t="str">
            <v>봉 (팩)</v>
          </cell>
        </row>
        <row r="122">
          <cell r="A122">
            <v>30003466</v>
          </cell>
          <cell r="B122" t="str">
            <v>선진)매콤한춘천식닭갈비(원)</v>
          </cell>
          <cell r="C122">
            <v>25.451000000000001</v>
          </cell>
          <cell r="D122" t="str">
            <v>봉 (팩)</v>
          </cell>
        </row>
        <row r="123">
          <cell r="A123">
            <v>30003487</v>
          </cell>
          <cell r="B123" t="str">
            <v>선진)두부두루치기용다짐육(원)</v>
          </cell>
          <cell r="C123">
            <v>0.21199999999999999</v>
          </cell>
          <cell r="D123" t="str">
            <v>봉 (팩)</v>
          </cell>
        </row>
        <row r="124">
          <cell r="A124">
            <v>30003527</v>
          </cell>
          <cell r="B124" t="str">
            <v>선진)대파불고기양념육(원)</v>
          </cell>
          <cell r="C124">
            <v>52.386000000000003</v>
          </cell>
          <cell r="D124" t="str">
            <v>봉 (팩)</v>
          </cell>
        </row>
        <row r="125">
          <cell r="A125">
            <v>30003558</v>
          </cell>
          <cell r="B125" t="str">
            <v>대상)고추장돈육전지불고기(원)</v>
          </cell>
          <cell r="C125">
            <v>20.029</v>
          </cell>
          <cell r="D125" t="str">
            <v>봉 (팩)</v>
          </cell>
        </row>
        <row r="126">
          <cell r="A126">
            <v>30003569</v>
          </cell>
          <cell r="B126" t="str">
            <v>대상)김치제육용불고기토핑(원)</v>
          </cell>
          <cell r="C126">
            <v>35.994</v>
          </cell>
          <cell r="D126" t="str">
            <v>봉 (팩)</v>
          </cell>
        </row>
        <row r="127">
          <cell r="A127">
            <v>30003575</v>
          </cell>
          <cell r="B127" t="str">
            <v>CJ)크레잇고추장돼지불고기(원)</v>
          </cell>
          <cell r="C127">
            <v>0.90300000000000002</v>
          </cell>
          <cell r="D127" t="str">
            <v>봉 (팩)</v>
          </cell>
        </row>
        <row r="128">
          <cell r="A128">
            <v>30003587</v>
          </cell>
          <cell r="B128" t="str">
            <v>한울)표고버섯볶음(원)</v>
          </cell>
          <cell r="C128">
            <v>6.9720000000000004</v>
          </cell>
          <cell r="D128" t="str">
            <v>봉 (팩)</v>
          </cell>
        </row>
        <row r="129">
          <cell r="A129">
            <v>30003588</v>
          </cell>
          <cell r="B129" t="str">
            <v>한울)건느타리볶음(원)</v>
          </cell>
          <cell r="C129">
            <v>7.12</v>
          </cell>
          <cell r="D129" t="str">
            <v>봉 (팩)</v>
          </cell>
        </row>
        <row r="130">
          <cell r="A130">
            <v>30003603</v>
          </cell>
          <cell r="B130" t="str">
            <v>푸른원)냉동양파슬라이스(원)</v>
          </cell>
          <cell r="C130">
            <v>37.439</v>
          </cell>
          <cell r="D130" t="str">
            <v>봉 (팩)</v>
          </cell>
        </row>
        <row r="131">
          <cell r="A131">
            <v>20001849</v>
          </cell>
          <cell r="B131" t="str">
            <v>게맛살(원)</v>
          </cell>
          <cell r="C131">
            <v>58.027999999999999</v>
          </cell>
          <cell r="D131" t="str">
            <v>봉 (팩)</v>
          </cell>
        </row>
        <row r="132">
          <cell r="A132">
            <v>20195150</v>
          </cell>
          <cell r="B132" t="str">
            <v>매일)마일드체다SOS(80개)(원)</v>
          </cell>
          <cell r="C132">
            <v>37.103999999999999</v>
          </cell>
          <cell r="D132" t="str">
            <v>봉 (팩)</v>
          </cell>
        </row>
        <row r="133">
          <cell r="A133">
            <v>30000091</v>
          </cell>
          <cell r="B133" t="str">
            <v>파프리카소스(원)</v>
          </cell>
          <cell r="C133">
            <v>3.0739999999999998</v>
          </cell>
          <cell r="D133" t="str">
            <v>봉 (팩)</v>
          </cell>
        </row>
        <row r="134">
          <cell r="A134">
            <v>30000376</v>
          </cell>
          <cell r="B134" t="str">
            <v>골드스모크햄세절88(원)</v>
          </cell>
          <cell r="C134">
            <v>35.823999999999998</v>
          </cell>
          <cell r="D134" t="str">
            <v>봉 (팩)</v>
          </cell>
        </row>
        <row r="135">
          <cell r="A135">
            <v>30000910</v>
          </cell>
          <cell r="B135" t="str">
            <v>이레팜)야채계란말이(원)</v>
          </cell>
          <cell r="C135">
            <v>36.225000000000001</v>
          </cell>
          <cell r="D135" t="str">
            <v>봉 (팩)</v>
          </cell>
        </row>
        <row r="136">
          <cell r="A136">
            <v>30001165</v>
          </cell>
          <cell r="B136" t="str">
            <v>깍두기(원)</v>
          </cell>
          <cell r="C136">
            <v>1.6259999999999999</v>
          </cell>
          <cell r="D136" t="str">
            <v>박스</v>
          </cell>
        </row>
        <row r="137">
          <cell r="A137">
            <v>30002007</v>
          </cell>
          <cell r="B137" t="str">
            <v>이레팜)계란구이(세절)(원)</v>
          </cell>
          <cell r="C137">
            <v>18.533000000000001</v>
          </cell>
          <cell r="D137" t="str">
            <v>봉 (팩)</v>
          </cell>
        </row>
        <row r="138">
          <cell r="A138">
            <v>30002355</v>
          </cell>
          <cell r="B138" t="str">
            <v>아워홈)부산어묵볼(150개)(원)</v>
          </cell>
          <cell r="C138">
            <v>32.6</v>
          </cell>
          <cell r="D138" t="str">
            <v>봉 (팩)</v>
          </cell>
        </row>
        <row r="139">
          <cell r="A139">
            <v>30002431</v>
          </cell>
          <cell r="B139" t="str">
            <v>크레잇)칼집비엔나(50개)(원)</v>
          </cell>
          <cell r="C139">
            <v>53.146999999999998</v>
          </cell>
          <cell r="D139" t="str">
            <v>봉 (팩)</v>
          </cell>
        </row>
        <row r="140">
          <cell r="A140">
            <v>30002555</v>
          </cell>
          <cell r="B140" t="str">
            <v>MDS)햄마카로니샐러드G(원)</v>
          </cell>
          <cell r="C140">
            <v>57.780999999999999</v>
          </cell>
          <cell r="D140" t="str">
            <v>봉 (팩)</v>
          </cell>
        </row>
        <row r="141">
          <cell r="A141">
            <v>30002593</v>
          </cell>
          <cell r="B141" t="str">
            <v>MDS)콘버터G(원)</v>
          </cell>
          <cell r="C141">
            <v>32.283999999999999</v>
          </cell>
          <cell r="D141" t="str">
            <v>봉 (팩)</v>
          </cell>
        </row>
        <row r="142">
          <cell r="A142">
            <v>30002614</v>
          </cell>
          <cell r="B142" t="str">
            <v>동원)비엔나소세지_110개(원)</v>
          </cell>
          <cell r="C142">
            <v>74.09</v>
          </cell>
          <cell r="D142" t="str">
            <v>봉 (팩)</v>
          </cell>
        </row>
        <row r="143">
          <cell r="A143">
            <v>30002846</v>
          </cell>
          <cell r="B143" t="str">
            <v>대상)비빔밥용고추장소스A(원)</v>
          </cell>
          <cell r="C143">
            <v>1.0229999999999999</v>
          </cell>
          <cell r="D143" t="str">
            <v>봉 (팩)</v>
          </cell>
        </row>
        <row r="144">
          <cell r="A144">
            <v>30002896</v>
          </cell>
          <cell r="B144" t="str">
            <v>동방)통통쏘야소스(원)</v>
          </cell>
          <cell r="C144">
            <v>4.4349999999999996</v>
          </cell>
          <cell r="D144" t="str">
            <v>봉 (팩)</v>
          </cell>
        </row>
        <row r="145">
          <cell r="A145">
            <v>30002902</v>
          </cell>
          <cell r="B145" t="str">
            <v>베지가든)토마토파스타소스(원)</v>
          </cell>
          <cell r="C145">
            <v>14.763</v>
          </cell>
          <cell r="D145" t="str">
            <v>봉 (팩)</v>
          </cell>
        </row>
        <row r="146">
          <cell r="A146">
            <v>30002903</v>
          </cell>
          <cell r="B146" t="str">
            <v>선진)치즈콕콕소시지(14개)(원)</v>
          </cell>
          <cell r="C146">
            <v>88.3</v>
          </cell>
          <cell r="D146" t="str">
            <v>봉 (팩)</v>
          </cell>
        </row>
        <row r="147">
          <cell r="A147">
            <v>30002904</v>
          </cell>
          <cell r="B147" t="str">
            <v>다미)할라피뇨칠리소스(원)</v>
          </cell>
          <cell r="C147">
            <v>3.5710000000000002</v>
          </cell>
          <cell r="D147" t="str">
            <v>봉 (팩)</v>
          </cell>
        </row>
        <row r="148">
          <cell r="A148">
            <v>30002992</v>
          </cell>
          <cell r="B148" t="str">
            <v>FS)경양식돈까스소스H(소포장(원</v>
          </cell>
          <cell r="C148">
            <v>1087</v>
          </cell>
          <cell r="D148" t="str">
            <v>개</v>
          </cell>
        </row>
        <row r="149">
          <cell r="A149">
            <v>30003064</v>
          </cell>
          <cell r="B149" t="str">
            <v>다미)쌈장마요네즈소스(원)</v>
          </cell>
          <cell r="C149">
            <v>6.1840000000000002</v>
          </cell>
          <cell r="D149" t="str">
            <v>봉 (팩)</v>
          </cell>
        </row>
        <row r="150">
          <cell r="A150">
            <v>30003070</v>
          </cell>
          <cell r="B150" t="str">
            <v>한성)숯불구이맛김밥햄(원)</v>
          </cell>
          <cell r="C150">
            <v>7.58</v>
          </cell>
          <cell r="D150" t="str">
            <v>봉 (팩)</v>
          </cell>
        </row>
        <row r="151">
          <cell r="A151">
            <v>30003465</v>
          </cell>
          <cell r="B151" t="str">
            <v>다미)닭갈비소스(원)</v>
          </cell>
          <cell r="C151">
            <v>2.31</v>
          </cell>
          <cell r="D151" t="str">
            <v>봉 (팩)</v>
          </cell>
        </row>
        <row r="152">
          <cell r="A152">
            <v>30003510</v>
          </cell>
          <cell r="B152" t="str">
            <v>이레팜)더커진계란구이(원)</v>
          </cell>
          <cell r="C152">
            <v>113.548</v>
          </cell>
          <cell r="D152" t="str">
            <v>봉 (팩)</v>
          </cell>
        </row>
        <row r="153">
          <cell r="A153">
            <v>30003511</v>
          </cell>
          <cell r="B153" t="str">
            <v>아워홈)김밥용어묵슬라이스(원)</v>
          </cell>
          <cell r="C153">
            <v>50.183999999999997</v>
          </cell>
          <cell r="D153" t="str">
            <v>봉 (팩)</v>
          </cell>
        </row>
        <row r="154">
          <cell r="A154">
            <v>30003555</v>
          </cell>
          <cell r="B154" t="str">
            <v>다미)마파두부소스(원)</v>
          </cell>
          <cell r="C154">
            <v>0.17199999999999999</v>
          </cell>
          <cell r="D154" t="str">
            <v>봉 (팩)</v>
          </cell>
        </row>
        <row r="155">
          <cell r="A155">
            <v>30003556</v>
          </cell>
          <cell r="B155" t="str">
            <v>태원)마라상궈소스(원)</v>
          </cell>
          <cell r="C155">
            <v>1.2999999999999999E-2</v>
          </cell>
          <cell r="D155" t="str">
            <v>봉 (팩)</v>
          </cell>
        </row>
        <row r="156">
          <cell r="A156">
            <v>30003557</v>
          </cell>
          <cell r="B156" t="str">
            <v>조리편한조각두부(찌개용)(원)</v>
          </cell>
          <cell r="C156">
            <v>0.63800000000000001</v>
          </cell>
          <cell r="D156" t="str">
            <v>봉 (팩)</v>
          </cell>
        </row>
        <row r="157">
          <cell r="A157">
            <v>30003596</v>
          </cell>
          <cell r="B157" t="str">
            <v>대상)쉐프원불맛베이스(원)</v>
          </cell>
          <cell r="C157">
            <v>5.6779999999999999</v>
          </cell>
          <cell r="D157" t="str">
            <v>봉 (팩)</v>
          </cell>
        </row>
        <row r="158">
          <cell r="A158">
            <v>20001846</v>
          </cell>
          <cell r="B158" t="str">
            <v>전처리당근채(3mm)(원)</v>
          </cell>
          <cell r="C158">
            <v>54.953000000000003</v>
          </cell>
          <cell r="D158" t="str">
            <v>봉 (팩)</v>
          </cell>
        </row>
        <row r="159">
          <cell r="A159">
            <v>30000065</v>
          </cell>
          <cell r="B159" t="str">
            <v>FS)고추장불고기소스(원)</v>
          </cell>
          <cell r="C159">
            <v>14.502000000000001</v>
          </cell>
          <cell r="D159" t="str">
            <v>봉 (팩)</v>
          </cell>
        </row>
        <row r="160">
          <cell r="A160">
            <v>30000081</v>
          </cell>
          <cell r="B160" t="str">
            <v>부림)깐당근(원)</v>
          </cell>
          <cell r="C160">
            <v>0.34300000000000003</v>
          </cell>
          <cell r="D160" t="str">
            <v>박스</v>
          </cell>
        </row>
        <row r="161">
          <cell r="A161">
            <v>30000086</v>
          </cell>
          <cell r="B161" t="str">
            <v>콩나물(원)</v>
          </cell>
          <cell r="C161">
            <v>3.629</v>
          </cell>
          <cell r="D161" t="str">
            <v>박스</v>
          </cell>
        </row>
        <row r="162">
          <cell r="A162">
            <v>30000121</v>
          </cell>
          <cell r="B162" t="str">
            <v>한울)볶음김치골드(원)</v>
          </cell>
          <cell r="C162">
            <v>50.838000000000001</v>
          </cell>
          <cell r="D162" t="str">
            <v>봉 (팩)</v>
          </cell>
        </row>
        <row r="163">
          <cell r="A163">
            <v>30000124</v>
          </cell>
          <cell r="B163" t="str">
            <v>깐쪽파(원재료)</v>
          </cell>
          <cell r="C163">
            <v>6.5629999999999997</v>
          </cell>
          <cell r="D163" t="str">
            <v>봉 (팩)</v>
          </cell>
        </row>
        <row r="164">
          <cell r="A164">
            <v>30000709</v>
          </cell>
          <cell r="B164" t="str">
            <v>FS)김치볶음밥용소스(원)</v>
          </cell>
          <cell r="C164">
            <v>44.064</v>
          </cell>
          <cell r="D164" t="str">
            <v>봉 (팩)</v>
          </cell>
        </row>
        <row r="165">
          <cell r="A165">
            <v>30000746</v>
          </cell>
          <cell r="B165" t="str">
            <v>동방)어묵볶음용소스-FS(원)</v>
          </cell>
          <cell r="C165">
            <v>2.2919999999999998</v>
          </cell>
          <cell r="D165" t="str">
            <v>봉 (팩)</v>
          </cell>
        </row>
        <row r="166">
          <cell r="A166">
            <v>30001057</v>
          </cell>
          <cell r="B166" t="str">
            <v>FS)간장소스-케이(원)</v>
          </cell>
          <cell r="C166">
            <v>5.5119999999999996</v>
          </cell>
          <cell r="D166" t="str">
            <v>봉 (팩)</v>
          </cell>
        </row>
        <row r="167">
          <cell r="A167">
            <v>30001126</v>
          </cell>
          <cell r="B167" t="str">
            <v>부림)양배추(원)</v>
          </cell>
          <cell r="C167">
            <v>18.916</v>
          </cell>
          <cell r="D167" t="str">
            <v>박스</v>
          </cell>
        </row>
        <row r="168">
          <cell r="A168">
            <v>30001136</v>
          </cell>
          <cell r="B168" t="str">
            <v>부림)깻잎(원)</v>
          </cell>
          <cell r="C168">
            <v>9.32</v>
          </cell>
          <cell r="D168" t="str">
            <v>박스</v>
          </cell>
        </row>
        <row r="169">
          <cell r="A169">
            <v>30001166</v>
          </cell>
          <cell r="B169" t="str">
            <v>부림)깐도라지채(원)</v>
          </cell>
          <cell r="C169">
            <v>5.984</v>
          </cell>
          <cell r="D169" t="str">
            <v>봉 (팩)</v>
          </cell>
        </row>
        <row r="170">
          <cell r="A170">
            <v>30001823</v>
          </cell>
          <cell r="B170" t="str">
            <v>부추(원)</v>
          </cell>
          <cell r="C170">
            <v>0.73499999999999999</v>
          </cell>
          <cell r="D170" t="str">
            <v>박스</v>
          </cell>
        </row>
        <row r="171">
          <cell r="A171">
            <v>30002077</v>
          </cell>
          <cell r="B171" t="str">
            <v>FS)매콤닭강정소스(원)</v>
          </cell>
          <cell r="C171">
            <v>7.0090000000000003</v>
          </cell>
          <cell r="D171" t="str">
            <v>봉 (팩)</v>
          </cell>
        </row>
        <row r="172">
          <cell r="A172">
            <v>30002092</v>
          </cell>
          <cell r="B172" t="str">
            <v>한울)진미채견과볶음(원)</v>
          </cell>
          <cell r="C172">
            <v>25.33</v>
          </cell>
          <cell r="D172" t="str">
            <v>봉 (팩)</v>
          </cell>
        </row>
        <row r="173">
          <cell r="A173">
            <v>30002096</v>
          </cell>
          <cell r="B173" t="str">
            <v>FS)돈까스소스-FS(원)</v>
          </cell>
          <cell r="C173">
            <v>8.15</v>
          </cell>
          <cell r="D173" t="str">
            <v>봉 (팩)</v>
          </cell>
        </row>
        <row r="174">
          <cell r="A174">
            <v>30002195</v>
          </cell>
          <cell r="B174" t="str">
            <v>FS)뉴비빔밥용고추장소스(원)</v>
          </cell>
          <cell r="C174">
            <v>29.07</v>
          </cell>
          <cell r="D174" t="str">
            <v>봉 (팩)</v>
          </cell>
        </row>
        <row r="175">
          <cell r="A175">
            <v>30002298</v>
          </cell>
          <cell r="B175" t="str">
            <v>부림)깐양파(원)</v>
          </cell>
          <cell r="C175">
            <v>4.9340000000000002</v>
          </cell>
          <cell r="D175" t="str">
            <v>봉 (팩)</v>
          </cell>
        </row>
        <row r="176">
          <cell r="A176">
            <v>30002363</v>
          </cell>
          <cell r="B176" t="str">
            <v>FS)너비아니양념소스J(원)</v>
          </cell>
          <cell r="C176">
            <v>1.071</v>
          </cell>
          <cell r="D176" t="str">
            <v>봉 (팩)</v>
          </cell>
        </row>
        <row r="177">
          <cell r="A177">
            <v>30002442</v>
          </cell>
          <cell r="B177" t="str">
            <v>반찬단지우엉조림(원)</v>
          </cell>
          <cell r="C177">
            <v>42.136000000000003</v>
          </cell>
          <cell r="D177" t="str">
            <v>봉 (팩)</v>
          </cell>
        </row>
        <row r="178">
          <cell r="A178">
            <v>30002585</v>
          </cell>
          <cell r="B178" t="str">
            <v>FS)삼각치킨조미소스(원)</v>
          </cell>
          <cell r="C178">
            <v>19.109000000000002</v>
          </cell>
          <cell r="D178" t="str">
            <v>봉 (팩)</v>
          </cell>
        </row>
        <row r="179">
          <cell r="A179">
            <v>30002599</v>
          </cell>
          <cell r="B179" t="str">
            <v>종가)맛김치(원)</v>
          </cell>
          <cell r="C179">
            <v>19.123999999999999</v>
          </cell>
          <cell r="D179" t="str">
            <v>봉 (팩)</v>
          </cell>
        </row>
        <row r="180">
          <cell r="A180">
            <v>30002650</v>
          </cell>
          <cell r="B180" t="str">
            <v>FS)청양식매운맛간장소스(원)</v>
          </cell>
          <cell r="C180">
            <v>7.5259999999999998</v>
          </cell>
          <cell r="D180" t="str">
            <v>봉 (팩)</v>
          </cell>
        </row>
        <row r="181">
          <cell r="A181">
            <v>30002875</v>
          </cell>
          <cell r="B181" t="str">
            <v>FS)조청닭강정소스(원)</v>
          </cell>
          <cell r="C181">
            <v>9.9809999999999999</v>
          </cell>
          <cell r="D181" t="str">
            <v>봉 (팩)</v>
          </cell>
        </row>
        <row r="182">
          <cell r="A182">
            <v>30003010</v>
          </cell>
          <cell r="B182" t="str">
            <v>FS)조미식초소스(원)</v>
          </cell>
          <cell r="C182">
            <v>25.349</v>
          </cell>
          <cell r="D182" t="str">
            <v>봉 (팩)</v>
          </cell>
        </row>
        <row r="183">
          <cell r="A183">
            <v>30003011</v>
          </cell>
          <cell r="B183" t="str">
            <v>FS)다시마조미식초소스(원)</v>
          </cell>
          <cell r="C183">
            <v>0.20100000000000001</v>
          </cell>
          <cell r="D183" t="str">
            <v>봉 (팩)</v>
          </cell>
        </row>
        <row r="184">
          <cell r="A184">
            <v>30003288</v>
          </cell>
          <cell r="B184" t="str">
            <v>송송오이피클(랠리쉬)(원)</v>
          </cell>
          <cell r="C184">
            <v>1.4319999999999999</v>
          </cell>
          <cell r="D184" t="str">
            <v>봉 (팩)</v>
          </cell>
        </row>
        <row r="185">
          <cell r="A185">
            <v>30003299</v>
          </cell>
          <cell r="B185" t="str">
            <v>FS)매운돈까스소스(원)</v>
          </cell>
          <cell r="C185">
            <v>3.4180000000000001</v>
          </cell>
          <cell r="D185" t="str">
            <v>봉 (팩)</v>
          </cell>
        </row>
        <row r="186">
          <cell r="A186">
            <v>30003308</v>
          </cell>
          <cell r="B186" t="str">
            <v>FS)치킨바베큐양념소스(원)</v>
          </cell>
          <cell r="C186">
            <v>1.3580000000000001</v>
          </cell>
          <cell r="D186" t="str">
            <v>봉 (팩)</v>
          </cell>
        </row>
        <row r="187">
          <cell r="A187">
            <v>30003310</v>
          </cell>
          <cell r="B187" t="str">
            <v>FS)츠쿠네소스(원)</v>
          </cell>
          <cell r="C187">
            <v>4.4219999999999997</v>
          </cell>
          <cell r="D187" t="str">
            <v>봉 (팩)</v>
          </cell>
        </row>
        <row r="188">
          <cell r="A188">
            <v>30003376</v>
          </cell>
          <cell r="B188" t="str">
            <v>부림)깐대파(원)</v>
          </cell>
          <cell r="C188">
            <v>7.1959999999999997</v>
          </cell>
          <cell r="D188" t="str">
            <v>박스</v>
          </cell>
        </row>
        <row r="189">
          <cell r="A189">
            <v>30003400</v>
          </cell>
          <cell r="B189" t="str">
            <v>종가)백볶음김치(원)</v>
          </cell>
          <cell r="C189">
            <v>28.109000000000002</v>
          </cell>
          <cell r="D189" t="str">
            <v>봉 (팩)</v>
          </cell>
        </row>
        <row r="190">
          <cell r="A190">
            <v>30003416</v>
          </cell>
          <cell r="B190" t="str">
            <v>부림)청상추(원)</v>
          </cell>
          <cell r="C190">
            <v>0.124</v>
          </cell>
          <cell r="D190" t="str">
            <v>박스</v>
          </cell>
        </row>
        <row r="191">
          <cell r="A191">
            <v>30003439</v>
          </cell>
          <cell r="B191" t="str">
            <v>FS)쏘야볶음소스H(원)</v>
          </cell>
          <cell r="C191">
            <v>5.41</v>
          </cell>
          <cell r="D191" t="str">
            <v>봉 (팩)</v>
          </cell>
        </row>
        <row r="192">
          <cell r="A192">
            <v>30003443</v>
          </cell>
          <cell r="B192" t="str">
            <v>FS)돈까스소스(소포장)(원)</v>
          </cell>
          <cell r="C192">
            <v>2296</v>
          </cell>
          <cell r="D192" t="str">
            <v>개</v>
          </cell>
        </row>
        <row r="193">
          <cell r="A193">
            <v>30003454</v>
          </cell>
          <cell r="B193" t="str">
            <v>FS)우엉볶음용간장소스(원)</v>
          </cell>
          <cell r="C193">
            <v>4.0010000000000003</v>
          </cell>
          <cell r="D193" t="str">
            <v>봉 (팩)</v>
          </cell>
        </row>
        <row r="194">
          <cell r="A194">
            <v>30003508</v>
          </cell>
          <cell r="B194" t="str">
            <v>FS)대파크림소스(원)</v>
          </cell>
          <cell r="C194">
            <v>18.513000000000002</v>
          </cell>
          <cell r="D194" t="str">
            <v>봉 (팩)</v>
          </cell>
        </row>
        <row r="195">
          <cell r="A195">
            <v>30003509</v>
          </cell>
          <cell r="B195" t="str">
            <v>FS)김밥용조미에센스(원)</v>
          </cell>
          <cell r="C195">
            <v>26.943000000000001</v>
          </cell>
          <cell r="D195" t="str">
            <v>봉 (팩)</v>
          </cell>
        </row>
        <row r="196">
          <cell r="A196">
            <v>30003526</v>
          </cell>
          <cell r="B196" t="str">
            <v>FS)김밥용돈까스소스(원)</v>
          </cell>
          <cell r="C196">
            <v>24.956</v>
          </cell>
          <cell r="D196" t="str">
            <v>봉 (팩)</v>
          </cell>
        </row>
        <row r="197">
          <cell r="A197">
            <v>30003543</v>
          </cell>
          <cell r="B197" t="str">
            <v>FS)삼각용다시마취반소스(원)</v>
          </cell>
          <cell r="C197">
            <v>9.6430000000000007</v>
          </cell>
          <cell r="D197" t="str">
            <v>봉 (팩)</v>
          </cell>
        </row>
        <row r="198">
          <cell r="A198">
            <v>30003559</v>
          </cell>
          <cell r="B198" t="str">
            <v>FS)볶음김치소스-Y(원)</v>
          </cell>
          <cell r="C198">
            <v>3.5710000000000002</v>
          </cell>
          <cell r="D198" t="str">
            <v>봉 (팩)</v>
          </cell>
        </row>
        <row r="199">
          <cell r="A199">
            <v>30003579</v>
          </cell>
          <cell r="B199" t="str">
            <v>FS)저당비빔밥용고추장소스H(원)</v>
          </cell>
          <cell r="C199">
            <v>10.853</v>
          </cell>
          <cell r="D199" t="str">
            <v>봉 (팩)</v>
          </cell>
        </row>
        <row r="200">
          <cell r="A200">
            <v>30003580</v>
          </cell>
          <cell r="B200" t="str">
            <v>FS)저당고추장불고기소스H(원)</v>
          </cell>
          <cell r="C200">
            <v>4.79</v>
          </cell>
          <cell r="D200" t="str">
            <v>봉 (팩)</v>
          </cell>
        </row>
        <row r="201">
          <cell r="A201">
            <v>30003080</v>
          </cell>
          <cell r="B201" t="str">
            <v>수축필름16</v>
          </cell>
          <cell r="C201">
            <v>10.872</v>
          </cell>
          <cell r="D201" t="str">
            <v>롤</v>
          </cell>
        </row>
        <row r="202">
          <cell r="A202">
            <v>30003083</v>
          </cell>
          <cell r="B202" t="str">
            <v>에스지앤피)핫도그지함(부)</v>
          </cell>
          <cell r="C202">
            <v>0.13600000000000001</v>
          </cell>
          <cell r="D202" t="str">
            <v>봉 (팩)</v>
          </cell>
        </row>
        <row r="203">
          <cell r="A203">
            <v>30003096</v>
          </cell>
          <cell r="B203" t="str">
            <v>골드)간지(9*9)(부)</v>
          </cell>
          <cell r="C203">
            <v>1.087</v>
          </cell>
          <cell r="D203" t="str">
            <v>봉 (팩)</v>
          </cell>
        </row>
        <row r="204">
          <cell r="A204">
            <v>30003097</v>
          </cell>
          <cell r="B204" t="str">
            <v>골드)간지(4.5*150)(부)</v>
          </cell>
          <cell r="C204">
            <v>0.13600000000000001</v>
          </cell>
          <cell r="D204" t="str">
            <v>봉 (팩)</v>
          </cell>
        </row>
        <row r="205">
          <cell r="A205">
            <v>30003098</v>
          </cell>
          <cell r="B205" t="str">
            <v>상지)1탄가성비용기(부)</v>
          </cell>
          <cell r="C205">
            <v>16.3</v>
          </cell>
          <cell r="D205" t="str">
            <v>봉 (팩)</v>
          </cell>
        </row>
        <row r="206">
          <cell r="A206">
            <v>30003099</v>
          </cell>
          <cell r="B206" t="str">
            <v>상지)가성비뚜껑(부)</v>
          </cell>
          <cell r="C206">
            <v>16.3</v>
          </cell>
          <cell r="D206" t="str">
            <v>봉 (팩)</v>
          </cell>
        </row>
        <row r="207">
          <cell r="A207">
            <v>30003107</v>
          </cell>
          <cell r="B207" t="str">
            <v>바코드56*45(김밥)(청색/적색)</v>
          </cell>
          <cell r="C207">
            <v>12505</v>
          </cell>
          <cell r="D207" t="str">
            <v>개</v>
          </cell>
        </row>
        <row r="208">
          <cell r="A208">
            <v>30003108</v>
          </cell>
          <cell r="B208" t="str">
            <v>바코드54*45(삼각)(청색/적색)</v>
          </cell>
          <cell r="C208">
            <v>28319</v>
          </cell>
          <cell r="D208" t="str">
            <v>개</v>
          </cell>
        </row>
        <row r="209">
          <cell r="A209">
            <v>30003109</v>
          </cell>
          <cell r="B209" t="str">
            <v>바코드60*35(도시락)(청색/적색)</v>
          </cell>
          <cell r="C209">
            <v>14148</v>
          </cell>
          <cell r="D209" t="str">
            <v>개</v>
          </cell>
        </row>
        <row r="210">
          <cell r="A210">
            <v>30003152</v>
          </cell>
          <cell r="B210" t="str">
            <v>이프린팅)뭘좋아할지몰라(스)</v>
          </cell>
          <cell r="C210">
            <v>1.63</v>
          </cell>
          <cell r="D210" t="str">
            <v>롤</v>
          </cell>
        </row>
        <row r="211">
          <cell r="A211">
            <v>30003165</v>
          </cell>
          <cell r="B211" t="str">
            <v>골드)착한김치김밥(필)</v>
          </cell>
          <cell r="C211">
            <v>0.26400000000000001</v>
          </cell>
          <cell r="D211" t="str">
            <v>봉 (팩)</v>
          </cell>
        </row>
        <row r="212">
          <cell r="A212">
            <v>30003166</v>
          </cell>
          <cell r="B212" t="str">
            <v>골드)착한가격참치마요(필)</v>
          </cell>
          <cell r="C212">
            <v>0.32600000000000001</v>
          </cell>
          <cell r="D212" t="str">
            <v>봉 (팩)</v>
          </cell>
        </row>
        <row r="213">
          <cell r="A213">
            <v>30003185</v>
          </cell>
          <cell r="B213" t="str">
            <v>햄참치마요무스비(필)</v>
          </cell>
          <cell r="C213">
            <v>0.20899999999999999</v>
          </cell>
          <cell r="D213" t="str">
            <v>롤</v>
          </cell>
        </row>
        <row r="214">
          <cell r="A214">
            <v>30003216</v>
          </cell>
          <cell r="B214" t="str">
            <v>두레)바란74*57mm(부)</v>
          </cell>
          <cell r="C214">
            <v>1.087</v>
          </cell>
          <cell r="D214" t="str">
            <v>곽</v>
          </cell>
        </row>
        <row r="215">
          <cell r="A215">
            <v>30003227</v>
          </cell>
          <cell r="B215" t="str">
            <v>케미코)5찬도시락용기(부)</v>
          </cell>
          <cell r="C215">
            <v>11.96</v>
          </cell>
          <cell r="D215" t="str">
            <v>봉 (팩)</v>
          </cell>
        </row>
        <row r="216">
          <cell r="A216">
            <v>30003228</v>
          </cell>
          <cell r="B216" t="str">
            <v>케미코)5찬도시락뚜껑A(부)</v>
          </cell>
          <cell r="C216">
            <v>11.96</v>
          </cell>
          <cell r="D216" t="str">
            <v>봉 (팩)</v>
          </cell>
        </row>
        <row r="217">
          <cell r="A217">
            <v>30003230</v>
          </cell>
          <cell r="B217" t="str">
            <v>애디웹)한돈반반제육(스)</v>
          </cell>
          <cell r="C217">
            <v>0.79700000000000004</v>
          </cell>
          <cell r="D217" t="str">
            <v>롤</v>
          </cell>
        </row>
        <row r="218">
          <cell r="A218">
            <v>30003233</v>
          </cell>
          <cell r="B218" t="str">
            <v>상지)등심까스(평)뚜껑(부)</v>
          </cell>
          <cell r="C218">
            <v>10.87</v>
          </cell>
          <cell r="D218" t="str">
            <v>봉 (팩)</v>
          </cell>
        </row>
        <row r="219">
          <cell r="A219">
            <v>30003234</v>
          </cell>
          <cell r="B219" t="str">
            <v>상지)등심돈까스용기(부)</v>
          </cell>
          <cell r="C219">
            <v>7.2469999999999999</v>
          </cell>
          <cell r="D219" t="str">
            <v>봉 (팩)</v>
          </cell>
        </row>
        <row r="220">
          <cell r="A220">
            <v>30003235</v>
          </cell>
          <cell r="B220" t="str">
            <v>이프린팅)돌아온등심돈까스(스)</v>
          </cell>
          <cell r="C220">
            <v>1.087</v>
          </cell>
          <cell r="D220" t="str">
            <v>롤</v>
          </cell>
        </row>
        <row r="221">
          <cell r="A221">
            <v>30003314</v>
          </cell>
          <cell r="B221" t="str">
            <v>상지)명불허전용기(부)</v>
          </cell>
          <cell r="C221">
            <v>6.5</v>
          </cell>
          <cell r="D221" t="str">
            <v>봉 (팩)</v>
          </cell>
        </row>
        <row r="222">
          <cell r="A222">
            <v>30003315</v>
          </cell>
          <cell r="B222" t="str">
            <v>상지)명불허전뚜껑(부)</v>
          </cell>
          <cell r="C222">
            <v>9.75</v>
          </cell>
          <cell r="D222" t="str">
            <v>봉 (팩)</v>
          </cell>
        </row>
        <row r="223">
          <cell r="A223">
            <v>30003316</v>
          </cell>
          <cell r="B223" t="str">
            <v>이프린팅)돌아온명불허전(스)</v>
          </cell>
          <cell r="C223">
            <v>0.97499999999999998</v>
          </cell>
          <cell r="D223" t="str">
            <v>롤</v>
          </cell>
        </row>
        <row r="224">
          <cell r="A224">
            <v>30003325</v>
          </cell>
          <cell r="B224" t="str">
            <v>골드)스팸무스비치즈(필)</v>
          </cell>
          <cell r="C224">
            <v>0.41899999999999998</v>
          </cell>
          <cell r="D224" t="str">
            <v>롤</v>
          </cell>
        </row>
        <row r="225">
          <cell r="A225">
            <v>30003336</v>
          </cell>
          <cell r="B225" t="str">
            <v>골드)착한핫도그오리지널(필)</v>
          </cell>
          <cell r="C225">
            <v>0.02</v>
          </cell>
          <cell r="D225" t="str">
            <v>롤</v>
          </cell>
        </row>
        <row r="226">
          <cell r="A226">
            <v>30003337</v>
          </cell>
          <cell r="B226" t="str">
            <v>골드)착한핫도그양배추(필)</v>
          </cell>
          <cell r="C226">
            <v>1.7000000000000001E-2</v>
          </cell>
          <cell r="D226" t="str">
            <v>롤</v>
          </cell>
        </row>
        <row r="227">
          <cell r="A227">
            <v>30003359</v>
          </cell>
          <cell r="B227" t="str">
            <v>상지)6칸공용용기(부)</v>
          </cell>
          <cell r="C227">
            <v>45.61</v>
          </cell>
          <cell r="D227" t="str">
            <v>봉 (팩)</v>
          </cell>
        </row>
        <row r="228">
          <cell r="A228">
            <v>30003361</v>
          </cell>
          <cell r="B228" t="str">
            <v>이프린팅)직화&amp;오징어(스)</v>
          </cell>
          <cell r="C228">
            <v>2.2650000000000001</v>
          </cell>
          <cell r="D228" t="str">
            <v>롤</v>
          </cell>
        </row>
        <row r="229">
          <cell r="A229">
            <v>30003396</v>
          </cell>
          <cell r="B229" t="str">
            <v>상지)오징어제육용기(부)</v>
          </cell>
          <cell r="C229">
            <v>9.0660000000000007</v>
          </cell>
          <cell r="D229" t="str">
            <v>봉 (팩)</v>
          </cell>
        </row>
        <row r="230">
          <cell r="A230">
            <v>30003397</v>
          </cell>
          <cell r="B230" t="str">
            <v>상지)오징어제육뚜껑(부)</v>
          </cell>
          <cell r="C230">
            <v>13.6</v>
          </cell>
          <cell r="D230" t="str">
            <v>봉 (팩)</v>
          </cell>
        </row>
        <row r="231">
          <cell r="A231">
            <v>30003398</v>
          </cell>
          <cell r="B231" t="str">
            <v>애디웹)백설갈비양념제육(스)</v>
          </cell>
          <cell r="C231">
            <v>0.90600000000000003</v>
          </cell>
          <cell r="D231" t="str">
            <v>롤</v>
          </cell>
        </row>
        <row r="232">
          <cell r="A232">
            <v>30003401</v>
          </cell>
          <cell r="B232" t="str">
            <v>종가)들기름묵은지참치(스)</v>
          </cell>
          <cell r="C232">
            <v>0.64700000000000002</v>
          </cell>
          <cell r="D232" t="str">
            <v>롤</v>
          </cell>
        </row>
        <row r="233">
          <cell r="A233">
            <v>30003422</v>
          </cell>
          <cell r="B233" t="str">
            <v>상지)62파이소스컵(상)(부)</v>
          </cell>
          <cell r="C233">
            <v>0.31</v>
          </cell>
          <cell r="D233" t="str">
            <v>봉 (팩)</v>
          </cell>
        </row>
        <row r="234">
          <cell r="A234">
            <v>30003423</v>
          </cell>
          <cell r="B234" t="str">
            <v>이프린팅)착한제육비빔밥(스)</v>
          </cell>
          <cell r="C234">
            <v>3.1E-2</v>
          </cell>
          <cell r="D234" t="str">
            <v>롤</v>
          </cell>
        </row>
        <row r="235">
          <cell r="A235">
            <v>30003424</v>
          </cell>
          <cell r="B235" t="str">
            <v>두레)PACK-22-3호소스(뚜껑)(부)</v>
          </cell>
          <cell r="C235">
            <v>0.31</v>
          </cell>
          <cell r="D235" t="str">
            <v>봉 (팩)</v>
          </cell>
        </row>
        <row r="236">
          <cell r="A236">
            <v>30003425</v>
          </cell>
          <cell r="B236" t="str">
            <v>두레)PACK-22-3호(용기)(부)</v>
          </cell>
          <cell r="C236">
            <v>0.62</v>
          </cell>
          <cell r="D236" t="str">
            <v>봉 (팩)</v>
          </cell>
        </row>
        <row r="237">
          <cell r="A237">
            <v>30003426</v>
          </cell>
          <cell r="B237" t="str">
            <v>두레)PACK-22-3호(내피)(부)</v>
          </cell>
          <cell r="C237">
            <v>0.31</v>
          </cell>
          <cell r="D237" t="str">
            <v>봉 (팩)</v>
          </cell>
        </row>
        <row r="238">
          <cell r="A238">
            <v>30003441</v>
          </cell>
          <cell r="B238" t="str">
            <v>정우)5찬도시락뚜껑C(부)</v>
          </cell>
          <cell r="C238">
            <v>45.61</v>
          </cell>
          <cell r="D238" t="str">
            <v>봉 (팩)</v>
          </cell>
        </row>
        <row r="239">
          <cell r="A239">
            <v>30003444</v>
          </cell>
          <cell r="B239" t="str">
            <v>거성)돈까스고추장제육(스)</v>
          </cell>
          <cell r="C239">
            <v>2.2959999999999998</v>
          </cell>
          <cell r="D239" t="str">
            <v>롤</v>
          </cell>
        </row>
        <row r="240">
          <cell r="A240">
            <v>30003453</v>
          </cell>
          <cell r="B240" t="str">
            <v>상지)62파이소스컵(하)(부)</v>
          </cell>
          <cell r="C240">
            <v>0.31</v>
          </cell>
          <cell r="D240" t="str">
            <v>봉 (팩)</v>
          </cell>
        </row>
        <row r="241">
          <cell r="A241">
            <v>30003513</v>
          </cell>
          <cell r="B241" t="str">
            <v>흑백)파파베이컨리조또(스)</v>
          </cell>
          <cell r="C241">
            <v>0.63</v>
          </cell>
          <cell r="D241" t="str">
            <v>롤</v>
          </cell>
        </row>
        <row r="242">
          <cell r="A242">
            <v>30003529</v>
          </cell>
          <cell r="B242" t="str">
            <v>골드)THE근본김밥(필)</v>
          </cell>
          <cell r="C242">
            <v>6.1559999999999997</v>
          </cell>
          <cell r="D242" t="str">
            <v>봉 (팩)</v>
          </cell>
        </row>
        <row r="243">
          <cell r="A243">
            <v>30003538</v>
          </cell>
          <cell r="B243" t="str">
            <v>골드)더블치즈소시지김밥(필)</v>
          </cell>
          <cell r="C243">
            <v>3.532</v>
          </cell>
          <cell r="D243" t="str">
            <v>봉 (팩)</v>
          </cell>
        </row>
        <row r="244">
          <cell r="A244">
            <v>30003539</v>
          </cell>
          <cell r="B244" t="str">
            <v>이토추)왕돈까스김밥(필)</v>
          </cell>
          <cell r="C244">
            <v>4.0759999999999996</v>
          </cell>
          <cell r="D244" t="str">
            <v>봉 (팩)</v>
          </cell>
        </row>
        <row r="245">
          <cell r="A245">
            <v>30003540</v>
          </cell>
          <cell r="B245" t="str">
            <v>골드)불고기치즈김밥(필)</v>
          </cell>
          <cell r="C245">
            <v>3.5920000000000001</v>
          </cell>
          <cell r="D245" t="str">
            <v>봉 (팩)</v>
          </cell>
        </row>
        <row r="246">
          <cell r="A246">
            <v>30003542</v>
          </cell>
          <cell r="B246" t="str">
            <v>더큰)리챔참치마요(스)</v>
          </cell>
          <cell r="C246">
            <v>0.91200000000000003</v>
          </cell>
          <cell r="D246" t="str">
            <v>롤</v>
          </cell>
        </row>
        <row r="247">
          <cell r="A247">
            <v>30003551</v>
          </cell>
          <cell r="B247" t="str">
            <v>두레)900ml크라프트무지(부)</v>
          </cell>
          <cell r="C247">
            <v>0.64</v>
          </cell>
          <cell r="D247" t="str">
            <v>봉 (팩)</v>
          </cell>
        </row>
        <row r="248">
          <cell r="A248">
            <v>30003552</v>
          </cell>
          <cell r="B248" t="str">
            <v>두레)DRX-160뚜껑(부)</v>
          </cell>
          <cell r="C248">
            <v>0.64</v>
          </cell>
          <cell r="D248" t="str">
            <v>봉 (팩)</v>
          </cell>
        </row>
        <row r="249">
          <cell r="A249">
            <v>30003553</v>
          </cell>
          <cell r="B249" t="str">
            <v>두레)DRX-160덮밥(찬)(부)</v>
          </cell>
          <cell r="C249">
            <v>0.64</v>
          </cell>
          <cell r="D249" t="str">
            <v>봉 (팩)</v>
          </cell>
        </row>
        <row r="250">
          <cell r="A250">
            <v>30003554</v>
          </cell>
          <cell r="B250" t="str">
            <v>착한)마파두부덮밥(스)</v>
          </cell>
          <cell r="C250">
            <v>8.0000000000000002E-3</v>
          </cell>
          <cell r="D250" t="str">
            <v>롤</v>
          </cell>
        </row>
        <row r="251">
          <cell r="A251">
            <v>30003560</v>
          </cell>
          <cell r="B251" t="str">
            <v>종가)묵은지김치제육(스)</v>
          </cell>
          <cell r="C251">
            <v>0.53100000000000003</v>
          </cell>
          <cell r="D251" t="str">
            <v>롤</v>
          </cell>
        </row>
        <row r="252">
          <cell r="A252">
            <v>30003561</v>
          </cell>
          <cell r="B252" t="str">
            <v>더큰)스팸김치볶음밥(스)</v>
          </cell>
          <cell r="C252">
            <v>1.4970000000000001</v>
          </cell>
          <cell r="D252" t="str">
            <v>롤</v>
          </cell>
        </row>
        <row r="253">
          <cell r="A253">
            <v>30003574</v>
          </cell>
          <cell r="B253" t="str">
            <v>종가)김치제육김밥(필)</v>
          </cell>
          <cell r="C253">
            <v>2.8</v>
          </cell>
          <cell r="D253" t="str">
            <v>봉 (팩)</v>
          </cell>
        </row>
        <row r="254">
          <cell r="A254">
            <v>30003576</v>
          </cell>
          <cell r="B254" t="str">
            <v>착한)제육덮밥(스)</v>
          </cell>
          <cell r="C254">
            <v>1.2999999999999999E-2</v>
          </cell>
          <cell r="D254" t="str">
            <v>롤</v>
          </cell>
        </row>
        <row r="255">
          <cell r="A255">
            <v>30003577</v>
          </cell>
          <cell r="B255" t="str">
            <v>더큰)스팸계란볶음밥(스)</v>
          </cell>
          <cell r="C255">
            <v>1.0389999999999999</v>
          </cell>
          <cell r="D255" t="str">
            <v>롤</v>
          </cell>
        </row>
        <row r="256">
          <cell r="A256">
            <v>30003578</v>
          </cell>
          <cell r="B256" t="str">
            <v>더큰)닭갈비깻잎쌈밥(스)</v>
          </cell>
          <cell r="C256">
            <v>0.57199999999999995</v>
          </cell>
          <cell r="D256" t="str">
            <v>롤</v>
          </cell>
        </row>
        <row r="257">
          <cell r="A257">
            <v>30003581</v>
          </cell>
          <cell r="B257" t="str">
            <v>삼각)저당전주비빔(스)</v>
          </cell>
          <cell r="C257">
            <v>0.35899999999999999</v>
          </cell>
          <cell r="D257" t="str">
            <v>롤</v>
          </cell>
        </row>
        <row r="258">
          <cell r="A258">
            <v>30003590</v>
          </cell>
          <cell r="B258" t="str">
            <v>골드)마리오)트러플김밥(필)</v>
          </cell>
          <cell r="C258">
            <v>1.1100000000000001</v>
          </cell>
          <cell r="D258" t="str">
            <v>봉 (팩)</v>
          </cell>
        </row>
        <row r="259">
          <cell r="A259">
            <v>30003598</v>
          </cell>
          <cell r="B259" t="str">
            <v>골드)직화)한돈제육쌈김밥(필)</v>
          </cell>
          <cell r="C259">
            <v>6.7460000000000004</v>
          </cell>
          <cell r="D259" t="str">
            <v>봉 (팩)</v>
          </cell>
        </row>
        <row r="260">
          <cell r="A260">
            <v>30003604</v>
          </cell>
          <cell r="B260" t="str">
            <v>삼각)전주비빔(스)</v>
          </cell>
          <cell r="C260">
            <v>1.052</v>
          </cell>
          <cell r="D260" t="str">
            <v>롤</v>
          </cell>
        </row>
        <row r="261">
          <cell r="A261">
            <v>10301023</v>
          </cell>
          <cell r="B261" t="str">
            <v>참기름(1.8L)(원)</v>
          </cell>
          <cell r="C261">
            <v>25.076000000000001</v>
          </cell>
          <cell r="D261" t="str">
            <v>통</v>
          </cell>
        </row>
        <row r="262">
          <cell r="A262">
            <v>30000002</v>
          </cell>
          <cell r="B262" t="str">
            <v>정제수(원)</v>
          </cell>
          <cell r="C262">
            <v>4896.7209999999995</v>
          </cell>
          <cell r="D262" t="str">
            <v>Kg</v>
          </cell>
        </row>
        <row r="263">
          <cell r="A263">
            <v>30000006</v>
          </cell>
          <cell r="B263" t="str">
            <v>볶음참깨(원)</v>
          </cell>
          <cell r="C263">
            <v>33.738</v>
          </cell>
          <cell r="D263" t="str">
            <v>봉 (팩)</v>
          </cell>
        </row>
        <row r="264">
          <cell r="A264">
            <v>30000007</v>
          </cell>
          <cell r="B264" t="str">
            <v>참기름(16.5Kg)(원)</v>
          </cell>
          <cell r="C264">
            <v>0.96099999999999997</v>
          </cell>
          <cell r="D264" t="str">
            <v>캔</v>
          </cell>
        </row>
        <row r="265">
          <cell r="A265">
            <v>30000075</v>
          </cell>
          <cell r="B265" t="str">
            <v>NS)혼다시(원)</v>
          </cell>
          <cell r="C265">
            <v>1.8580000000000001</v>
          </cell>
          <cell r="D265" t="str">
            <v>봉 (팩)</v>
          </cell>
        </row>
        <row r="266">
          <cell r="A266">
            <v>30000093</v>
          </cell>
          <cell r="B266" t="str">
            <v>대상)쇠고기실속다시(원)</v>
          </cell>
          <cell r="C266">
            <v>5.1920000000000002</v>
          </cell>
          <cell r="D266" t="str">
            <v>봉 (팩)</v>
          </cell>
        </row>
        <row r="267">
          <cell r="A267">
            <v>30000389</v>
          </cell>
          <cell r="B267" t="str">
            <v>스팸(원)</v>
          </cell>
          <cell r="C267">
            <v>626.38499999999999</v>
          </cell>
          <cell r="D267" t="str">
            <v>캔</v>
          </cell>
        </row>
        <row r="268">
          <cell r="A268">
            <v>30001140</v>
          </cell>
          <cell r="B268" t="str">
            <v>대두유(원재료)</v>
          </cell>
          <cell r="C268">
            <v>13.163</v>
          </cell>
          <cell r="D268" t="str">
            <v>캔</v>
          </cell>
        </row>
        <row r="269">
          <cell r="A269">
            <v>30001141</v>
          </cell>
          <cell r="B269" t="str">
            <v>이우)중국산정제염(원)</v>
          </cell>
          <cell r="C269">
            <v>1.0549999999999999</v>
          </cell>
          <cell r="D269" t="str">
            <v>봉 (팩)</v>
          </cell>
        </row>
        <row r="270">
          <cell r="A270">
            <v>30001164</v>
          </cell>
          <cell r="B270" t="str">
            <v>고춧가루</v>
          </cell>
          <cell r="C270">
            <v>2.2690000000000001</v>
          </cell>
          <cell r="D270" t="str">
            <v>봉 (팩)</v>
          </cell>
        </row>
        <row r="271">
          <cell r="A271">
            <v>30001169</v>
          </cell>
          <cell r="B271" t="str">
            <v>NS)물엿(원)</v>
          </cell>
          <cell r="C271">
            <v>1.238</v>
          </cell>
          <cell r="D271" t="str">
            <v>통</v>
          </cell>
        </row>
        <row r="272">
          <cell r="A272">
            <v>30001277</v>
          </cell>
          <cell r="B272" t="str">
            <v>흑후추(원)</v>
          </cell>
          <cell r="C272">
            <v>1.4999999999999999E-2</v>
          </cell>
          <cell r="D272" t="str">
            <v>봉 (팩)</v>
          </cell>
        </row>
        <row r="273">
          <cell r="A273">
            <v>30001284</v>
          </cell>
          <cell r="B273" t="str">
            <v>이우)늘푸른할라피뇨랠리쉬(원)</v>
          </cell>
          <cell r="C273">
            <v>4.165</v>
          </cell>
          <cell r="D273" t="str">
            <v>캔</v>
          </cell>
        </row>
        <row r="274">
          <cell r="A274">
            <v>30001472</v>
          </cell>
          <cell r="B274" t="str">
            <v>삼성웰)모아하우스머스타드(원)</v>
          </cell>
          <cell r="C274">
            <v>2.1</v>
          </cell>
          <cell r="D274" t="str">
            <v>통</v>
          </cell>
        </row>
        <row r="275">
          <cell r="A275">
            <v>30001581</v>
          </cell>
          <cell r="B275" t="str">
            <v>토마토 케찹</v>
          </cell>
          <cell r="C275">
            <v>5.9269999999999996</v>
          </cell>
          <cell r="D275" t="str">
            <v>봉 (팩)</v>
          </cell>
        </row>
        <row r="276">
          <cell r="A276">
            <v>30001710</v>
          </cell>
          <cell r="B276" t="str">
            <v>CJ)하얀설탕(원)</v>
          </cell>
          <cell r="C276">
            <v>5.9020000000000001</v>
          </cell>
          <cell r="D276" t="str">
            <v>봉 (팩)</v>
          </cell>
        </row>
        <row r="277">
          <cell r="A277">
            <v>30001796</v>
          </cell>
          <cell r="B277" t="str">
            <v>이우)건국연유(원)</v>
          </cell>
          <cell r="C277">
            <v>1.4870000000000001</v>
          </cell>
          <cell r="D277" t="str">
            <v>봉 (팩)</v>
          </cell>
        </row>
        <row r="278">
          <cell r="A278">
            <v>30001800</v>
          </cell>
          <cell r="B278" t="str">
            <v>다인소재)유니믹스HG(원)</v>
          </cell>
          <cell r="C278">
            <v>0.59799999999999998</v>
          </cell>
          <cell r="D278" t="str">
            <v>봉 (팩)</v>
          </cell>
        </row>
        <row r="279">
          <cell r="A279">
            <v>30001807</v>
          </cell>
          <cell r="B279" t="str">
            <v>이우)미원(원)</v>
          </cell>
          <cell r="C279">
            <v>0.33800000000000002</v>
          </cell>
          <cell r="D279" t="str">
            <v>봉 (팩)</v>
          </cell>
        </row>
        <row r="280">
          <cell r="A280">
            <v>30001887</v>
          </cell>
          <cell r="B280" t="str">
            <v>NS)맛소금(원)</v>
          </cell>
          <cell r="C280">
            <v>9.4E-2</v>
          </cell>
          <cell r="D280" t="str">
            <v>봉 (팩)</v>
          </cell>
        </row>
        <row r="281">
          <cell r="A281">
            <v>30001938</v>
          </cell>
          <cell r="B281" t="str">
            <v>몽고진간장</v>
          </cell>
          <cell r="C281">
            <v>1.365</v>
          </cell>
          <cell r="D281" t="str">
            <v>통</v>
          </cell>
        </row>
        <row r="282">
          <cell r="A282">
            <v>30002439</v>
          </cell>
          <cell r="B282" t="str">
            <v>NS)고추기름(원)</v>
          </cell>
          <cell r="C282">
            <v>2.581</v>
          </cell>
          <cell r="D282" t="str">
            <v>통</v>
          </cell>
        </row>
        <row r="283">
          <cell r="A283">
            <v>30002511</v>
          </cell>
          <cell r="B283" t="str">
            <v>한성)고미트햄(원)</v>
          </cell>
          <cell r="C283">
            <v>155.166</v>
          </cell>
          <cell r="D283" t="str">
            <v>캔</v>
          </cell>
        </row>
        <row r="284">
          <cell r="A284">
            <v>30002524</v>
          </cell>
          <cell r="B284" t="str">
            <v>다인소재)유니믹스N2(원)</v>
          </cell>
          <cell r="C284">
            <v>0.40699999999999997</v>
          </cell>
          <cell r="D284" t="str">
            <v>봉 (팩)</v>
          </cell>
        </row>
        <row r="285">
          <cell r="A285">
            <v>30002547</v>
          </cell>
          <cell r="B285" t="str">
            <v>이우)신슈단무지(꼬들)(원)</v>
          </cell>
          <cell r="C285">
            <v>59.415999999999997</v>
          </cell>
          <cell r="D285" t="str">
            <v>봉 (팩)</v>
          </cell>
        </row>
        <row r="286">
          <cell r="A286">
            <v>30002628</v>
          </cell>
          <cell r="B286" t="str">
            <v>크러쉬드레드페퍼(원)</v>
          </cell>
          <cell r="C286">
            <v>0.80600000000000005</v>
          </cell>
          <cell r="D286" t="str">
            <v>통</v>
          </cell>
        </row>
        <row r="287">
          <cell r="A287">
            <v>30002629</v>
          </cell>
          <cell r="B287" t="str">
            <v>그래도푸드)노란단무지13mm(원)</v>
          </cell>
          <cell r="C287">
            <v>108.608</v>
          </cell>
          <cell r="D287" t="str">
            <v>봉 (팩)</v>
          </cell>
        </row>
        <row r="288">
          <cell r="A288">
            <v>30002742</v>
          </cell>
          <cell r="B288" t="str">
            <v>롯데웰푸드)GS마요네즈(원)</v>
          </cell>
          <cell r="C288">
            <v>2.552</v>
          </cell>
          <cell r="D288" t="str">
            <v>봉 (팩)</v>
          </cell>
        </row>
        <row r="289">
          <cell r="A289">
            <v>30002759</v>
          </cell>
          <cell r="B289" t="str">
            <v>성경재래도시락김(소포장)(원)</v>
          </cell>
          <cell r="C289">
            <v>456.1</v>
          </cell>
          <cell r="D289" t="str">
            <v>봉 (팩)</v>
          </cell>
        </row>
        <row r="290">
          <cell r="A290">
            <v>30002766</v>
          </cell>
          <cell r="B290" t="str">
            <v>일가집)채단무지(원)</v>
          </cell>
          <cell r="C290">
            <v>13.138999999999999</v>
          </cell>
          <cell r="D290" t="str">
            <v>봉 (팩)</v>
          </cell>
        </row>
        <row r="291">
          <cell r="A291">
            <v>30002769</v>
          </cell>
          <cell r="B291" t="str">
            <v>푸드머스)바릴라스파게티(원)</v>
          </cell>
          <cell r="C291">
            <v>4.1689999999999996</v>
          </cell>
          <cell r="D291" t="str">
            <v>봉 (팩)</v>
          </cell>
        </row>
        <row r="292">
          <cell r="A292">
            <v>30002793</v>
          </cell>
          <cell r="B292" t="str">
            <v>NS)리챔오리지널(원)</v>
          </cell>
          <cell r="C292">
            <v>151.958</v>
          </cell>
          <cell r="D292" t="str">
            <v>캔</v>
          </cell>
        </row>
        <row r="293">
          <cell r="A293">
            <v>30002883</v>
          </cell>
          <cell r="B293" t="str">
            <v>청학)볶음흑임자(원)</v>
          </cell>
          <cell r="C293">
            <v>0.108</v>
          </cell>
          <cell r="D293" t="str">
            <v>봉 (팩)</v>
          </cell>
        </row>
        <row r="294">
          <cell r="A294">
            <v>30002970</v>
          </cell>
          <cell r="B294" t="str">
            <v>청정원)돼지불고기양념(원)</v>
          </cell>
          <cell r="C294">
            <v>5.0179999999999998</v>
          </cell>
          <cell r="D294" t="str">
            <v>통</v>
          </cell>
        </row>
        <row r="295">
          <cell r="A295">
            <v>30003009</v>
          </cell>
          <cell r="B295" t="str">
            <v>평화)햅쌀(500kg/포)</v>
          </cell>
          <cell r="C295">
            <v>3436.5039999999999</v>
          </cell>
          <cell r="D295" t="str">
            <v>Kg</v>
          </cell>
        </row>
        <row r="296">
          <cell r="A296">
            <v>30003061</v>
          </cell>
          <cell r="B296" t="str">
            <v>성경자반(원)</v>
          </cell>
          <cell r="C296">
            <v>18.638000000000002</v>
          </cell>
          <cell r="D296" t="str">
            <v>봉 (팩)</v>
          </cell>
        </row>
        <row r="297">
          <cell r="A297">
            <v>30003066</v>
          </cell>
          <cell r="B297" t="str">
            <v>이우)카라멜소스(원)</v>
          </cell>
          <cell r="C297">
            <v>0.505</v>
          </cell>
          <cell r="D297" t="str">
            <v>통</v>
          </cell>
        </row>
        <row r="298">
          <cell r="A298">
            <v>30003115</v>
          </cell>
          <cell r="B298" t="str">
            <v>더원씨푸드)점보롤김</v>
          </cell>
          <cell r="C298">
            <v>20.748000000000001</v>
          </cell>
          <cell r="D298" t="str">
            <v>롤</v>
          </cell>
        </row>
        <row r="299">
          <cell r="A299">
            <v>30003168</v>
          </cell>
          <cell r="B299" t="str">
            <v>만전식품)3절김(원)</v>
          </cell>
          <cell r="C299">
            <v>5.2329999999999997</v>
          </cell>
          <cell r="D299" t="str">
            <v>봉 (팩)</v>
          </cell>
        </row>
        <row r="300">
          <cell r="A300">
            <v>30003264</v>
          </cell>
          <cell r="B300" t="str">
            <v>더원씨푸드)롤김</v>
          </cell>
          <cell r="C300">
            <v>0.78700000000000003</v>
          </cell>
          <cell r="D300" t="str">
            <v>롤</v>
          </cell>
        </row>
        <row r="301">
          <cell r="A301">
            <v>30003276</v>
          </cell>
          <cell r="B301" t="str">
            <v>오뚜기)이금기치킨파우더(원)</v>
          </cell>
          <cell r="C301">
            <v>2.5999999999999999E-2</v>
          </cell>
          <cell r="D301" t="str">
            <v>봉 (팩)</v>
          </cell>
        </row>
        <row r="302">
          <cell r="A302">
            <v>30003296</v>
          </cell>
          <cell r="B302" t="str">
            <v>오뚜기)허니머스타드드레싱(원)</v>
          </cell>
          <cell r="C302">
            <v>2.621</v>
          </cell>
          <cell r="D302" t="str">
            <v>봉 (팩)</v>
          </cell>
        </row>
        <row r="303">
          <cell r="A303">
            <v>30003323</v>
          </cell>
          <cell r="B303" t="str">
            <v>이우)선인)단풍당시럽(원)</v>
          </cell>
          <cell r="C303">
            <v>1.569</v>
          </cell>
          <cell r="D303" t="str">
            <v>봉 (팩)</v>
          </cell>
        </row>
        <row r="304">
          <cell r="A304">
            <v>30003340</v>
          </cell>
          <cell r="B304" t="str">
            <v>청정원)매운갈비양념(원)</v>
          </cell>
          <cell r="C304">
            <v>9.1489999999999991</v>
          </cell>
          <cell r="D304" t="str">
            <v>통</v>
          </cell>
        </row>
        <row r="305">
          <cell r="A305">
            <v>30003365</v>
          </cell>
          <cell r="B305" t="str">
            <v>오뚜기)이금기팬더굴소스(원)</v>
          </cell>
          <cell r="C305">
            <v>0.38500000000000001</v>
          </cell>
          <cell r="D305" t="str">
            <v>봉 (팩)</v>
          </cell>
        </row>
        <row r="306">
          <cell r="A306">
            <v>30003392</v>
          </cell>
          <cell r="B306" t="str">
            <v>CJ)백설돼지갈비양념(원)</v>
          </cell>
          <cell r="C306">
            <v>1.345</v>
          </cell>
          <cell r="D306" t="str">
            <v>통</v>
          </cell>
        </row>
        <row r="307">
          <cell r="A307">
            <v>30003399</v>
          </cell>
          <cell r="B307" t="str">
            <v>청학)들기름(원)</v>
          </cell>
          <cell r="C307">
            <v>1.3540000000000001</v>
          </cell>
          <cell r="D307" t="str">
            <v>통</v>
          </cell>
        </row>
        <row r="308">
          <cell r="A308">
            <v>30003414</v>
          </cell>
          <cell r="B308" t="str">
            <v>농가참기름골드(소포장)(원)</v>
          </cell>
          <cell r="C308">
            <v>31</v>
          </cell>
          <cell r="D308" t="str">
            <v>개</v>
          </cell>
        </row>
        <row r="309">
          <cell r="A309">
            <v>30003419</v>
          </cell>
          <cell r="B309" t="str">
            <v>사조참치(원)</v>
          </cell>
          <cell r="C309">
            <v>47.127000000000002</v>
          </cell>
          <cell r="D309" t="str">
            <v>봉 (팩)</v>
          </cell>
        </row>
        <row r="310">
          <cell r="A310">
            <v>30003421</v>
          </cell>
          <cell r="B310" t="str">
            <v>구운김밥용김(반절김)</v>
          </cell>
          <cell r="C310">
            <v>38.805999999999997</v>
          </cell>
          <cell r="D310" t="str">
            <v>봉 (팩)</v>
          </cell>
        </row>
        <row r="311">
          <cell r="A311">
            <v>30003476</v>
          </cell>
          <cell r="B311" t="str">
            <v>이너피스)표고버섯캔(원)</v>
          </cell>
          <cell r="C311">
            <v>9.1839999999999993</v>
          </cell>
          <cell r="D311" t="str">
            <v>캔</v>
          </cell>
        </row>
        <row r="312">
          <cell r="A312">
            <v>30003528</v>
          </cell>
          <cell r="B312" t="str">
            <v>태원)불맛향미유(원)</v>
          </cell>
          <cell r="C312">
            <v>0.27700000000000002</v>
          </cell>
          <cell r="D312" t="str">
            <v>봉 (팩)</v>
          </cell>
        </row>
        <row r="313">
          <cell r="A313">
            <v>30003541</v>
          </cell>
          <cell r="B313" t="str">
            <v>진양)점보삼각김밥김(투명)</v>
          </cell>
          <cell r="C313">
            <v>226.72</v>
          </cell>
          <cell r="D313" t="str">
            <v>봉 (팩)</v>
          </cell>
        </row>
        <row r="314">
          <cell r="A314">
            <v>30003544</v>
          </cell>
          <cell r="B314" t="str">
            <v>오뚜기)GS마요네즈(원)</v>
          </cell>
          <cell r="C314">
            <v>14.843999999999999</v>
          </cell>
          <cell r="D314" t="str">
            <v>봉 (팩)</v>
          </cell>
        </row>
        <row r="315">
          <cell r="A315">
            <v>30003545</v>
          </cell>
          <cell r="B315" t="str">
            <v>동원)참치다시(원)</v>
          </cell>
          <cell r="C315">
            <v>1.24</v>
          </cell>
          <cell r="D315" t="str">
            <v>봉 (팩)</v>
          </cell>
        </row>
        <row r="316">
          <cell r="A316">
            <v>30003582</v>
          </cell>
          <cell r="B316" t="str">
            <v>세천팜)김밥용단무지(원)</v>
          </cell>
          <cell r="C316">
            <v>47.433</v>
          </cell>
          <cell r="D316" t="str">
            <v>봉 (팩)</v>
          </cell>
        </row>
        <row r="317">
          <cell r="A317">
            <v>30003589</v>
          </cell>
          <cell r="B317" t="str">
            <v>블랙트러플소스캔(원)</v>
          </cell>
          <cell r="C317">
            <v>1.67</v>
          </cell>
          <cell r="D317" t="str">
            <v>캔</v>
          </cell>
        </row>
        <row r="318">
          <cell r="A318">
            <v>30003605</v>
          </cell>
          <cell r="B318" t="str">
            <v>삼각김밥용김(투명/들기름)(원)</v>
          </cell>
          <cell r="C318">
            <v>56.47</v>
          </cell>
          <cell r="D318" t="str">
            <v>봉 (팩)</v>
          </cell>
        </row>
        <row r="319">
          <cell r="A319">
            <v>20000043</v>
          </cell>
          <cell r="B319" t="str">
            <v>대두유_로터리/조리용</v>
          </cell>
          <cell r="C319">
            <v>72.256</v>
          </cell>
          <cell r="D319" t="str">
            <v>Kg</v>
          </cell>
        </row>
        <row r="320">
          <cell r="A320">
            <v>20000122</v>
          </cell>
          <cell r="B320" t="str">
            <v>참기름_로터리/조리용</v>
          </cell>
          <cell r="C320">
            <v>23.452999999999999</v>
          </cell>
          <cell r="D320" t="str">
            <v>Kg</v>
          </cell>
        </row>
        <row r="321">
          <cell r="A321">
            <v>20000884</v>
          </cell>
          <cell r="B321" t="str">
            <v>정제수(계량)</v>
          </cell>
          <cell r="C321">
            <v>0.29099999999999998</v>
          </cell>
          <cell r="D321" t="str">
            <v>Kg</v>
          </cell>
        </row>
        <row r="322">
          <cell r="A322">
            <v>20001944</v>
          </cell>
          <cell r="B322" t="str">
            <v>대두유_유장용</v>
          </cell>
          <cell r="C322">
            <v>0.97899999999999998</v>
          </cell>
          <cell r="D322" t="str">
            <v>Kg</v>
          </cell>
        </row>
        <row r="323">
          <cell r="A323">
            <v>20001951</v>
          </cell>
          <cell r="B323" t="str">
            <v>냉동다진마늘(해동)</v>
          </cell>
          <cell r="C323">
            <v>10.159000000000001</v>
          </cell>
          <cell r="D323" t="str">
            <v>Kg</v>
          </cell>
        </row>
        <row r="324">
          <cell r="A324">
            <v>20002031</v>
          </cell>
          <cell r="B324" t="str">
            <v>[선]물엿(계량)</v>
          </cell>
          <cell r="C324">
            <v>9.4570000000000007</v>
          </cell>
          <cell r="D324" t="str">
            <v>Kg</v>
          </cell>
        </row>
        <row r="325">
          <cell r="A325">
            <v>20193178</v>
          </cell>
          <cell r="B325" t="str">
            <v>참기름(유장용)</v>
          </cell>
          <cell r="C325">
            <v>13.736000000000001</v>
          </cell>
          <cell r="D325" t="str">
            <v>Kg</v>
          </cell>
        </row>
        <row r="326">
          <cell r="A326">
            <v>20193235</v>
          </cell>
          <cell r="B326" t="str">
            <v>고추기름(계량)</v>
          </cell>
          <cell r="C326">
            <v>3.5750000000000002</v>
          </cell>
          <cell r="D326" t="str">
            <v>Kg</v>
          </cell>
        </row>
        <row r="327">
          <cell r="A327">
            <v>20194218</v>
          </cell>
          <cell r="B327" t="str">
            <v>청정원)돼지불고기양념</v>
          </cell>
          <cell r="C327">
            <v>10.036</v>
          </cell>
          <cell r="D327" t="str">
            <v>Kg</v>
          </cell>
        </row>
        <row r="328">
          <cell r="A328">
            <v>20194624</v>
          </cell>
          <cell r="B328" t="str">
            <v>크러쉬드레드페퍼</v>
          </cell>
          <cell r="C328">
            <v>0.27400000000000002</v>
          </cell>
          <cell r="D328" t="str">
            <v>Kg</v>
          </cell>
        </row>
        <row r="329">
          <cell r="A329">
            <v>20194625</v>
          </cell>
          <cell r="B329" t="str">
            <v>단풍당시럽</v>
          </cell>
          <cell r="C329">
            <v>1.569</v>
          </cell>
          <cell r="D329" t="str">
            <v>Kg</v>
          </cell>
        </row>
        <row r="330">
          <cell r="A330">
            <v>20194644</v>
          </cell>
          <cell r="B330" t="str">
            <v>청정원)매운갈비양념</v>
          </cell>
          <cell r="C330">
            <v>18.297999999999998</v>
          </cell>
          <cell r="D330" t="str">
            <v>Kg</v>
          </cell>
        </row>
        <row r="331">
          <cell r="A331">
            <v>20195012</v>
          </cell>
          <cell r="B331" t="str">
            <v>태원)불맛향미유</v>
          </cell>
          <cell r="C331">
            <v>0.55200000000000005</v>
          </cell>
          <cell r="D331" t="str">
            <v>Kg</v>
          </cell>
        </row>
        <row r="332">
          <cell r="A332">
            <v>30001212</v>
          </cell>
          <cell r="B332" t="str">
            <v>[선]정제수(계량)</v>
          </cell>
          <cell r="C332">
            <v>27.507000000000001</v>
          </cell>
          <cell r="D332" t="str">
            <v>Kg</v>
          </cell>
        </row>
        <row r="333">
          <cell r="A333">
            <v>20001207</v>
          </cell>
          <cell r="B333" t="str">
            <v>[어묵볶음소스,,계량]</v>
          </cell>
          <cell r="C333">
            <v>6.8769999999999998</v>
          </cell>
          <cell r="D333" t="str">
            <v>Kg</v>
          </cell>
        </row>
        <row r="334">
          <cell r="A334">
            <v>20001658</v>
          </cell>
          <cell r="B334" t="str">
            <v>간장소스K(계량)</v>
          </cell>
          <cell r="C334">
            <v>11.023999999999999</v>
          </cell>
          <cell r="D334" t="str">
            <v>Kg</v>
          </cell>
        </row>
        <row r="335">
          <cell r="A335">
            <v>20192164</v>
          </cell>
          <cell r="B335" t="str">
            <v>FS)매콤닭강정소스</v>
          </cell>
          <cell r="C335">
            <v>13.878</v>
          </cell>
          <cell r="D335" t="str">
            <v>Kg</v>
          </cell>
        </row>
        <row r="336">
          <cell r="A336">
            <v>20192366</v>
          </cell>
          <cell r="B336" t="str">
            <v>[비빔밥용고추장소스.,]</v>
          </cell>
          <cell r="C336">
            <v>58.137999999999998</v>
          </cell>
          <cell r="D336" t="str">
            <v>Kg</v>
          </cell>
        </row>
        <row r="337">
          <cell r="A337">
            <v>20192757</v>
          </cell>
          <cell r="B337" t="str">
            <v>너비아니양념소스J</v>
          </cell>
          <cell r="C337">
            <v>2.1</v>
          </cell>
          <cell r="D337" t="str">
            <v>Kg</v>
          </cell>
        </row>
        <row r="338">
          <cell r="A338">
            <v>20193369</v>
          </cell>
          <cell r="B338" t="str">
            <v>삼각)치킨조미소스</v>
          </cell>
          <cell r="C338">
            <v>38.216999999999999</v>
          </cell>
          <cell r="D338" t="str">
            <v>Kg</v>
          </cell>
        </row>
        <row r="339">
          <cell r="A339">
            <v>20193406</v>
          </cell>
          <cell r="B339" t="str">
            <v>김치볶음밥용소스</v>
          </cell>
          <cell r="C339">
            <v>88.126999999999995</v>
          </cell>
          <cell r="D339" t="str">
            <v>Kg</v>
          </cell>
        </row>
        <row r="340">
          <cell r="A340">
            <v>20193507</v>
          </cell>
          <cell r="B340" t="str">
            <v>FS)청양식매운맛간장소스</v>
          </cell>
          <cell r="C340">
            <v>15.05</v>
          </cell>
          <cell r="D340" t="str">
            <v>Kg</v>
          </cell>
        </row>
        <row r="341">
          <cell r="A341">
            <v>20194031</v>
          </cell>
          <cell r="B341" t="str">
            <v>FS)조청닭강정소스</v>
          </cell>
          <cell r="C341">
            <v>19.960999999999999</v>
          </cell>
          <cell r="D341" t="str">
            <v>Kg</v>
          </cell>
        </row>
        <row r="342">
          <cell r="A342">
            <v>20194070</v>
          </cell>
          <cell r="B342" t="str">
            <v>동방)통통쏘야소스</v>
          </cell>
          <cell r="C342">
            <v>13.305999999999999</v>
          </cell>
          <cell r="D342" t="str">
            <v>Kg</v>
          </cell>
        </row>
        <row r="343">
          <cell r="A343">
            <v>20194254</v>
          </cell>
          <cell r="B343" t="str">
            <v>베지가든)토마토파스타소스</v>
          </cell>
          <cell r="C343">
            <v>2.8839999999999999</v>
          </cell>
          <cell r="D343" t="str">
            <v>Kg</v>
          </cell>
        </row>
        <row r="344">
          <cell r="A344">
            <v>20194472</v>
          </cell>
          <cell r="B344" t="str">
            <v>카라멜소스</v>
          </cell>
          <cell r="C344">
            <v>1.2130000000000001</v>
          </cell>
          <cell r="D344" t="str">
            <v>Kg</v>
          </cell>
        </row>
        <row r="345">
          <cell r="A345">
            <v>20194592</v>
          </cell>
          <cell r="B345" t="str">
            <v>FS)매운돈까스소스</v>
          </cell>
          <cell r="C345">
            <v>6.8339999999999996</v>
          </cell>
          <cell r="D345" t="str">
            <v>Kg</v>
          </cell>
        </row>
        <row r="346">
          <cell r="A346">
            <v>20194604</v>
          </cell>
          <cell r="B346" t="str">
            <v>FS)츠쿠네소스</v>
          </cell>
          <cell r="C346">
            <v>8.843</v>
          </cell>
          <cell r="D346" t="str">
            <v>Kg</v>
          </cell>
        </row>
        <row r="347">
          <cell r="A347">
            <v>20194674</v>
          </cell>
          <cell r="B347" t="str">
            <v>팬더굴소스</v>
          </cell>
          <cell r="C347">
            <v>0.77</v>
          </cell>
          <cell r="D347" t="str">
            <v>Kg</v>
          </cell>
        </row>
        <row r="348">
          <cell r="A348">
            <v>20194715</v>
          </cell>
          <cell r="B348" t="str">
            <v>백설돼지갈비양념</v>
          </cell>
          <cell r="C348">
            <v>13.448</v>
          </cell>
          <cell r="D348" t="str">
            <v>Kg</v>
          </cell>
        </row>
        <row r="349">
          <cell r="A349">
            <v>20194772</v>
          </cell>
          <cell r="B349" t="str">
            <v>FS)쏘야볶음소스H</v>
          </cell>
          <cell r="C349">
            <v>10.82</v>
          </cell>
          <cell r="D349" t="str">
            <v>Kg</v>
          </cell>
        </row>
        <row r="350">
          <cell r="A350">
            <v>20194836</v>
          </cell>
          <cell r="B350" t="str">
            <v>FS)우엉볶음용간장소스</v>
          </cell>
          <cell r="C350">
            <v>8.0009999999999994</v>
          </cell>
          <cell r="D350" t="str">
            <v>Kg</v>
          </cell>
        </row>
        <row r="351">
          <cell r="A351">
            <v>20194978</v>
          </cell>
          <cell r="B351" t="str">
            <v>FS)대파크림소스</v>
          </cell>
          <cell r="C351">
            <v>37.024000000000001</v>
          </cell>
          <cell r="D351" t="str">
            <v>Kg</v>
          </cell>
        </row>
        <row r="352">
          <cell r="A352">
            <v>20195052</v>
          </cell>
          <cell r="B352" t="str">
            <v>다미)마파두부소스</v>
          </cell>
          <cell r="C352">
            <v>0.51600000000000001</v>
          </cell>
          <cell r="D352" t="str">
            <v>Kg</v>
          </cell>
        </row>
        <row r="353">
          <cell r="A353">
            <v>20195053</v>
          </cell>
          <cell r="B353" t="str">
            <v>태원)마라상궈소스</v>
          </cell>
          <cell r="C353">
            <v>2.5999999999999999E-2</v>
          </cell>
          <cell r="D353" t="str">
            <v>Kg</v>
          </cell>
        </row>
        <row r="354">
          <cell r="A354">
            <v>20195085</v>
          </cell>
          <cell r="B354" t="str">
            <v>FS)저당비빔밥용고추장소스H</v>
          </cell>
          <cell r="C354">
            <v>21.704000000000001</v>
          </cell>
          <cell r="D354" t="str">
            <v>Kg</v>
          </cell>
        </row>
        <row r="355">
          <cell r="A355">
            <v>20195116</v>
          </cell>
          <cell r="B355" t="str">
            <v>대상)쉐프원불맛베이스(계량)</v>
          </cell>
          <cell r="C355">
            <v>7.6459999999999999</v>
          </cell>
          <cell r="D355" t="str">
            <v>Kg</v>
          </cell>
        </row>
        <row r="356">
          <cell r="A356">
            <v>20000079</v>
          </cell>
          <cell r="B356" t="str">
            <v>[선]정제염(계량)</v>
          </cell>
          <cell r="C356">
            <v>3.5049999999999999</v>
          </cell>
          <cell r="D356" t="str">
            <v>Kg</v>
          </cell>
        </row>
        <row r="357">
          <cell r="A357">
            <v>20000090</v>
          </cell>
          <cell r="B357" t="str">
            <v>백설탕_로터리/조리용</v>
          </cell>
          <cell r="C357">
            <v>13.266</v>
          </cell>
          <cell r="D357" t="str">
            <v>Kg</v>
          </cell>
        </row>
        <row r="358">
          <cell r="A358">
            <v>20000121</v>
          </cell>
          <cell r="B358" t="str">
            <v>[볶음참깨,계량]</v>
          </cell>
          <cell r="C358">
            <v>4.6749999999999998</v>
          </cell>
          <cell r="D358" t="str">
            <v>Kg</v>
          </cell>
        </row>
        <row r="359">
          <cell r="A359">
            <v>20001950</v>
          </cell>
          <cell r="B359" t="str">
            <v>하나다시_로터리/조리용</v>
          </cell>
          <cell r="C359">
            <v>10.382</v>
          </cell>
          <cell r="D359" t="str">
            <v>Kg</v>
          </cell>
        </row>
        <row r="360">
          <cell r="A360">
            <v>20002020</v>
          </cell>
          <cell r="B360" t="str">
            <v>[선]고춧가루(계량)</v>
          </cell>
          <cell r="C360">
            <v>2.2690000000000001</v>
          </cell>
          <cell r="D360" t="str">
            <v>Kg</v>
          </cell>
        </row>
        <row r="361">
          <cell r="A361">
            <v>20002175</v>
          </cell>
          <cell r="B361" t="str">
            <v>[선]순후추(계량)</v>
          </cell>
          <cell r="C361">
            <v>3.0000000000000001E-3</v>
          </cell>
          <cell r="D361" t="str">
            <v>Kg</v>
          </cell>
        </row>
        <row r="362">
          <cell r="A362">
            <v>20191507</v>
          </cell>
          <cell r="B362" t="str">
            <v>미원(계량)</v>
          </cell>
          <cell r="C362">
            <v>5.1999999999999998E-2</v>
          </cell>
          <cell r="D362" t="str">
            <v>Kg</v>
          </cell>
        </row>
        <row r="363">
          <cell r="A363">
            <v>20192594</v>
          </cell>
          <cell r="B363" t="str">
            <v>유니믹스-HG</v>
          </cell>
          <cell r="C363">
            <v>2.9889999999999999</v>
          </cell>
          <cell r="D363" t="str">
            <v>Kg</v>
          </cell>
        </row>
        <row r="364">
          <cell r="A364">
            <v>20194556</v>
          </cell>
          <cell r="B364" t="str">
            <v>오뚜기)이금기치킨파우더</v>
          </cell>
          <cell r="C364">
            <v>2.5999999999999999E-2</v>
          </cell>
          <cell r="D364" t="str">
            <v>Kg</v>
          </cell>
        </row>
        <row r="365">
          <cell r="A365">
            <v>2021575</v>
          </cell>
          <cell r="B365" t="str">
            <v>콩나물(찹핑용/전처리)</v>
          </cell>
          <cell r="C365">
            <v>13.965</v>
          </cell>
          <cell r="D365" t="str">
            <v>Kg</v>
          </cell>
        </row>
        <row r="366">
          <cell r="A366">
            <v>20001851</v>
          </cell>
          <cell r="B366" t="str">
            <v>[선]당근(전처리)(전주비빔용)</v>
          </cell>
          <cell r="C366">
            <v>3.3919999999999999</v>
          </cell>
          <cell r="D366" t="str">
            <v>Kg</v>
          </cell>
        </row>
        <row r="367">
          <cell r="A367">
            <v>20001938</v>
          </cell>
          <cell r="B367" t="str">
            <v>[선]깻잎(전처리)</v>
          </cell>
          <cell r="C367">
            <v>0.80300000000000005</v>
          </cell>
          <cell r="D367" t="str">
            <v>Kg</v>
          </cell>
        </row>
        <row r="368">
          <cell r="A368">
            <v>20001999</v>
          </cell>
          <cell r="B368" t="str">
            <v>콩나물(전처리)</v>
          </cell>
          <cell r="C368">
            <v>0.54700000000000004</v>
          </cell>
          <cell r="D368" t="str">
            <v>Kg</v>
          </cell>
        </row>
        <row r="369">
          <cell r="A369">
            <v>20002409</v>
          </cell>
          <cell r="B369" t="str">
            <v>[선]양배추 선별</v>
          </cell>
          <cell r="C369">
            <v>172.13900000000001</v>
          </cell>
          <cell r="D369" t="str">
            <v>Kg</v>
          </cell>
        </row>
        <row r="370">
          <cell r="A370">
            <v>20191551</v>
          </cell>
          <cell r="B370" t="str">
            <v>부추(4cm커팅용)(선별)</v>
          </cell>
          <cell r="C370">
            <v>2.9369999999999998</v>
          </cell>
          <cell r="D370" t="str">
            <v>Kg</v>
          </cell>
        </row>
        <row r="371">
          <cell r="A371">
            <v>20194693</v>
          </cell>
          <cell r="B371" t="str">
            <v>깐대파(선별)</v>
          </cell>
          <cell r="C371">
            <v>14.391</v>
          </cell>
          <cell r="D371" t="str">
            <v>Kg</v>
          </cell>
        </row>
        <row r="372">
          <cell r="A372">
            <v>20194738</v>
          </cell>
          <cell r="B372" t="str">
            <v>청상추(전처리)</v>
          </cell>
          <cell r="C372">
            <v>0.248</v>
          </cell>
          <cell r="D372" t="str">
            <v>Kg</v>
          </cell>
        </row>
        <row r="373">
          <cell r="A373">
            <v>20194880</v>
          </cell>
          <cell r="B373" t="str">
            <v>깻잎전장(전처리)(김치제육김밥)</v>
          </cell>
          <cell r="C373">
            <v>12.987</v>
          </cell>
          <cell r="D373" t="str">
            <v>Kg</v>
          </cell>
        </row>
        <row r="374">
          <cell r="A374">
            <v>20194890</v>
          </cell>
          <cell r="B374" t="str">
            <v>깻잎전장(전처리)(삼각용)</v>
          </cell>
          <cell r="C374">
            <v>4.6639999999999997</v>
          </cell>
          <cell r="D374" t="str">
            <v>Kg</v>
          </cell>
        </row>
        <row r="375">
          <cell r="A375">
            <v>20192904</v>
          </cell>
          <cell r="B375" t="str">
            <v>깐쪽파슬라이스(2mm)흰부위제거</v>
          </cell>
          <cell r="C375">
            <v>5.1680000000000001</v>
          </cell>
          <cell r="D375" t="str">
            <v>Kg</v>
          </cell>
        </row>
        <row r="376">
          <cell r="A376">
            <v>20001845</v>
          </cell>
          <cell r="B376" t="str">
            <v>[선]3mm당근채(개봉)(김밥용)</v>
          </cell>
          <cell r="C376">
            <v>217.61500000000001</v>
          </cell>
          <cell r="D376" t="str">
            <v>Kg</v>
          </cell>
        </row>
        <row r="377">
          <cell r="A377">
            <v>20195130</v>
          </cell>
          <cell r="B377" t="str">
            <v>푸른원)냉동양파슬라이스(계량)</v>
          </cell>
          <cell r="C377">
            <v>74.876000000000005</v>
          </cell>
          <cell r="D377" t="str">
            <v>Kg</v>
          </cell>
        </row>
        <row r="378">
          <cell r="A378">
            <v>20001854</v>
          </cell>
          <cell r="B378" t="str">
            <v>[선]당근(세척)(전주비빔용)</v>
          </cell>
          <cell r="C378">
            <v>3.3919999999999999</v>
          </cell>
          <cell r="D378" t="str">
            <v>Kg</v>
          </cell>
        </row>
        <row r="379">
          <cell r="A379">
            <v>20001910</v>
          </cell>
          <cell r="B379" t="str">
            <v>[선]깐양파(세척)</v>
          </cell>
          <cell r="C379">
            <v>49.335999999999999</v>
          </cell>
          <cell r="D379" t="str">
            <v>Kg</v>
          </cell>
        </row>
        <row r="380">
          <cell r="A380">
            <v>20191550</v>
          </cell>
          <cell r="B380" t="str">
            <v>부추(4cm커팅)(세척)</v>
          </cell>
          <cell r="C380">
            <v>3.6720000000000002</v>
          </cell>
          <cell r="D380" t="str">
            <v>Kg</v>
          </cell>
        </row>
        <row r="381">
          <cell r="A381">
            <v>20000848</v>
          </cell>
          <cell r="B381" t="str">
            <v>도라지(3cm)커팅/세척</v>
          </cell>
          <cell r="C381">
            <v>0.44900000000000001</v>
          </cell>
          <cell r="D381" t="str">
            <v>Kg</v>
          </cell>
        </row>
        <row r="382">
          <cell r="A382">
            <v>20001863</v>
          </cell>
          <cell r="B382" t="str">
            <v>양파슬라이스(3mm)(커팅)</v>
          </cell>
          <cell r="C382">
            <v>35.5</v>
          </cell>
          <cell r="D382" t="str">
            <v>Kg</v>
          </cell>
        </row>
        <row r="383">
          <cell r="A383">
            <v>20002022</v>
          </cell>
          <cell r="B383" t="str">
            <v>[선]깍두기찹핑(7mm)</v>
          </cell>
          <cell r="C383">
            <v>12.353999999999999</v>
          </cell>
          <cell r="D383" t="str">
            <v>Kg</v>
          </cell>
        </row>
        <row r="384">
          <cell r="A384">
            <v>20002024</v>
          </cell>
          <cell r="B384" t="str">
            <v>[선]콩나물찹핑(1cm)</v>
          </cell>
          <cell r="C384">
            <v>13.965</v>
          </cell>
          <cell r="D384" t="str">
            <v>Kg</v>
          </cell>
        </row>
        <row r="385">
          <cell r="A385">
            <v>20002025</v>
          </cell>
          <cell r="B385" t="str">
            <v>[선]도라지찹핑(7mm)</v>
          </cell>
          <cell r="C385">
            <v>11.28</v>
          </cell>
          <cell r="D385" t="str">
            <v>Kg</v>
          </cell>
        </row>
        <row r="386">
          <cell r="A386">
            <v>20002027</v>
          </cell>
          <cell r="B386" t="str">
            <v>[선]당근찹핑(7mm)</v>
          </cell>
          <cell r="C386">
            <v>3.222</v>
          </cell>
          <cell r="D386" t="str">
            <v>Kg</v>
          </cell>
        </row>
        <row r="387">
          <cell r="A387">
            <v>20002028</v>
          </cell>
          <cell r="B387" t="str">
            <v>[선]시금치찹핑(7mm)</v>
          </cell>
          <cell r="C387">
            <v>4.2969999999999997</v>
          </cell>
          <cell r="D387" t="str">
            <v>Kg</v>
          </cell>
        </row>
        <row r="388">
          <cell r="A388">
            <v>20002658</v>
          </cell>
          <cell r="B388" t="str">
            <v>양배추슬라이스3mm(세척)</v>
          </cell>
          <cell r="C388">
            <v>172.13900000000001</v>
          </cell>
          <cell r="D388" t="str">
            <v>Kg</v>
          </cell>
        </row>
        <row r="389">
          <cell r="A389">
            <v>20192928</v>
          </cell>
          <cell r="B389" t="str">
            <v>깐쪽파슬라이스(2mm)(소독/탈수)</v>
          </cell>
          <cell r="C389">
            <v>5.117</v>
          </cell>
          <cell r="D389" t="str">
            <v>Kg</v>
          </cell>
        </row>
        <row r="390">
          <cell r="A390">
            <v>20193494</v>
          </cell>
          <cell r="B390" t="str">
            <v>양파슬라이스(5mm)커팅</v>
          </cell>
          <cell r="C390">
            <v>11.89</v>
          </cell>
          <cell r="D390" t="str">
            <v>Kg</v>
          </cell>
        </row>
        <row r="391">
          <cell r="A391">
            <v>20194638</v>
          </cell>
          <cell r="B391" t="str">
            <v>양파다이스(1cm)(슈퍼핫도그용)</v>
          </cell>
          <cell r="C391">
            <v>1.825</v>
          </cell>
          <cell r="D391" t="str">
            <v>Kg</v>
          </cell>
        </row>
        <row r="392">
          <cell r="A392">
            <v>20194694</v>
          </cell>
          <cell r="B392" t="str">
            <v>대파채(폭2mm)(길이2cm)</v>
          </cell>
          <cell r="C392">
            <v>4.5919999999999996</v>
          </cell>
          <cell r="D392" t="str">
            <v>Kg</v>
          </cell>
        </row>
        <row r="393">
          <cell r="A393">
            <v>20194739</v>
          </cell>
          <cell r="B393" t="str">
            <v>청상추(1/2컷 후 2cm)</v>
          </cell>
          <cell r="C393">
            <v>0.248</v>
          </cell>
          <cell r="D393" t="str">
            <v>Kg</v>
          </cell>
        </row>
        <row r="394">
          <cell r="A394">
            <v>20194979</v>
          </cell>
          <cell r="B394" t="str">
            <v>깐대파3mm슬라이스</v>
          </cell>
          <cell r="C394">
            <v>9.7989999999999995</v>
          </cell>
          <cell r="D394" t="str">
            <v>Kg</v>
          </cell>
        </row>
        <row r="395">
          <cell r="A395">
            <v>20000151</v>
          </cell>
          <cell r="B395" t="str">
            <v>[선]콩나물(세척)</v>
          </cell>
          <cell r="C395">
            <v>0.54700000000000004</v>
          </cell>
          <cell r="D395" t="str">
            <v>Kg</v>
          </cell>
        </row>
        <row r="396">
          <cell r="A396">
            <v>20001842</v>
          </cell>
          <cell r="B396" t="str">
            <v>[선]냉동시금치</v>
          </cell>
          <cell r="C396">
            <v>137.73400000000001</v>
          </cell>
          <cell r="D396" t="str">
            <v>Kg</v>
          </cell>
        </row>
        <row r="397">
          <cell r="A397">
            <v>20001913</v>
          </cell>
          <cell r="B397" t="str">
            <v>[선]표고버섯캔(자연탈수)</v>
          </cell>
          <cell r="C397">
            <v>16.164000000000001</v>
          </cell>
          <cell r="D397" t="str">
            <v>Kg</v>
          </cell>
        </row>
        <row r="398">
          <cell r="A398">
            <v>20002023</v>
          </cell>
          <cell r="B398" t="str">
            <v>[선]깍두기(자연탈수)</v>
          </cell>
          <cell r="C398">
            <v>13.004</v>
          </cell>
          <cell r="D398" t="str">
            <v>Kg</v>
          </cell>
        </row>
        <row r="399">
          <cell r="A399">
            <v>20002026</v>
          </cell>
          <cell r="B399" t="str">
            <v>[선]도라지(개봉)</v>
          </cell>
          <cell r="C399">
            <v>11.968</v>
          </cell>
          <cell r="D399" t="str">
            <v>Kg</v>
          </cell>
        </row>
        <row r="400">
          <cell r="A400">
            <v>20002656</v>
          </cell>
          <cell r="B400" t="str">
            <v>[선]양배추슬라3mm(탈수1분)</v>
          </cell>
          <cell r="C400">
            <v>116.485</v>
          </cell>
          <cell r="D400" t="str">
            <v>Kg</v>
          </cell>
        </row>
        <row r="401">
          <cell r="A401">
            <v>20191494</v>
          </cell>
          <cell r="B401" t="str">
            <v>깻잎전장(세척/소독)</v>
          </cell>
          <cell r="C401">
            <v>0.78700000000000003</v>
          </cell>
          <cell r="D401" t="str">
            <v>Kg</v>
          </cell>
        </row>
        <row r="402">
          <cell r="A402">
            <v>20193407</v>
          </cell>
          <cell r="B402" t="str">
            <v>종가)맛김치(자연탈수)</v>
          </cell>
          <cell r="C402">
            <v>143.43199999999999</v>
          </cell>
          <cell r="D402" t="str">
            <v>Kg</v>
          </cell>
        </row>
        <row r="403">
          <cell r="A403">
            <v>20194170</v>
          </cell>
          <cell r="B403" t="str">
            <v>청학)마당발)냉동대파슬라이스</v>
          </cell>
          <cell r="C403">
            <v>5.9909999999999997</v>
          </cell>
          <cell r="D403" t="str">
            <v>Kg</v>
          </cell>
        </row>
        <row r="404">
          <cell r="A404">
            <v>20194314</v>
          </cell>
          <cell r="B404" t="str">
            <v>냉동시금치(기계탈수)</v>
          </cell>
          <cell r="C404">
            <v>84.516999999999996</v>
          </cell>
          <cell r="D404" t="str">
            <v>Kg</v>
          </cell>
        </row>
        <row r="405">
          <cell r="A405">
            <v>20194879</v>
          </cell>
          <cell r="B405" t="str">
            <v>깻잎전장(세/소)(김치제육김밥)</v>
          </cell>
          <cell r="C405">
            <v>12.727</v>
          </cell>
          <cell r="D405" t="str">
            <v>Kg</v>
          </cell>
        </row>
        <row r="406">
          <cell r="A406">
            <v>20194889</v>
          </cell>
          <cell r="B406" t="str">
            <v>깻잎전장(세/소)(삼각용)</v>
          </cell>
          <cell r="C406">
            <v>4.57</v>
          </cell>
          <cell r="D406" t="str">
            <v>Kg</v>
          </cell>
        </row>
        <row r="407">
          <cell r="A407">
            <v>20195131</v>
          </cell>
          <cell r="B407" t="str">
            <v>푸른원)냉동양파슬라이스</v>
          </cell>
          <cell r="C407">
            <v>74.876000000000005</v>
          </cell>
          <cell r="D407" t="str">
            <v>Kg</v>
          </cell>
        </row>
        <row r="408">
          <cell r="A408">
            <v>20192367</v>
          </cell>
          <cell r="B408" t="str">
            <v>전주비빔밥(비냉각.리뉴얼)</v>
          </cell>
          <cell r="C408">
            <v>421</v>
          </cell>
          <cell r="D408" t="str">
            <v>Kg</v>
          </cell>
        </row>
        <row r="409">
          <cell r="A409">
            <v>20192533</v>
          </cell>
          <cell r="B409" t="str">
            <v>냉동알마늘_구이용(믹싱)</v>
          </cell>
          <cell r="C409">
            <v>14.624000000000001</v>
          </cell>
          <cell r="D409" t="str">
            <v>Kg</v>
          </cell>
        </row>
        <row r="410">
          <cell r="A410">
            <v>20193367</v>
          </cell>
          <cell r="B410" t="str">
            <v>계란볶음밥(더큰용)</v>
          </cell>
          <cell r="C410">
            <v>540.15</v>
          </cell>
          <cell r="D410" t="str">
            <v>Kg</v>
          </cell>
        </row>
        <row r="411">
          <cell r="A411">
            <v>20193404</v>
          </cell>
          <cell r="B411" t="str">
            <v>종가)김치볶음밥</v>
          </cell>
          <cell r="C411">
            <v>778.44</v>
          </cell>
          <cell r="D411" t="str">
            <v>Kg</v>
          </cell>
        </row>
        <row r="412">
          <cell r="A412">
            <v>20194049</v>
          </cell>
          <cell r="B412" t="str">
            <v>춘천식조청닭강정(믹싱)</v>
          </cell>
          <cell r="C412">
            <v>4347</v>
          </cell>
          <cell r="D412" t="str">
            <v>개</v>
          </cell>
        </row>
        <row r="413">
          <cell r="A413">
            <v>20194064</v>
          </cell>
          <cell r="B413" t="str">
            <v>떡갈비구이믹싱</v>
          </cell>
          <cell r="C413">
            <v>1646.4639999999999</v>
          </cell>
          <cell r="D413" t="str">
            <v>개</v>
          </cell>
        </row>
        <row r="414">
          <cell r="A414">
            <v>20194069</v>
          </cell>
          <cell r="B414" t="str">
            <v>동원)비엔나소세지(무침)</v>
          </cell>
          <cell r="C414">
            <v>8150</v>
          </cell>
          <cell r="D414" t="str">
            <v>개</v>
          </cell>
        </row>
        <row r="415">
          <cell r="A415">
            <v>20194253</v>
          </cell>
          <cell r="B415" t="str">
            <v>토마토미트볼(믹싱)</v>
          </cell>
          <cell r="C415">
            <v>1087</v>
          </cell>
          <cell r="D415" t="str">
            <v>개</v>
          </cell>
        </row>
        <row r="416">
          <cell r="A416">
            <v>20194588</v>
          </cell>
          <cell r="B416" t="str">
            <v>더잘군불향가득츠쿠네(믹싱)</v>
          </cell>
          <cell r="C416">
            <v>43.332999999999998</v>
          </cell>
          <cell r="D416" t="str">
            <v>Kg</v>
          </cell>
        </row>
        <row r="417">
          <cell r="A417">
            <v>20194591</v>
          </cell>
          <cell r="B417" t="str">
            <v>매운꼬마돈까스(무침/명불허전)</v>
          </cell>
          <cell r="C417">
            <v>16.742000000000001</v>
          </cell>
          <cell r="D417" t="str">
            <v>Kg</v>
          </cell>
        </row>
        <row r="418">
          <cell r="A418">
            <v>20194631</v>
          </cell>
          <cell r="B418" t="str">
            <v>NEW김자반밥</v>
          </cell>
          <cell r="C418">
            <v>408.2</v>
          </cell>
          <cell r="D418" t="str">
            <v>Kg</v>
          </cell>
        </row>
        <row r="419">
          <cell r="A419">
            <v>20194716</v>
          </cell>
          <cell r="B419" t="str">
            <v>매콤돈까스(무침/백설도시락용)</v>
          </cell>
          <cell r="C419">
            <v>34</v>
          </cell>
          <cell r="D419" t="str">
            <v>Kg</v>
          </cell>
        </row>
        <row r="420">
          <cell r="A420">
            <v>20194976</v>
          </cell>
          <cell r="B420" t="str">
            <v>대파크림리조또</v>
          </cell>
          <cell r="C420">
            <v>245.44</v>
          </cell>
          <cell r="D420" t="str">
            <v>Kg</v>
          </cell>
        </row>
        <row r="421">
          <cell r="A421">
            <v>20195082</v>
          </cell>
          <cell r="B421" t="str">
            <v>저당)전주비빔밥</v>
          </cell>
          <cell r="C421">
            <v>143.69999999999999</v>
          </cell>
          <cell r="D421" t="str">
            <v>Kg</v>
          </cell>
        </row>
        <row r="422">
          <cell r="A422">
            <v>20001675</v>
          </cell>
          <cell r="B422" t="str">
            <v>비프불고기토핑볶음(계량)</v>
          </cell>
          <cell r="C422">
            <v>7.0960000000000001</v>
          </cell>
          <cell r="D422" t="str">
            <v>Kg</v>
          </cell>
        </row>
        <row r="423">
          <cell r="A423">
            <v>20001764</v>
          </cell>
          <cell r="B423" t="str">
            <v>냉동혼합야채4종(계량)</v>
          </cell>
          <cell r="C423">
            <v>9.0559999999999992</v>
          </cell>
          <cell r="D423" t="str">
            <v>Kg</v>
          </cell>
        </row>
        <row r="424">
          <cell r="A424">
            <v>20192540</v>
          </cell>
          <cell r="B424" t="str">
            <v>냉동알마늘_구이용</v>
          </cell>
          <cell r="C424">
            <v>14.032999999999999</v>
          </cell>
          <cell r="D424" t="str">
            <v>Kg</v>
          </cell>
        </row>
        <row r="425">
          <cell r="A425">
            <v>20193729</v>
          </cell>
          <cell r="B425" t="str">
            <v>냉동간장돼지불고기</v>
          </cell>
          <cell r="C425">
            <v>71.012</v>
          </cell>
          <cell r="D425" t="str">
            <v>Kg</v>
          </cell>
        </row>
        <row r="426">
          <cell r="A426">
            <v>20193732</v>
          </cell>
          <cell r="B426" t="str">
            <v>냉동고추장돼지불고기</v>
          </cell>
          <cell r="C426">
            <v>295.411</v>
          </cell>
          <cell r="D426" t="str">
            <v>Kg</v>
          </cell>
        </row>
        <row r="427">
          <cell r="A427">
            <v>20194067</v>
          </cell>
          <cell r="B427" t="str">
            <v>매콤한양념닭갈비A</v>
          </cell>
          <cell r="C427">
            <v>77.424999999999997</v>
          </cell>
          <cell r="D427" t="str">
            <v>Kg</v>
          </cell>
        </row>
        <row r="428">
          <cell r="A428">
            <v>20194173</v>
          </cell>
          <cell r="B428" t="str">
            <v>선진)매콤오징어</v>
          </cell>
          <cell r="C428">
            <v>39.594000000000001</v>
          </cell>
          <cell r="D428" t="str">
            <v>Kg</v>
          </cell>
        </row>
        <row r="429">
          <cell r="A429">
            <v>20194174</v>
          </cell>
          <cell r="B429" t="str">
            <v>선진)매콤제육</v>
          </cell>
          <cell r="C429">
            <v>114.267</v>
          </cell>
          <cell r="D429" t="str">
            <v>Kg</v>
          </cell>
        </row>
        <row r="430">
          <cell r="A430">
            <v>20194582</v>
          </cell>
          <cell r="B430" t="str">
            <v>오래)매콤고추장제육(해동)</v>
          </cell>
          <cell r="C430">
            <v>48.088999999999999</v>
          </cell>
          <cell r="D430" t="str">
            <v>Kg</v>
          </cell>
        </row>
        <row r="431">
          <cell r="A431">
            <v>20194714</v>
          </cell>
          <cell r="B431" t="str">
            <v>CJ)크레잇간장돼지불고기</v>
          </cell>
          <cell r="C431">
            <v>132.03899999999999</v>
          </cell>
          <cell r="D431" t="str">
            <v>Kg</v>
          </cell>
        </row>
        <row r="432">
          <cell r="A432">
            <v>20194733</v>
          </cell>
          <cell r="B432" t="str">
            <v>대상)매운마늘맛불고기(슈퍼용)</v>
          </cell>
          <cell r="C432">
            <v>1.538</v>
          </cell>
          <cell r="D432" t="str">
            <v>Kg</v>
          </cell>
        </row>
        <row r="433">
          <cell r="A433">
            <v>20194771</v>
          </cell>
          <cell r="B433" t="str">
            <v>아워홈)연탄구이맛제육(해동)</v>
          </cell>
          <cell r="C433">
            <v>168.5</v>
          </cell>
          <cell r="D433" t="str">
            <v>Kg</v>
          </cell>
        </row>
        <row r="434">
          <cell r="A434">
            <v>20194885</v>
          </cell>
          <cell r="B434" t="str">
            <v>선진)매콤한춘천식닭갈비</v>
          </cell>
          <cell r="C434">
            <v>50.9</v>
          </cell>
          <cell r="D434" t="str">
            <v>Kg</v>
          </cell>
        </row>
        <row r="435">
          <cell r="A435">
            <v>20194945</v>
          </cell>
          <cell r="B435" t="str">
            <v>선진)두부두루치기용다짐육</v>
          </cell>
          <cell r="C435">
            <v>0.42299999999999999</v>
          </cell>
          <cell r="D435" t="str">
            <v>Kg</v>
          </cell>
        </row>
        <row r="436">
          <cell r="A436">
            <v>20195009</v>
          </cell>
          <cell r="B436" t="str">
            <v>선진)대파불고기양념육(해동)</v>
          </cell>
          <cell r="C436">
            <v>104.771</v>
          </cell>
          <cell r="D436" t="str">
            <v>Kg</v>
          </cell>
        </row>
        <row r="437">
          <cell r="A437">
            <v>20195056</v>
          </cell>
          <cell r="B437" t="str">
            <v>고추장돼지불고기(전지/토핑용)</v>
          </cell>
          <cell r="C437">
            <v>40.055999999999997</v>
          </cell>
          <cell r="D437" t="str">
            <v>Kg</v>
          </cell>
        </row>
        <row r="438">
          <cell r="A438">
            <v>20195071</v>
          </cell>
          <cell r="B438" t="str">
            <v>대상)김치제육용불고기토핑</v>
          </cell>
          <cell r="C438">
            <v>71.986000000000004</v>
          </cell>
          <cell r="D438" t="str">
            <v>Kg</v>
          </cell>
        </row>
        <row r="439">
          <cell r="A439">
            <v>20195078</v>
          </cell>
          <cell r="B439" t="str">
            <v>CJ)크레잇고추장돼지불고기</v>
          </cell>
          <cell r="C439">
            <v>2.7080000000000002</v>
          </cell>
          <cell r="D439" t="str">
            <v>Kg</v>
          </cell>
        </row>
        <row r="440">
          <cell r="A440">
            <v>20192645</v>
          </cell>
          <cell r="B440" t="str">
            <v>흑미(불림)</v>
          </cell>
          <cell r="C440">
            <v>35.204999999999998</v>
          </cell>
          <cell r="D440" t="str">
            <v>Kg</v>
          </cell>
        </row>
        <row r="441">
          <cell r="A441">
            <v>20192646</v>
          </cell>
          <cell r="B441" t="str">
            <v>흑미불림수</v>
          </cell>
          <cell r="C441">
            <v>155.316</v>
          </cell>
          <cell r="D441" t="str">
            <v>Kg</v>
          </cell>
        </row>
        <row r="442">
          <cell r="A442">
            <v>20193174</v>
          </cell>
          <cell r="B442" t="str">
            <v>고추장돼지불고기토핑</v>
          </cell>
          <cell r="C442">
            <v>178.52099999999999</v>
          </cell>
          <cell r="D442" t="str">
            <v>Kg</v>
          </cell>
        </row>
        <row r="443">
          <cell r="A443">
            <v>20194455</v>
          </cell>
          <cell r="B443" t="str">
            <v>성경)참돌자반</v>
          </cell>
          <cell r="C443">
            <v>9.3190000000000008</v>
          </cell>
          <cell r="D443" t="str">
            <v>Kg</v>
          </cell>
        </row>
        <row r="444">
          <cell r="A444">
            <v>20194740</v>
          </cell>
          <cell r="B444" t="str">
            <v>순창고추장제육+대두유</v>
          </cell>
          <cell r="C444">
            <v>1.619</v>
          </cell>
          <cell r="D444" t="str">
            <v>Kg</v>
          </cell>
        </row>
        <row r="445">
          <cell r="A445">
            <v>20194886</v>
          </cell>
          <cell r="B445" t="str">
            <v>매콤한춘천식닭갈비(+대두유)</v>
          </cell>
          <cell r="C445">
            <v>52.473999999999997</v>
          </cell>
          <cell r="D445" t="str">
            <v>Kg</v>
          </cell>
        </row>
        <row r="446">
          <cell r="A446">
            <v>30002327</v>
          </cell>
          <cell r="B446" t="str">
            <v>흑미</v>
          </cell>
          <cell r="C446">
            <v>2.7080000000000002</v>
          </cell>
          <cell r="D446" t="str">
            <v>봉 (팩)</v>
          </cell>
        </row>
        <row r="447">
          <cell r="A447">
            <v>20001870</v>
          </cell>
          <cell r="B447" t="str">
            <v>정제염(샐)</v>
          </cell>
          <cell r="C447">
            <v>0.501</v>
          </cell>
          <cell r="D447" t="str">
            <v>Kg</v>
          </cell>
        </row>
        <row r="448">
          <cell r="A448">
            <v>20001872</v>
          </cell>
          <cell r="B448" t="str">
            <v>볶음참깨(샐)</v>
          </cell>
          <cell r="C448">
            <v>5.6210000000000004</v>
          </cell>
          <cell r="D448" t="str">
            <v>Kg</v>
          </cell>
        </row>
        <row r="449">
          <cell r="A449">
            <v>20001875</v>
          </cell>
          <cell r="B449" t="str">
            <v>참치_탈유</v>
          </cell>
          <cell r="C449">
            <v>80.114999999999995</v>
          </cell>
          <cell r="D449" t="str">
            <v>Kg</v>
          </cell>
        </row>
        <row r="450">
          <cell r="A450">
            <v>20001880</v>
          </cell>
          <cell r="B450" t="str">
            <v>혼다시(샐러드)</v>
          </cell>
          <cell r="C450">
            <v>1.8580000000000001</v>
          </cell>
          <cell r="D450" t="str">
            <v>Kg</v>
          </cell>
        </row>
        <row r="451">
          <cell r="A451">
            <v>20001883</v>
          </cell>
          <cell r="B451" t="str">
            <v>백설탕(샐)</v>
          </cell>
          <cell r="C451">
            <v>7.9820000000000002</v>
          </cell>
          <cell r="D451" t="str">
            <v>Kg</v>
          </cell>
        </row>
        <row r="452">
          <cell r="A452">
            <v>20001889</v>
          </cell>
          <cell r="B452" t="str">
            <v>고추장불고기소스FS(샐)</v>
          </cell>
          <cell r="C452">
            <v>29.001999999999999</v>
          </cell>
          <cell r="D452" t="str">
            <v>Kg</v>
          </cell>
        </row>
        <row r="453">
          <cell r="A453">
            <v>20001966</v>
          </cell>
          <cell r="B453" t="str">
            <v>[참기름,,샐]</v>
          </cell>
          <cell r="C453">
            <v>4.0469999999999997</v>
          </cell>
          <cell r="D453" t="str">
            <v>Kg</v>
          </cell>
        </row>
        <row r="454">
          <cell r="A454">
            <v>20002576</v>
          </cell>
          <cell r="B454" t="str">
            <v>모아하우스머스타드</v>
          </cell>
          <cell r="C454">
            <v>7.625</v>
          </cell>
          <cell r="D454" t="str">
            <v>Kg</v>
          </cell>
        </row>
        <row r="455">
          <cell r="A455">
            <v>20002782</v>
          </cell>
          <cell r="B455" t="str">
            <v>토마토 케찹(샐)</v>
          </cell>
          <cell r="C455">
            <v>0.154</v>
          </cell>
          <cell r="D455" t="str">
            <v>Kg</v>
          </cell>
        </row>
        <row r="456">
          <cell r="A456">
            <v>20191302</v>
          </cell>
          <cell r="B456" t="str">
            <v>맛소금(샐)</v>
          </cell>
          <cell r="C456">
            <v>0.47299999999999998</v>
          </cell>
          <cell r="D456" t="str">
            <v>Kg</v>
          </cell>
        </row>
        <row r="457">
          <cell r="A457">
            <v>20191484</v>
          </cell>
          <cell r="B457" t="str">
            <v>[선]연유</v>
          </cell>
          <cell r="C457">
            <v>7.4340000000000002</v>
          </cell>
          <cell r="D457" t="str">
            <v>Kg</v>
          </cell>
        </row>
        <row r="458">
          <cell r="A458">
            <v>20193182</v>
          </cell>
          <cell r="B458" t="str">
            <v>유니믹스N2</v>
          </cell>
          <cell r="C458">
            <v>2.0339999999999998</v>
          </cell>
          <cell r="D458" t="str">
            <v>Kg</v>
          </cell>
        </row>
        <row r="459">
          <cell r="A459">
            <v>20193239</v>
          </cell>
          <cell r="B459" t="str">
            <v>몽고진간장(샐)</v>
          </cell>
          <cell r="C459">
            <v>2.8170000000000002</v>
          </cell>
          <cell r="D459" t="str">
            <v>Kg</v>
          </cell>
        </row>
        <row r="460">
          <cell r="A460">
            <v>20193723</v>
          </cell>
          <cell r="B460" t="str">
            <v>롯데)마요네즈</v>
          </cell>
          <cell r="C460">
            <v>25.521999999999998</v>
          </cell>
          <cell r="D460" t="str">
            <v>Kg</v>
          </cell>
        </row>
        <row r="461">
          <cell r="A461">
            <v>20193822</v>
          </cell>
          <cell r="B461" t="str">
            <v>미원(샐)</v>
          </cell>
          <cell r="C461">
            <v>0.28599999999999998</v>
          </cell>
          <cell r="D461" t="str">
            <v>Kg</v>
          </cell>
        </row>
        <row r="462">
          <cell r="A462">
            <v>20194084</v>
          </cell>
          <cell r="B462" t="str">
            <v>다미)할라피뇨칠리소스</v>
          </cell>
          <cell r="C462">
            <v>10.714</v>
          </cell>
          <cell r="D462" t="str">
            <v>Kg</v>
          </cell>
        </row>
        <row r="463">
          <cell r="A463">
            <v>20194470</v>
          </cell>
          <cell r="B463" t="str">
            <v>다미)쌈장마요네즈소스</v>
          </cell>
          <cell r="C463">
            <v>18.550999999999998</v>
          </cell>
          <cell r="D463" t="str">
            <v>Kg</v>
          </cell>
        </row>
        <row r="464">
          <cell r="A464">
            <v>20194603</v>
          </cell>
          <cell r="B464" t="str">
            <v>FS)치킨바베큐양념소스</v>
          </cell>
          <cell r="C464">
            <v>2.714</v>
          </cell>
          <cell r="D464" t="str">
            <v>Kg</v>
          </cell>
        </row>
        <row r="465">
          <cell r="A465">
            <v>20194723</v>
          </cell>
          <cell r="B465" t="str">
            <v>청학)들기름(샐)</v>
          </cell>
          <cell r="C465">
            <v>2.234</v>
          </cell>
          <cell r="D465" t="str">
            <v>Kg</v>
          </cell>
        </row>
        <row r="466">
          <cell r="A466">
            <v>20194884</v>
          </cell>
          <cell r="B466" t="str">
            <v>다미)닭갈비소스</v>
          </cell>
          <cell r="C466">
            <v>6.931</v>
          </cell>
          <cell r="D466" t="str">
            <v>Kg</v>
          </cell>
        </row>
        <row r="467">
          <cell r="A467">
            <v>20195005</v>
          </cell>
          <cell r="B467" t="str">
            <v>FS)김밥용돈까스소스</v>
          </cell>
          <cell r="C467">
            <v>49.91</v>
          </cell>
          <cell r="D467" t="str">
            <v>Kg</v>
          </cell>
        </row>
        <row r="468">
          <cell r="A468">
            <v>20195037</v>
          </cell>
          <cell r="B468" t="str">
            <v>오뚜기)마요네즈</v>
          </cell>
          <cell r="C468">
            <v>148.434</v>
          </cell>
          <cell r="D468" t="str">
            <v>Kg</v>
          </cell>
        </row>
        <row r="469">
          <cell r="A469">
            <v>20195038</v>
          </cell>
          <cell r="B469" t="str">
            <v>동원)참치다시</v>
          </cell>
          <cell r="C469">
            <v>0.372</v>
          </cell>
          <cell r="D469" t="str">
            <v>Kg</v>
          </cell>
        </row>
        <row r="470">
          <cell r="A470">
            <v>20195057</v>
          </cell>
          <cell r="B470" t="str">
            <v>FS)볶음김치소스-Y</v>
          </cell>
          <cell r="C470">
            <v>7.1420000000000003</v>
          </cell>
          <cell r="D470" t="str">
            <v>Kg</v>
          </cell>
        </row>
        <row r="471">
          <cell r="A471">
            <v>20195086</v>
          </cell>
          <cell r="B471" t="str">
            <v>FS)저당고추장불고기소스H</v>
          </cell>
          <cell r="C471">
            <v>9.58</v>
          </cell>
          <cell r="D471" t="str">
            <v>Kg</v>
          </cell>
        </row>
        <row r="472">
          <cell r="A472">
            <v>20195102</v>
          </cell>
          <cell r="B472" t="str">
            <v>블랙트러플소스(캔)</v>
          </cell>
          <cell r="C472">
            <v>0.66800000000000004</v>
          </cell>
          <cell r="D472" t="str">
            <v>Kg</v>
          </cell>
        </row>
        <row r="473">
          <cell r="A473">
            <v>20195113</v>
          </cell>
          <cell r="B473" t="str">
            <v>대상)쉐프원불맛베이스(샐)</v>
          </cell>
          <cell r="C473">
            <v>3.7090000000000001</v>
          </cell>
          <cell r="D473" t="str">
            <v>Kg</v>
          </cell>
        </row>
        <row r="474">
          <cell r="A474">
            <v>20001435</v>
          </cell>
          <cell r="B474" t="str">
            <v>고추장비프샐러드</v>
          </cell>
          <cell r="C474">
            <v>42.1</v>
          </cell>
          <cell r="D474" t="str">
            <v>Kg</v>
          </cell>
        </row>
        <row r="475">
          <cell r="A475">
            <v>20193444</v>
          </cell>
          <cell r="B475" t="str">
            <v>콩나물무침(믹싱/슈퍼)</v>
          </cell>
          <cell r="C475">
            <v>0.46500000000000002</v>
          </cell>
          <cell r="D475" t="str">
            <v>Kg</v>
          </cell>
        </row>
        <row r="476">
          <cell r="A476">
            <v>20194082</v>
          </cell>
          <cell r="B476" t="str">
            <v>칠리양배추샐러드</v>
          </cell>
          <cell r="C476">
            <v>76.525999999999996</v>
          </cell>
          <cell r="D476" t="str">
            <v>Kg</v>
          </cell>
        </row>
        <row r="477">
          <cell r="A477">
            <v>20194317</v>
          </cell>
          <cell r="B477" t="str">
            <v>착한참치샐러드(슈퍼용)</v>
          </cell>
          <cell r="C477">
            <v>6.5229999999999997</v>
          </cell>
          <cell r="D477" t="str">
            <v>Kg</v>
          </cell>
        </row>
        <row r="478">
          <cell r="A478">
            <v>20194639</v>
          </cell>
          <cell r="B478" t="str">
            <v>양배추케첩마요샐러드</v>
          </cell>
          <cell r="C478">
            <v>1.89</v>
          </cell>
          <cell r="D478" t="str">
            <v>Kg</v>
          </cell>
        </row>
        <row r="479">
          <cell r="A479">
            <v>20194670</v>
          </cell>
          <cell r="B479" t="str">
            <v>치킨스테이크1/4컷(수작업믹싱)</v>
          </cell>
          <cell r="C479">
            <v>984.84900000000005</v>
          </cell>
          <cell r="D479" t="str">
            <v>개</v>
          </cell>
        </row>
        <row r="480">
          <cell r="A480">
            <v>20194722</v>
          </cell>
          <cell r="B480" t="str">
            <v>들기름묵은지무침</v>
          </cell>
          <cell r="C480">
            <v>51.76</v>
          </cell>
          <cell r="D480" t="str">
            <v>Kg</v>
          </cell>
        </row>
        <row r="481">
          <cell r="A481">
            <v>20194737</v>
          </cell>
          <cell r="B481" t="str">
            <v>시금치무침(믹싱)</v>
          </cell>
          <cell r="C481">
            <v>90.947999999999993</v>
          </cell>
          <cell r="D481" t="str">
            <v>Kg</v>
          </cell>
        </row>
        <row r="482">
          <cell r="A482">
            <v>20194883</v>
          </cell>
          <cell r="B482" t="str">
            <v>철판닭갈비볶음(믹싱)</v>
          </cell>
          <cell r="C482">
            <v>79.974999999999994</v>
          </cell>
          <cell r="D482" t="str">
            <v>Kg</v>
          </cell>
        </row>
        <row r="483">
          <cell r="A483">
            <v>20195003</v>
          </cell>
          <cell r="B483" t="str">
            <v>꼬들단무지샐러드(변경)</v>
          </cell>
          <cell r="C483">
            <v>74.725999999999999</v>
          </cell>
          <cell r="D483" t="str">
            <v>Kg</v>
          </cell>
        </row>
        <row r="484">
          <cell r="A484">
            <v>20195004</v>
          </cell>
          <cell r="B484" t="str">
            <v>참깨양배추샐러드(변경)</v>
          </cell>
          <cell r="C484">
            <v>122.28</v>
          </cell>
          <cell r="D484" t="str">
            <v>Kg</v>
          </cell>
        </row>
        <row r="485">
          <cell r="A485">
            <v>20195014</v>
          </cell>
          <cell r="B485" t="str">
            <v>묵은지김치무침</v>
          </cell>
          <cell r="C485">
            <v>31.815000000000001</v>
          </cell>
          <cell r="D485" t="str">
            <v>Kg</v>
          </cell>
        </row>
        <row r="486">
          <cell r="A486">
            <v>20195035</v>
          </cell>
          <cell r="B486" t="str">
            <v>NEW참치마요샐러드</v>
          </cell>
          <cell r="C486">
            <v>145.69999999999999</v>
          </cell>
          <cell r="D486" t="str">
            <v>Kg</v>
          </cell>
        </row>
        <row r="487">
          <cell r="A487">
            <v>20195060</v>
          </cell>
          <cell r="B487" t="str">
            <v>스팸마요샐러드(변경)</v>
          </cell>
          <cell r="C487">
            <v>223.63499999999999</v>
          </cell>
          <cell r="D487" t="str">
            <v>Kg</v>
          </cell>
        </row>
        <row r="488">
          <cell r="A488">
            <v>20195083</v>
          </cell>
          <cell r="B488" t="str">
            <v>저당)고추장비프샐러드</v>
          </cell>
          <cell r="C488">
            <v>14.37</v>
          </cell>
          <cell r="D488" t="str">
            <v>Kg</v>
          </cell>
        </row>
        <row r="489">
          <cell r="A489">
            <v>20195090</v>
          </cell>
          <cell r="B489" t="str">
            <v>트러플버섯샐러드</v>
          </cell>
          <cell r="C489">
            <v>12.95</v>
          </cell>
          <cell r="D489" t="str">
            <v>Kg</v>
          </cell>
        </row>
        <row r="490">
          <cell r="A490">
            <v>20195111</v>
          </cell>
          <cell r="B490" t="str">
            <v>쌈장마요양파구이샐러드</v>
          </cell>
          <cell r="C490">
            <v>89.945999999999998</v>
          </cell>
          <cell r="D490" t="str">
            <v>Kg</v>
          </cell>
        </row>
        <row r="491">
          <cell r="A491">
            <v>20195118</v>
          </cell>
          <cell r="B491" t="str">
            <v>베이컨에그마요샐러드(변경)</v>
          </cell>
          <cell r="C491">
            <v>39.648000000000003</v>
          </cell>
          <cell r="D491" t="str">
            <v>Kg</v>
          </cell>
        </row>
        <row r="492">
          <cell r="A492">
            <v>20193266</v>
          </cell>
          <cell r="B492" t="str">
            <v>햄마카로니샐러드G</v>
          </cell>
          <cell r="C492">
            <v>56.625</v>
          </cell>
          <cell r="D492" t="str">
            <v>Kg</v>
          </cell>
        </row>
        <row r="493">
          <cell r="A493">
            <v>20193392</v>
          </cell>
          <cell r="B493" t="str">
            <v>콘버터샐러드</v>
          </cell>
          <cell r="C493">
            <v>31.960999999999999</v>
          </cell>
          <cell r="D493" t="str">
            <v>Kg</v>
          </cell>
        </row>
        <row r="494">
          <cell r="A494">
            <v>20192201</v>
          </cell>
          <cell r="B494" t="str">
            <v>돈까스소스FS</v>
          </cell>
          <cell r="C494">
            <v>16.3</v>
          </cell>
          <cell r="D494" t="str">
            <v>Kg</v>
          </cell>
        </row>
        <row r="495">
          <cell r="A495">
            <v>20193760</v>
          </cell>
          <cell r="B495" t="str">
            <v>성경재래김(소포장)</v>
          </cell>
          <cell r="C495">
            <v>4561</v>
          </cell>
          <cell r="D495" t="str">
            <v>개</v>
          </cell>
        </row>
        <row r="496">
          <cell r="A496">
            <v>20193959</v>
          </cell>
          <cell r="B496" t="str">
            <v>대상)비빔밥용고추장소스</v>
          </cell>
          <cell r="C496">
            <v>1.0229999999999999</v>
          </cell>
          <cell r="D496" t="str">
            <v>Kg</v>
          </cell>
        </row>
        <row r="497">
          <cell r="A497">
            <v>20194079</v>
          </cell>
          <cell r="B497" t="str">
            <v>베지)토마토파스타소스(토핑)</v>
          </cell>
          <cell r="C497">
            <v>26.641999999999999</v>
          </cell>
          <cell r="D497" t="str">
            <v>Kg</v>
          </cell>
        </row>
        <row r="498">
          <cell r="A498">
            <v>20194248</v>
          </cell>
          <cell r="B498" t="str">
            <v>청학)볶음흑임자(샐)</v>
          </cell>
          <cell r="C498">
            <v>0.108</v>
          </cell>
          <cell r="D498" t="str">
            <v>Kg</v>
          </cell>
        </row>
        <row r="499">
          <cell r="A499">
            <v>20194260</v>
          </cell>
          <cell r="B499" t="str">
            <v>FS)경양식돈까스소스H(소포장)</v>
          </cell>
          <cell r="C499">
            <v>1087</v>
          </cell>
          <cell r="D499" t="str">
            <v>개</v>
          </cell>
        </row>
        <row r="500">
          <cell r="A500">
            <v>20194349</v>
          </cell>
          <cell r="B500" t="str">
            <v>토마토케찹(토핑용)</v>
          </cell>
          <cell r="C500">
            <v>17.623999999999999</v>
          </cell>
          <cell r="D500" t="str">
            <v>Kg</v>
          </cell>
        </row>
        <row r="501">
          <cell r="A501">
            <v>20194354</v>
          </cell>
          <cell r="B501" t="str">
            <v>볶음참깨(샐)(토핑용)</v>
          </cell>
          <cell r="C501">
            <v>7.7380000000000004</v>
          </cell>
          <cell r="D501" t="str">
            <v>Kg</v>
          </cell>
        </row>
        <row r="502">
          <cell r="A502">
            <v>20194586</v>
          </cell>
          <cell r="B502" t="str">
            <v>오쉐프)허니머스타드드레싱</v>
          </cell>
          <cell r="C502">
            <v>5.24</v>
          </cell>
          <cell r="D502" t="str">
            <v>Kg</v>
          </cell>
        </row>
        <row r="503">
          <cell r="A503">
            <v>20194731</v>
          </cell>
          <cell r="B503" t="str">
            <v>농가참기름(소포장)</v>
          </cell>
          <cell r="C503">
            <v>31</v>
          </cell>
          <cell r="D503" t="str">
            <v>개</v>
          </cell>
        </row>
        <row r="504">
          <cell r="A504">
            <v>20194780</v>
          </cell>
          <cell r="B504" t="str">
            <v>FS)돈까스소스(소포장)</v>
          </cell>
          <cell r="C504">
            <v>2296</v>
          </cell>
          <cell r="D504" t="str">
            <v>개</v>
          </cell>
        </row>
        <row r="505">
          <cell r="A505">
            <v>20000161</v>
          </cell>
          <cell r="B505" t="str">
            <v>파프리카소스(취반)</v>
          </cell>
          <cell r="C505">
            <v>6.1459999999999999</v>
          </cell>
          <cell r="D505" t="str">
            <v>Kg</v>
          </cell>
        </row>
        <row r="506">
          <cell r="A506">
            <v>20194202</v>
          </cell>
          <cell r="B506" t="str">
            <v>조미식초소스(취반)</v>
          </cell>
          <cell r="C506">
            <v>43.448999999999998</v>
          </cell>
          <cell r="D506" t="str">
            <v>Kg</v>
          </cell>
        </row>
        <row r="507">
          <cell r="A507">
            <v>20194332</v>
          </cell>
          <cell r="B507" t="str">
            <v>다시마조미식초소스(취반)</v>
          </cell>
          <cell r="C507">
            <v>0.40200000000000002</v>
          </cell>
          <cell r="D507" t="str">
            <v>Kg</v>
          </cell>
        </row>
        <row r="508">
          <cell r="A508">
            <v>20194333</v>
          </cell>
          <cell r="B508" t="str">
            <v>염수(농도20%)(취반)</v>
          </cell>
          <cell r="C508">
            <v>111.892</v>
          </cell>
          <cell r="D508" t="str">
            <v>Kg</v>
          </cell>
        </row>
        <row r="509">
          <cell r="A509">
            <v>20194981</v>
          </cell>
          <cell r="B509" t="str">
            <v>김밥용조미에센스(취반)</v>
          </cell>
          <cell r="C509">
            <v>53.884999999999998</v>
          </cell>
          <cell r="D509" t="str">
            <v>Kg</v>
          </cell>
        </row>
        <row r="510">
          <cell r="A510">
            <v>20195036</v>
          </cell>
          <cell r="B510" t="str">
            <v>삼각용다시마취반소스(취반)</v>
          </cell>
          <cell r="C510">
            <v>19.285</v>
          </cell>
          <cell r="D510" t="str">
            <v>Kg</v>
          </cell>
        </row>
        <row r="511">
          <cell r="A511">
            <v>20192790</v>
          </cell>
          <cell r="B511" t="str">
            <v>비삼각밥(냉각X)</v>
          </cell>
          <cell r="C511">
            <v>1108.71</v>
          </cell>
          <cell r="D511" t="str">
            <v>Kg</v>
          </cell>
        </row>
        <row r="512">
          <cell r="A512">
            <v>20193865</v>
          </cell>
          <cell r="B512" t="str">
            <v>김밥조미밥</v>
          </cell>
          <cell r="C512">
            <v>39.353000000000002</v>
          </cell>
          <cell r="D512" t="str">
            <v>Kg</v>
          </cell>
        </row>
        <row r="513">
          <cell r="A513">
            <v>20193867</v>
          </cell>
          <cell r="B513" t="str">
            <v>흑미밥</v>
          </cell>
          <cell r="C513">
            <v>1397.84</v>
          </cell>
          <cell r="D513" t="str">
            <v>Kg</v>
          </cell>
        </row>
        <row r="514">
          <cell r="A514">
            <v>20193868</v>
          </cell>
          <cell r="B514" t="str">
            <v>도시락밥</v>
          </cell>
          <cell r="C514">
            <v>765.55799999999999</v>
          </cell>
          <cell r="D514" t="str">
            <v>Kg</v>
          </cell>
        </row>
        <row r="515">
          <cell r="A515">
            <v>20194205</v>
          </cell>
          <cell r="B515" t="str">
            <v>파프리카밥(냉각X)</v>
          </cell>
          <cell r="C515">
            <v>1060.114</v>
          </cell>
          <cell r="D515" t="str">
            <v>Kg</v>
          </cell>
        </row>
        <row r="516">
          <cell r="A516">
            <v>20194335</v>
          </cell>
          <cell r="B516" t="str">
            <v>김밥조미참깨밥(변경)</v>
          </cell>
          <cell r="C516">
            <v>1729.3330000000001</v>
          </cell>
          <cell r="D516" t="str">
            <v>Kg</v>
          </cell>
        </row>
        <row r="517">
          <cell r="A517">
            <v>20195034</v>
          </cell>
          <cell r="B517" t="str">
            <v>NEW삼각조미밥</v>
          </cell>
          <cell r="C517">
            <v>1324.01</v>
          </cell>
          <cell r="D517" t="str">
            <v>Kg</v>
          </cell>
        </row>
        <row r="518">
          <cell r="A518">
            <v>20001296</v>
          </cell>
          <cell r="B518" t="str">
            <v>할라피뇨랠리쉬(탈수)</v>
          </cell>
          <cell r="C518">
            <v>6.2469999999999999</v>
          </cell>
          <cell r="D518" t="str">
            <v>Kg</v>
          </cell>
        </row>
        <row r="519">
          <cell r="A519">
            <v>20002265</v>
          </cell>
          <cell r="B519" t="str">
            <v>볶음김치(자연탈수)한울</v>
          </cell>
          <cell r="C519">
            <v>231.518</v>
          </cell>
          <cell r="D519" t="str">
            <v>Kg</v>
          </cell>
        </row>
        <row r="520">
          <cell r="A520">
            <v>20192933</v>
          </cell>
          <cell r="B520" t="str">
            <v>우엉조림 탈수(반찬단지)</v>
          </cell>
          <cell r="C520">
            <v>94.805999999999997</v>
          </cell>
          <cell r="D520" t="str">
            <v>Kg</v>
          </cell>
        </row>
        <row r="521">
          <cell r="A521">
            <v>20193250</v>
          </cell>
          <cell r="B521" t="str">
            <v>신슈단무지(꼬들단무지)</v>
          </cell>
          <cell r="C521">
            <v>45.750999999999998</v>
          </cell>
          <cell r="D521" t="str">
            <v>Kg</v>
          </cell>
        </row>
        <row r="522">
          <cell r="A522">
            <v>20193457</v>
          </cell>
          <cell r="B522" t="str">
            <v>웰빙노란단무지13mm</v>
          </cell>
          <cell r="C522">
            <v>135.761</v>
          </cell>
          <cell r="D522" t="str">
            <v>Kg</v>
          </cell>
        </row>
        <row r="523">
          <cell r="A523">
            <v>20193773</v>
          </cell>
          <cell r="B523" t="str">
            <v>일가집)채단무지</v>
          </cell>
          <cell r="C523">
            <v>23.545999999999999</v>
          </cell>
          <cell r="D523" t="str">
            <v>Kg</v>
          </cell>
        </row>
        <row r="524">
          <cell r="A524">
            <v>20194573</v>
          </cell>
          <cell r="B524" t="str">
            <v>송송오이피클(랠리쉬)(탈수)</v>
          </cell>
          <cell r="C524">
            <v>1.36</v>
          </cell>
          <cell r="D524" t="str">
            <v>Kg</v>
          </cell>
        </row>
        <row r="525">
          <cell r="A525">
            <v>20194724</v>
          </cell>
          <cell r="B525" t="str">
            <v>종가)백볶음김치(탈수)</v>
          </cell>
          <cell r="C525">
            <v>75.052000000000007</v>
          </cell>
          <cell r="D525" t="str">
            <v>Kg</v>
          </cell>
        </row>
        <row r="526">
          <cell r="A526">
            <v>20195089</v>
          </cell>
          <cell r="B526" t="str">
            <v>세천팜)김밥용단무지</v>
          </cell>
          <cell r="C526">
            <v>62.847999999999999</v>
          </cell>
          <cell r="D526" t="str">
            <v>Kg</v>
          </cell>
        </row>
        <row r="527">
          <cell r="A527">
            <v>20001257</v>
          </cell>
          <cell r="B527" t="str">
            <v>미니등심돈까스70튀김</v>
          </cell>
          <cell r="C527">
            <v>3111</v>
          </cell>
          <cell r="D527" t="str">
            <v>개</v>
          </cell>
        </row>
        <row r="528">
          <cell r="A528">
            <v>20192204</v>
          </cell>
          <cell r="B528" t="str">
            <v>나트륨줄인가라아게(42개)</v>
          </cell>
          <cell r="C528">
            <v>4347</v>
          </cell>
          <cell r="D528" t="str">
            <v>개</v>
          </cell>
        </row>
        <row r="529">
          <cell r="A529">
            <v>20192638</v>
          </cell>
          <cell r="B529" t="str">
            <v>반숙계란후라이튀김</v>
          </cell>
          <cell r="C529">
            <v>2556</v>
          </cell>
          <cell r="D529" t="str">
            <v>개</v>
          </cell>
        </row>
        <row r="530">
          <cell r="A530">
            <v>20193257</v>
          </cell>
          <cell r="B530" t="str">
            <v>한돈돈카츠튀김(봉당8개)</v>
          </cell>
          <cell r="C530">
            <v>815.2</v>
          </cell>
          <cell r="D530" t="str">
            <v>개</v>
          </cell>
        </row>
        <row r="531">
          <cell r="A531">
            <v>20194250</v>
          </cell>
          <cell r="B531" t="str">
            <v>아워홈)돈까스140(봉당10개)</v>
          </cell>
          <cell r="C531">
            <v>1087</v>
          </cell>
          <cell r="D531" t="str">
            <v>개</v>
          </cell>
        </row>
        <row r="532">
          <cell r="A532">
            <v>20194486</v>
          </cell>
          <cell r="B532" t="str">
            <v>크레잇)꼬마돈카츠튀김(95개)</v>
          </cell>
          <cell r="C532">
            <v>6049.6469999999999</v>
          </cell>
          <cell r="D532" t="str">
            <v>개</v>
          </cell>
        </row>
        <row r="533">
          <cell r="A533">
            <v>20194881</v>
          </cell>
          <cell r="B533" t="str">
            <v>계란옷소시지전튀김(52개)</v>
          </cell>
          <cell r="C533">
            <v>1196</v>
          </cell>
          <cell r="D533" t="str">
            <v>개</v>
          </cell>
        </row>
        <row r="534">
          <cell r="A534">
            <v>20194982</v>
          </cell>
          <cell r="B534" t="str">
            <v>게맛살1/2(튀김)</v>
          </cell>
          <cell r="C534">
            <v>46.01</v>
          </cell>
          <cell r="D534" t="str">
            <v>Kg</v>
          </cell>
        </row>
        <row r="535">
          <cell r="A535">
            <v>20002009</v>
          </cell>
          <cell r="B535" t="str">
            <v>[선]더큰)스팸구이(0.8*0.8)</v>
          </cell>
          <cell r="C535">
            <v>138.30199999999999</v>
          </cell>
          <cell r="D535" t="str">
            <v>Kg</v>
          </cell>
        </row>
        <row r="536">
          <cell r="A536">
            <v>20192534</v>
          </cell>
          <cell r="B536" t="str">
            <v>냉동알마늘구이</v>
          </cell>
          <cell r="C536">
            <v>13.6</v>
          </cell>
          <cell r="D536" t="str">
            <v>Kg</v>
          </cell>
        </row>
        <row r="537">
          <cell r="A537">
            <v>20193146</v>
          </cell>
          <cell r="B537" t="str">
            <v>고미트햄슬라이스구이_12등분</v>
          </cell>
          <cell r="C537">
            <v>1047</v>
          </cell>
          <cell r="D537" t="str">
            <v>장</v>
          </cell>
        </row>
        <row r="538">
          <cell r="A538">
            <v>20193828</v>
          </cell>
          <cell r="B538" t="str">
            <v>리챔슬라이스구이_24등분</v>
          </cell>
          <cell r="C538">
            <v>3647</v>
          </cell>
          <cell r="D538" t="str">
            <v>장</v>
          </cell>
        </row>
        <row r="539">
          <cell r="A539">
            <v>20194065</v>
          </cell>
          <cell r="B539" t="str">
            <v>청정원)떡갈비구이(봉당65개)</v>
          </cell>
          <cell r="C539">
            <v>1646.4639999999999</v>
          </cell>
          <cell r="D539" t="str">
            <v>개</v>
          </cell>
        </row>
        <row r="540">
          <cell r="A540">
            <v>20194106</v>
          </cell>
          <cell r="B540" t="str">
            <v>고미트햄구이_24등분(뭘좋아)</v>
          </cell>
          <cell r="C540">
            <v>1630</v>
          </cell>
          <cell r="D540" t="str">
            <v>장</v>
          </cell>
        </row>
        <row r="541">
          <cell r="A541">
            <v>20194456</v>
          </cell>
          <cell r="B541" t="str">
            <v>스팸슬라이스구이_12등분</v>
          </cell>
          <cell r="C541">
            <v>2093</v>
          </cell>
          <cell r="D541" t="str">
            <v>장</v>
          </cell>
        </row>
        <row r="542">
          <cell r="A542">
            <v>20194585</v>
          </cell>
          <cell r="B542" t="str">
            <v>혜자토네이도소시지(제트)(14개)</v>
          </cell>
          <cell r="C542">
            <v>984.84900000000005</v>
          </cell>
          <cell r="D542" t="str">
            <v>개</v>
          </cell>
        </row>
        <row r="543">
          <cell r="A543">
            <v>20194770</v>
          </cell>
          <cell r="B543" t="str">
            <v>아워홈)연탄불고기+대두유</v>
          </cell>
          <cell r="C543">
            <v>113.25</v>
          </cell>
          <cell r="D543" t="str">
            <v>Kg</v>
          </cell>
        </row>
        <row r="544">
          <cell r="A544">
            <v>20193370</v>
          </cell>
          <cell r="B544" t="str">
            <v>스크램블에그(찹핑)구이</v>
          </cell>
          <cell r="C544">
            <v>68.165000000000006</v>
          </cell>
          <cell r="D544" t="str">
            <v>Kg</v>
          </cell>
        </row>
        <row r="545">
          <cell r="A545">
            <v>20193493</v>
          </cell>
          <cell r="B545" t="str">
            <v>양파슬라이스(5mm)구이</v>
          </cell>
          <cell r="C545">
            <v>9.75</v>
          </cell>
          <cell r="D545" t="str">
            <v>Kg</v>
          </cell>
        </row>
        <row r="546">
          <cell r="A546">
            <v>20194066</v>
          </cell>
          <cell r="B546" t="str">
            <v>크레잇)계란동그랑땡(봉당46개)</v>
          </cell>
          <cell r="C546">
            <v>1646.4639999999999</v>
          </cell>
          <cell r="D546" t="str">
            <v>개</v>
          </cell>
        </row>
        <row r="547">
          <cell r="A547">
            <v>20194083</v>
          </cell>
          <cell r="B547" t="str">
            <v>선진)치즈콕콕소시지구이(14개)</v>
          </cell>
          <cell r="C547">
            <v>1236.2</v>
          </cell>
          <cell r="D547" t="str">
            <v>개</v>
          </cell>
        </row>
        <row r="548">
          <cell r="A548">
            <v>20194252</v>
          </cell>
          <cell r="B548" t="str">
            <v>선진)미트볼골드(봉당90개)</v>
          </cell>
          <cell r="C548">
            <v>1087</v>
          </cell>
          <cell r="D548" t="str">
            <v>개</v>
          </cell>
        </row>
        <row r="549">
          <cell r="A549">
            <v>20194481</v>
          </cell>
          <cell r="B549" t="str">
            <v>김밥햄구이(슈퍼용)</v>
          </cell>
          <cell r="C549">
            <v>1.3340000000000001</v>
          </cell>
          <cell r="D549" t="str">
            <v>Kg</v>
          </cell>
        </row>
        <row r="550">
          <cell r="A550">
            <v>20194587</v>
          </cell>
          <cell r="B550" t="str">
            <v>더잘군불향가득츠쿠네(40개)</v>
          </cell>
          <cell r="C550">
            <v>984.84100000000001</v>
          </cell>
          <cell r="D550" t="str">
            <v>개</v>
          </cell>
        </row>
        <row r="551">
          <cell r="A551">
            <v>20194672</v>
          </cell>
          <cell r="B551" t="str">
            <v>아워홈)치킨스테이크(구이)(6개)</v>
          </cell>
          <cell r="C551">
            <v>246.21299999999999</v>
          </cell>
          <cell r="D551" t="str">
            <v>개</v>
          </cell>
        </row>
        <row r="552">
          <cell r="A552">
            <v>20194732</v>
          </cell>
          <cell r="B552" t="str">
            <v>순창고추장제육(구이/슈퍼용)</v>
          </cell>
          <cell r="C552">
            <v>1.085</v>
          </cell>
          <cell r="D552" t="str">
            <v>Kg</v>
          </cell>
        </row>
        <row r="553">
          <cell r="A553">
            <v>20194888</v>
          </cell>
          <cell r="B553" t="str">
            <v>매콤한춘천식닭갈비(구이)</v>
          </cell>
          <cell r="C553">
            <v>52.473999999999997</v>
          </cell>
          <cell r="D553" t="str">
            <v>Kg</v>
          </cell>
        </row>
        <row r="554">
          <cell r="A554">
            <v>20195132</v>
          </cell>
          <cell r="B554" t="str">
            <v>냉동양파슬라이스(구이)</v>
          </cell>
          <cell r="C554">
            <v>61.398000000000003</v>
          </cell>
          <cell r="D554" t="str">
            <v>Kg</v>
          </cell>
        </row>
        <row r="555">
          <cell r="A555">
            <v>20001763</v>
          </cell>
          <cell r="B555" t="str">
            <v>냉동혼합야채4종(데침)</v>
          </cell>
          <cell r="C555">
            <v>8.15</v>
          </cell>
          <cell r="D555" t="str">
            <v>Kg</v>
          </cell>
        </row>
        <row r="556">
          <cell r="A556">
            <v>20001868</v>
          </cell>
          <cell r="B556" t="str">
            <v>당근채데침(김밥용)</v>
          </cell>
          <cell r="C556">
            <v>204.00399999999999</v>
          </cell>
          <cell r="D556" t="str">
            <v>Kg</v>
          </cell>
        </row>
        <row r="557">
          <cell r="A557">
            <v>20002657</v>
          </cell>
          <cell r="B557" t="str">
            <v>[선]양배추슬라3mm(데침)</v>
          </cell>
          <cell r="C557">
            <v>153.67400000000001</v>
          </cell>
          <cell r="D557" t="str">
            <v>Kg</v>
          </cell>
        </row>
        <row r="558">
          <cell r="A558">
            <v>20193206</v>
          </cell>
          <cell r="B558" t="str">
            <v>콩나물데침(자연탈수)</v>
          </cell>
          <cell r="C558">
            <v>0.46500000000000002</v>
          </cell>
          <cell r="D558" t="str">
            <v>Kg</v>
          </cell>
        </row>
        <row r="559">
          <cell r="A559">
            <v>20193435</v>
          </cell>
          <cell r="B559" t="str">
            <v>동원)비엔나소세지_데침</v>
          </cell>
          <cell r="C559">
            <v>8150</v>
          </cell>
          <cell r="D559" t="str">
            <v>개</v>
          </cell>
        </row>
        <row r="560">
          <cell r="A560">
            <v>20194008</v>
          </cell>
          <cell r="B560" t="str">
            <v>바릴라)스파게티(삶기)</v>
          </cell>
          <cell r="C560">
            <v>47.936</v>
          </cell>
          <cell r="D560" t="str">
            <v>Kg</v>
          </cell>
        </row>
        <row r="561">
          <cell r="A561">
            <v>20194312</v>
          </cell>
          <cell r="B561" t="str">
            <v>냉동시금치(데침)</v>
          </cell>
          <cell r="C561">
            <v>130.02600000000001</v>
          </cell>
          <cell r="D561" t="str">
            <v>Kg</v>
          </cell>
        </row>
        <row r="562">
          <cell r="A562">
            <v>20194776</v>
          </cell>
          <cell r="B562" t="str">
            <v>칼집비엔나1/2(데침)</v>
          </cell>
          <cell r="C562">
            <v>41.328000000000003</v>
          </cell>
          <cell r="D562" t="str">
            <v>Kg</v>
          </cell>
        </row>
        <row r="563">
          <cell r="A563">
            <v>20000849</v>
          </cell>
          <cell r="B563" t="str">
            <v>도라지볶음(슈퍼비빔밥)</v>
          </cell>
          <cell r="C563">
            <v>0.46500000000000002</v>
          </cell>
          <cell r="D563" t="str">
            <v>Kg</v>
          </cell>
        </row>
        <row r="564">
          <cell r="A564">
            <v>20001436</v>
          </cell>
          <cell r="B564" t="str">
            <v>비프불고기토핑볶음(공통)</v>
          </cell>
          <cell r="C564">
            <v>2.8069999999999999</v>
          </cell>
          <cell r="D564" t="str">
            <v>Kg</v>
          </cell>
        </row>
        <row r="565">
          <cell r="A565">
            <v>20192369</v>
          </cell>
          <cell r="B565" t="str">
            <v>야채볶음(전주비빔,리뉴얼)</v>
          </cell>
          <cell r="C565">
            <v>91.31</v>
          </cell>
          <cell r="D565" t="str">
            <v>Kg</v>
          </cell>
        </row>
        <row r="566">
          <cell r="A566">
            <v>20192734</v>
          </cell>
          <cell r="B566" t="str">
            <v>볼어묵볶음(도시락용)</v>
          </cell>
          <cell r="C566">
            <v>4890</v>
          </cell>
          <cell r="D566" t="str">
            <v>개</v>
          </cell>
        </row>
        <row r="567">
          <cell r="A567">
            <v>20193405</v>
          </cell>
          <cell r="B567" t="str">
            <v>종가)맛김치(찹핑)볶음</v>
          </cell>
          <cell r="C567">
            <v>99.02</v>
          </cell>
          <cell r="D567" t="str">
            <v>Kg</v>
          </cell>
        </row>
        <row r="568">
          <cell r="A568">
            <v>20193730</v>
          </cell>
          <cell r="B568" t="str">
            <v>간장돼지불고기볶음(혜자반반)</v>
          </cell>
          <cell r="C568">
            <v>59.8</v>
          </cell>
          <cell r="D568" t="str">
            <v>Kg</v>
          </cell>
        </row>
        <row r="569">
          <cell r="A569">
            <v>20193733</v>
          </cell>
          <cell r="B569" t="str">
            <v>고추장돼지불고기볶음(혜자반반)</v>
          </cell>
          <cell r="C569">
            <v>83.72</v>
          </cell>
          <cell r="D569" t="str">
            <v>Kg</v>
          </cell>
        </row>
        <row r="570">
          <cell r="A570">
            <v>20194068</v>
          </cell>
          <cell r="B570" t="str">
            <v>매콤한양념닭갈비</v>
          </cell>
          <cell r="C570">
            <v>73.349999999999994</v>
          </cell>
          <cell r="D570" t="str">
            <v>Kg</v>
          </cell>
        </row>
        <row r="571">
          <cell r="A571">
            <v>20194318</v>
          </cell>
          <cell r="B571" t="str">
            <v>당근채볶음(슈퍼참치마요)</v>
          </cell>
          <cell r="C571">
            <v>2.1739999999999999</v>
          </cell>
          <cell r="D571" t="str">
            <v>Kg</v>
          </cell>
        </row>
        <row r="572">
          <cell r="A572">
            <v>20194479</v>
          </cell>
          <cell r="B572" t="str">
            <v>맛김치볶음(슈퍼김밥용)</v>
          </cell>
          <cell r="C572">
            <v>5.2830000000000004</v>
          </cell>
          <cell r="D572" t="str">
            <v>Kg</v>
          </cell>
        </row>
        <row r="573">
          <cell r="A573">
            <v>20194485</v>
          </cell>
          <cell r="B573" t="str">
            <v>당근채볶음(슈퍼김치김밥)</v>
          </cell>
          <cell r="C573">
            <v>1.7609999999999999</v>
          </cell>
          <cell r="D573" t="str">
            <v>Kg</v>
          </cell>
        </row>
        <row r="574">
          <cell r="A574">
            <v>20194583</v>
          </cell>
          <cell r="B574" t="str">
            <v>매콤고추장제육볶음(명불허전)</v>
          </cell>
          <cell r="C574">
            <v>43.875</v>
          </cell>
          <cell r="D574" t="str">
            <v>Kg</v>
          </cell>
        </row>
        <row r="575">
          <cell r="A575">
            <v>20194622</v>
          </cell>
          <cell r="B575" t="str">
            <v>베이컨볶음</v>
          </cell>
          <cell r="C575">
            <v>24.274000000000001</v>
          </cell>
          <cell r="D575" t="str">
            <v>Kg</v>
          </cell>
        </row>
        <row r="576">
          <cell r="A576">
            <v>20194673</v>
          </cell>
          <cell r="B576" t="str">
            <v>표고버섯볶음</v>
          </cell>
          <cell r="C576">
            <v>19.5</v>
          </cell>
          <cell r="D576" t="str">
            <v>Kg</v>
          </cell>
        </row>
        <row r="577">
          <cell r="A577">
            <v>20194713</v>
          </cell>
          <cell r="B577" t="str">
            <v>백설갈비양념제육(볶음)</v>
          </cell>
          <cell r="C577">
            <v>132.03899999999999</v>
          </cell>
          <cell r="D577" t="str">
            <v>Kg</v>
          </cell>
        </row>
        <row r="578">
          <cell r="A578">
            <v>20194734</v>
          </cell>
          <cell r="B578" t="str">
            <v>당근채볶음(슈퍼비빔밥)</v>
          </cell>
          <cell r="C578">
            <v>0.46500000000000002</v>
          </cell>
          <cell r="D578" t="str">
            <v>Kg</v>
          </cell>
        </row>
        <row r="579">
          <cell r="A579">
            <v>20194767</v>
          </cell>
          <cell r="B579" t="str">
            <v>사각어묵볶음(변경)</v>
          </cell>
          <cell r="C579">
            <v>110.72</v>
          </cell>
          <cell r="D579" t="str">
            <v>Kg</v>
          </cell>
        </row>
        <row r="580">
          <cell r="A580">
            <v>20194768</v>
          </cell>
          <cell r="B580" t="str">
            <v>오징어제육볶음(변경)</v>
          </cell>
          <cell r="C580">
            <v>144.136</v>
          </cell>
          <cell r="D580" t="str">
            <v>Kg</v>
          </cell>
        </row>
        <row r="581">
          <cell r="A581">
            <v>20194769</v>
          </cell>
          <cell r="B581" t="str">
            <v>소시지야채볶음</v>
          </cell>
          <cell r="C581">
            <v>56.625</v>
          </cell>
          <cell r="D581" t="str">
            <v>Kg</v>
          </cell>
        </row>
        <row r="582">
          <cell r="A582">
            <v>20194774</v>
          </cell>
          <cell r="B582" t="str">
            <v>대상)매콤제육(볶음)</v>
          </cell>
          <cell r="C582">
            <v>172.2</v>
          </cell>
          <cell r="D582" t="str">
            <v>Kg</v>
          </cell>
        </row>
        <row r="583">
          <cell r="A583">
            <v>20194983</v>
          </cell>
          <cell r="B583" t="str">
            <v>김밥어묵볶음</v>
          </cell>
          <cell r="C583">
            <v>61.56</v>
          </cell>
          <cell r="D583" t="str">
            <v>Kg</v>
          </cell>
        </row>
        <row r="584">
          <cell r="A584">
            <v>20195008</v>
          </cell>
          <cell r="B584" t="str">
            <v>김밥용간장불고기</v>
          </cell>
          <cell r="C584">
            <v>92.19</v>
          </cell>
          <cell r="D584" t="str">
            <v>Kg</v>
          </cell>
        </row>
        <row r="585">
          <cell r="A585">
            <v>20195011</v>
          </cell>
          <cell r="B585" t="str">
            <v>김치맛제육볶음(변경)</v>
          </cell>
          <cell r="C585">
            <v>84</v>
          </cell>
          <cell r="D585" t="str">
            <v>Kg</v>
          </cell>
        </row>
        <row r="586">
          <cell r="A586">
            <v>20195051</v>
          </cell>
          <cell r="B586" t="str">
            <v>마파두부볶음</v>
          </cell>
          <cell r="C586">
            <v>2.2200000000000002</v>
          </cell>
          <cell r="D586" t="str">
            <v>Kg</v>
          </cell>
        </row>
        <row r="587">
          <cell r="A587">
            <v>20195055</v>
          </cell>
          <cell r="B587" t="str">
            <v>고추장제육볶음(전지/삼각)</v>
          </cell>
          <cell r="C587">
            <v>42.42</v>
          </cell>
          <cell r="D587" t="str">
            <v>Kg</v>
          </cell>
        </row>
        <row r="588">
          <cell r="A588">
            <v>20195077</v>
          </cell>
          <cell r="B588" t="str">
            <v>제육볶음(슈퍼덮밥용)</v>
          </cell>
          <cell r="C588">
            <v>3.4</v>
          </cell>
          <cell r="D588" t="str">
            <v>Kg</v>
          </cell>
        </row>
        <row r="589">
          <cell r="A589">
            <v>20195087</v>
          </cell>
          <cell r="B589" t="str">
            <v>비프불고기토핑볶음(저당)</v>
          </cell>
          <cell r="C589">
            <v>4.3550000000000004</v>
          </cell>
          <cell r="D589" t="str">
            <v>Kg</v>
          </cell>
        </row>
        <row r="590">
          <cell r="A590">
            <v>20195112</v>
          </cell>
          <cell r="B590" t="str">
            <v>직화한돈제육볶음</v>
          </cell>
          <cell r="C590">
            <v>191.136</v>
          </cell>
          <cell r="D590" t="str">
            <v>Kg</v>
          </cell>
        </row>
        <row r="591">
          <cell r="A591">
            <v>20194369</v>
          </cell>
          <cell r="B591" t="str">
            <v>삶은바릴라스파게티(대두유)</v>
          </cell>
          <cell r="C591">
            <v>48.914999999999999</v>
          </cell>
          <cell r="D591" t="str">
            <v>Kg</v>
          </cell>
        </row>
        <row r="592">
          <cell r="A592">
            <v>20194781</v>
          </cell>
          <cell r="B592" t="str">
            <v>상지)혜자2찬용기</v>
          </cell>
          <cell r="C592">
            <v>4561</v>
          </cell>
          <cell r="D592" t="str">
            <v>개</v>
          </cell>
        </row>
        <row r="593">
          <cell r="A593">
            <v>20194782</v>
          </cell>
          <cell r="B593" t="str">
            <v>케미코(정우)혜자2찬뚜껑</v>
          </cell>
          <cell r="C593">
            <v>4561</v>
          </cell>
          <cell r="D593" t="str">
            <v>개</v>
          </cell>
        </row>
        <row r="594">
          <cell r="A594">
            <v>20194783</v>
          </cell>
          <cell r="B594" t="str">
            <v>혜자)돈까스고추장제육(스티커)</v>
          </cell>
          <cell r="C594">
            <v>2296</v>
          </cell>
          <cell r="D594" t="str">
            <v>개</v>
          </cell>
        </row>
        <row r="595">
          <cell r="A595">
            <v>20194784</v>
          </cell>
          <cell r="B595" t="str">
            <v>케미코)5찬도시락용기</v>
          </cell>
          <cell r="C595">
            <v>1196</v>
          </cell>
          <cell r="D595" t="str">
            <v>개</v>
          </cell>
        </row>
        <row r="596">
          <cell r="A596">
            <v>20194785</v>
          </cell>
          <cell r="B596" t="str">
            <v>케미코)5찬도시락뚜껑A(김X)</v>
          </cell>
          <cell r="C596">
            <v>1196</v>
          </cell>
          <cell r="D596" t="str">
            <v>개</v>
          </cell>
        </row>
        <row r="597">
          <cell r="A597">
            <v>20194786</v>
          </cell>
          <cell r="B597" t="str">
            <v>혜자)한돈반반제육(스티커)</v>
          </cell>
          <cell r="C597">
            <v>1196</v>
          </cell>
          <cell r="D597" t="str">
            <v>개</v>
          </cell>
        </row>
        <row r="598">
          <cell r="A598">
            <v>20194787</v>
          </cell>
          <cell r="B598" t="str">
            <v>혜자)등심돈까스용기</v>
          </cell>
          <cell r="C598">
            <v>1087</v>
          </cell>
          <cell r="D598" t="str">
            <v>개</v>
          </cell>
        </row>
        <row r="599">
          <cell r="A599">
            <v>20194788</v>
          </cell>
          <cell r="B599" t="str">
            <v>혜자)등심돈까스뚜껑</v>
          </cell>
          <cell r="C599">
            <v>1087</v>
          </cell>
          <cell r="D599" t="str">
            <v>개</v>
          </cell>
        </row>
        <row r="600">
          <cell r="A600">
            <v>20194789</v>
          </cell>
          <cell r="B600" t="str">
            <v>혜자)돌아온등심돈까스(스티커)</v>
          </cell>
          <cell r="C600">
            <v>1087</v>
          </cell>
          <cell r="D600" t="str">
            <v>개</v>
          </cell>
        </row>
        <row r="601">
          <cell r="A601">
            <v>20194790</v>
          </cell>
          <cell r="B601" t="str">
            <v>GS-바란</v>
          </cell>
          <cell r="C601">
            <v>1087</v>
          </cell>
          <cell r="D601" t="str">
            <v>장</v>
          </cell>
        </row>
        <row r="602">
          <cell r="A602">
            <v>20194791</v>
          </cell>
          <cell r="B602" t="str">
            <v>간지(9*9)</v>
          </cell>
          <cell r="C602">
            <v>1087</v>
          </cell>
          <cell r="D602" t="str">
            <v>장</v>
          </cell>
        </row>
        <row r="603">
          <cell r="A603">
            <v>20194792</v>
          </cell>
          <cell r="B603" t="str">
            <v>혜자)직화&amp;오징어(스티커)</v>
          </cell>
          <cell r="C603">
            <v>2265</v>
          </cell>
          <cell r="D603" t="str">
            <v>개</v>
          </cell>
        </row>
        <row r="604">
          <cell r="A604">
            <v>20194793</v>
          </cell>
          <cell r="B604" t="str">
            <v>가성비도시락용기</v>
          </cell>
          <cell r="C604">
            <v>1630</v>
          </cell>
          <cell r="D604" t="str">
            <v>개</v>
          </cell>
        </row>
        <row r="605">
          <cell r="A605">
            <v>20194794</v>
          </cell>
          <cell r="B605" t="str">
            <v>가성비도시락뚜껑</v>
          </cell>
          <cell r="C605">
            <v>1630</v>
          </cell>
          <cell r="D605" t="str">
            <v>개</v>
          </cell>
        </row>
        <row r="606">
          <cell r="A606">
            <v>20194795</v>
          </cell>
          <cell r="B606" t="str">
            <v>가성비도시락(스티커)</v>
          </cell>
          <cell r="C606">
            <v>1630</v>
          </cell>
          <cell r="D606" t="str">
            <v>개</v>
          </cell>
        </row>
        <row r="607">
          <cell r="A607">
            <v>20194801</v>
          </cell>
          <cell r="B607" t="str">
            <v>혜자)백설갈비양념커피박용기</v>
          </cell>
          <cell r="C607">
            <v>1360</v>
          </cell>
          <cell r="D607" t="str">
            <v>개</v>
          </cell>
        </row>
        <row r="608">
          <cell r="A608">
            <v>20194802</v>
          </cell>
          <cell r="B608" t="str">
            <v>혜자)백설갈비양념뚜껑</v>
          </cell>
          <cell r="C608">
            <v>1360</v>
          </cell>
          <cell r="D608" t="str">
            <v>개</v>
          </cell>
        </row>
        <row r="609">
          <cell r="A609">
            <v>20194803</v>
          </cell>
          <cell r="B609" t="str">
            <v>혜자)백설갈비양념제육(스티커)</v>
          </cell>
          <cell r="C609">
            <v>1360</v>
          </cell>
          <cell r="D609" t="str">
            <v>개</v>
          </cell>
        </row>
        <row r="610">
          <cell r="A610">
            <v>20194825</v>
          </cell>
          <cell r="B610" t="str">
            <v>착한제육비빔밥(용기)</v>
          </cell>
          <cell r="C610">
            <v>31</v>
          </cell>
          <cell r="D610" t="str">
            <v>개</v>
          </cell>
        </row>
        <row r="611">
          <cell r="A611">
            <v>20194826</v>
          </cell>
          <cell r="B611" t="str">
            <v>착한제육비빔밥(내피)</v>
          </cell>
          <cell r="C611">
            <v>31</v>
          </cell>
          <cell r="D611" t="str">
            <v>개</v>
          </cell>
        </row>
        <row r="612">
          <cell r="A612">
            <v>20194827</v>
          </cell>
          <cell r="B612" t="str">
            <v>착한제육비빔밥(뚜껑)</v>
          </cell>
          <cell r="C612">
            <v>31</v>
          </cell>
          <cell r="D612" t="str">
            <v>개</v>
          </cell>
        </row>
        <row r="613">
          <cell r="A613">
            <v>20194828</v>
          </cell>
          <cell r="B613" t="str">
            <v>착한제육비빔밥(스티커)</v>
          </cell>
          <cell r="C613">
            <v>31</v>
          </cell>
          <cell r="D613" t="str">
            <v>개</v>
          </cell>
        </row>
        <row r="614">
          <cell r="A614">
            <v>20194829</v>
          </cell>
          <cell r="B614" t="str">
            <v>2온즈컵세트(상)</v>
          </cell>
          <cell r="C614">
            <v>31</v>
          </cell>
          <cell r="D614" t="str">
            <v>개</v>
          </cell>
        </row>
        <row r="615">
          <cell r="A615">
            <v>20194830</v>
          </cell>
          <cell r="B615" t="str">
            <v>2온즈컵세트(하)</v>
          </cell>
          <cell r="C615">
            <v>31</v>
          </cell>
          <cell r="D615" t="str">
            <v>개</v>
          </cell>
        </row>
        <row r="616">
          <cell r="A616">
            <v>20194831</v>
          </cell>
          <cell r="B616" t="str">
            <v>혜자)돌아온명불허전용기</v>
          </cell>
          <cell r="C616">
            <v>975</v>
          </cell>
          <cell r="D616" t="str">
            <v>개</v>
          </cell>
        </row>
        <row r="617">
          <cell r="A617">
            <v>20194832</v>
          </cell>
          <cell r="B617" t="str">
            <v>혜자)돌아온명불허전뚜껑</v>
          </cell>
          <cell r="C617">
            <v>975</v>
          </cell>
          <cell r="D617" t="str">
            <v>개</v>
          </cell>
        </row>
        <row r="618">
          <cell r="A618">
            <v>20194833</v>
          </cell>
          <cell r="B618" t="str">
            <v>혜자)돌아온명불허전(스티커)</v>
          </cell>
          <cell r="C618">
            <v>975</v>
          </cell>
          <cell r="D618" t="str">
            <v>개</v>
          </cell>
        </row>
        <row r="619">
          <cell r="A619">
            <v>20194841</v>
          </cell>
          <cell r="B619" t="str">
            <v>스팸무스비(필름)</v>
          </cell>
          <cell r="C619">
            <v>2093</v>
          </cell>
          <cell r="D619" t="str">
            <v>장</v>
          </cell>
        </row>
        <row r="620">
          <cell r="A620">
            <v>20194843</v>
          </cell>
          <cell r="B620" t="str">
            <v>종가)들기름묵은지참치(스티커)</v>
          </cell>
          <cell r="C620">
            <v>2588</v>
          </cell>
          <cell r="D620" t="str">
            <v>개</v>
          </cell>
        </row>
        <row r="621">
          <cell r="A621">
            <v>20194844</v>
          </cell>
          <cell r="B621" t="str">
            <v>착한핫도그오리지널(필름)</v>
          </cell>
          <cell r="C621">
            <v>73</v>
          </cell>
          <cell r="D621" t="str">
            <v>장</v>
          </cell>
        </row>
        <row r="622">
          <cell r="A622">
            <v>20194845</v>
          </cell>
          <cell r="B622" t="str">
            <v>착한핫도그양배추사라다(필름)</v>
          </cell>
          <cell r="C622">
            <v>63</v>
          </cell>
          <cell r="D622" t="str">
            <v>장</v>
          </cell>
        </row>
        <row r="623">
          <cell r="A623">
            <v>20194846</v>
          </cell>
          <cell r="B623" t="str">
            <v>핫도그지함(개봉)</v>
          </cell>
          <cell r="C623">
            <v>136</v>
          </cell>
          <cell r="D623" t="str">
            <v>개</v>
          </cell>
        </row>
        <row r="624">
          <cell r="A624">
            <v>20194847</v>
          </cell>
          <cell r="B624" t="str">
            <v>간지(4.5*150)</v>
          </cell>
          <cell r="C624">
            <v>136</v>
          </cell>
          <cell r="D624" t="str">
            <v>장</v>
          </cell>
        </row>
        <row r="625">
          <cell r="A625">
            <v>20194848</v>
          </cell>
          <cell r="B625" t="str">
            <v>착한가격참치마요(필름)</v>
          </cell>
          <cell r="C625">
            <v>163</v>
          </cell>
          <cell r="D625" t="str">
            <v>장</v>
          </cell>
        </row>
        <row r="626">
          <cell r="A626">
            <v>20194849</v>
          </cell>
          <cell r="B626" t="str">
            <v>착한김치김밥(필름)</v>
          </cell>
          <cell r="C626">
            <v>132</v>
          </cell>
          <cell r="D626" t="str">
            <v>장</v>
          </cell>
        </row>
        <row r="627">
          <cell r="A627">
            <v>20194988</v>
          </cell>
          <cell r="B627" t="str">
            <v>흑백)파파베이컨리조또(스티커)</v>
          </cell>
          <cell r="C627">
            <v>1888</v>
          </cell>
          <cell r="D627" t="str">
            <v>개</v>
          </cell>
        </row>
        <row r="628">
          <cell r="A628">
            <v>20195013</v>
          </cell>
          <cell r="B628" t="str">
            <v>THE근본김밥(필름)</v>
          </cell>
          <cell r="C628">
            <v>3078</v>
          </cell>
          <cell r="D628" t="str">
            <v>장</v>
          </cell>
        </row>
        <row r="629">
          <cell r="A629">
            <v>20195027</v>
          </cell>
          <cell r="B629" t="str">
            <v>더블치즈소시지김밥(필름)</v>
          </cell>
          <cell r="C629">
            <v>1766</v>
          </cell>
          <cell r="D629" t="str">
            <v>장</v>
          </cell>
        </row>
        <row r="630">
          <cell r="A630">
            <v>20195030</v>
          </cell>
          <cell r="B630" t="str">
            <v>왕돈까스김밥(필름)</v>
          </cell>
          <cell r="C630">
            <v>2038</v>
          </cell>
          <cell r="D630" t="str">
            <v>장</v>
          </cell>
        </row>
        <row r="631">
          <cell r="A631">
            <v>20195031</v>
          </cell>
          <cell r="B631" t="str">
            <v>불고기치즈김밥(필름)</v>
          </cell>
          <cell r="C631">
            <v>1796</v>
          </cell>
          <cell r="D631" t="str">
            <v>장</v>
          </cell>
        </row>
        <row r="632">
          <cell r="A632">
            <v>20195032</v>
          </cell>
          <cell r="B632" t="str">
            <v>점보삼각김밥김(투명)</v>
          </cell>
          <cell r="C632">
            <v>22672</v>
          </cell>
          <cell r="D632" t="str">
            <v>개</v>
          </cell>
        </row>
        <row r="633">
          <cell r="A633">
            <v>20195033</v>
          </cell>
          <cell r="B633" t="str">
            <v>더큰)리챔참치마요(스티커)</v>
          </cell>
          <cell r="C633">
            <v>3647</v>
          </cell>
          <cell r="D633" t="str">
            <v>개</v>
          </cell>
        </row>
        <row r="634">
          <cell r="A634">
            <v>20195047</v>
          </cell>
          <cell r="B634" t="str">
            <v>착한)덮밥(용기)</v>
          </cell>
          <cell r="C634">
            <v>32</v>
          </cell>
          <cell r="D634" t="str">
            <v>개</v>
          </cell>
        </row>
        <row r="635">
          <cell r="A635">
            <v>20195048</v>
          </cell>
          <cell r="B635" t="str">
            <v>착한)덮밥(내피)</v>
          </cell>
          <cell r="C635">
            <v>32</v>
          </cell>
          <cell r="D635" t="str">
            <v>개</v>
          </cell>
        </row>
        <row r="636">
          <cell r="A636">
            <v>20195049</v>
          </cell>
          <cell r="B636" t="str">
            <v>착한)덮밥(뚜껑)</v>
          </cell>
          <cell r="C636">
            <v>32</v>
          </cell>
          <cell r="D636" t="str">
            <v>개</v>
          </cell>
        </row>
        <row r="637">
          <cell r="A637">
            <v>20195050</v>
          </cell>
          <cell r="B637" t="str">
            <v>착한)마파두부덮밥(스티커)</v>
          </cell>
          <cell r="C637">
            <v>12</v>
          </cell>
          <cell r="D637" t="str">
            <v>개</v>
          </cell>
        </row>
        <row r="638">
          <cell r="A638">
            <v>20195058</v>
          </cell>
          <cell r="B638" t="str">
            <v>종가)묵은지김치제육(스티커)</v>
          </cell>
          <cell r="C638">
            <v>2121</v>
          </cell>
          <cell r="D638" t="str">
            <v>개</v>
          </cell>
        </row>
        <row r="639">
          <cell r="A639">
            <v>20195059</v>
          </cell>
          <cell r="B639" t="str">
            <v>더큰)스팸김치볶음밥(스티커)</v>
          </cell>
          <cell r="C639">
            <v>5988</v>
          </cell>
          <cell r="D639" t="str">
            <v>개</v>
          </cell>
        </row>
        <row r="640">
          <cell r="A640">
            <v>20195076</v>
          </cell>
          <cell r="B640" t="str">
            <v>종가)김치제육김밥(필름)</v>
          </cell>
          <cell r="C640">
            <v>1400</v>
          </cell>
          <cell r="D640" t="str">
            <v>장</v>
          </cell>
        </row>
        <row r="641">
          <cell r="A641">
            <v>20195079</v>
          </cell>
          <cell r="B641" t="str">
            <v>착한)제육덮밥(스티커)</v>
          </cell>
          <cell r="C641">
            <v>20</v>
          </cell>
          <cell r="D641" t="str">
            <v>개</v>
          </cell>
        </row>
        <row r="642">
          <cell r="A642">
            <v>20195080</v>
          </cell>
          <cell r="B642" t="str">
            <v>더큰)스팸계란볶음밥(스티커)</v>
          </cell>
          <cell r="C642">
            <v>4155</v>
          </cell>
          <cell r="D642" t="str">
            <v>개</v>
          </cell>
        </row>
        <row r="643">
          <cell r="A643">
            <v>20195081</v>
          </cell>
          <cell r="B643" t="str">
            <v>더큰)닭갈비깻잎쌈밥(스티커)</v>
          </cell>
          <cell r="C643">
            <v>2285</v>
          </cell>
          <cell r="D643" t="str">
            <v>개</v>
          </cell>
        </row>
        <row r="644">
          <cell r="A644">
            <v>20195088</v>
          </cell>
          <cell r="B644" t="str">
            <v>삼각)저당전주비빔(스티커)</v>
          </cell>
          <cell r="C644">
            <v>1437</v>
          </cell>
          <cell r="D644" t="str">
            <v>개</v>
          </cell>
        </row>
        <row r="645">
          <cell r="A645">
            <v>20195115</v>
          </cell>
          <cell r="B645" t="str">
            <v>직화)한돈제육쌈김밥(필름)</v>
          </cell>
          <cell r="C645">
            <v>3373</v>
          </cell>
          <cell r="D645" t="str">
            <v>장</v>
          </cell>
        </row>
        <row r="646">
          <cell r="A646">
            <v>20195117</v>
          </cell>
          <cell r="B646" t="str">
            <v>햄참치마요무스비(필름)</v>
          </cell>
          <cell r="C646">
            <v>1047</v>
          </cell>
          <cell r="D646" t="str">
            <v>개</v>
          </cell>
        </row>
        <row r="647">
          <cell r="A647">
            <v>20195133</v>
          </cell>
          <cell r="B647" t="str">
            <v>삼각)전주비빔(스티커)</v>
          </cell>
          <cell r="C647">
            <v>4210</v>
          </cell>
          <cell r="D647" t="str">
            <v>개</v>
          </cell>
        </row>
        <row r="648">
          <cell r="A648">
            <v>20195134</v>
          </cell>
          <cell r="B648" t="str">
            <v>삼각김밥용김(투명/들기름)</v>
          </cell>
          <cell r="C648">
            <v>5647</v>
          </cell>
          <cell r="D648" t="str">
            <v>개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품목코드</v>
          </cell>
          <cell r="B1" t="str">
            <v>품목명칭 1</v>
          </cell>
          <cell r="C1" t="str">
            <v>지시량</v>
          </cell>
          <cell r="D1" t="str">
            <v>단위</v>
          </cell>
        </row>
        <row r="2">
          <cell r="A2">
            <v>30002630</v>
          </cell>
          <cell r="B2" t="str">
            <v>빵가루(원)</v>
          </cell>
          <cell r="C2">
            <v>9.3070000000000004</v>
          </cell>
          <cell r="D2" t="str">
            <v>Kg</v>
          </cell>
        </row>
        <row r="3">
          <cell r="A3">
            <v>30003320</v>
          </cell>
          <cell r="B3" t="str">
            <v>삼립)핫도그번(원)</v>
          </cell>
          <cell r="C3">
            <v>226</v>
          </cell>
          <cell r="D3" t="str">
            <v>개</v>
          </cell>
        </row>
        <row r="4">
          <cell r="A4">
            <v>20001437</v>
          </cell>
          <cell r="B4" t="str">
            <v>선진)냉동비프불고기토핑(원)</v>
          </cell>
          <cell r="C4">
            <v>20.239999999999998</v>
          </cell>
          <cell r="D4" t="str">
            <v>봉 (팩)</v>
          </cell>
        </row>
        <row r="5">
          <cell r="A5">
            <v>20001843</v>
          </cell>
          <cell r="B5" t="str">
            <v>푸른원)냉동시금치(원)</v>
          </cell>
          <cell r="C5">
            <v>289.56599999999997</v>
          </cell>
          <cell r="D5" t="str">
            <v>봉 (팩)</v>
          </cell>
        </row>
        <row r="6">
          <cell r="A6">
            <v>20194894</v>
          </cell>
          <cell r="B6" t="str">
            <v>이우)왕닭다리(원)</v>
          </cell>
          <cell r="C6">
            <v>4.4480000000000004</v>
          </cell>
          <cell r="D6" t="str">
            <v>봉 (팩)</v>
          </cell>
        </row>
        <row r="7">
          <cell r="A7">
            <v>30000023</v>
          </cell>
          <cell r="B7" t="str">
            <v>풍림)완숙계란후라이</v>
          </cell>
          <cell r="C7">
            <v>32.274999999999999</v>
          </cell>
          <cell r="D7" t="str">
            <v>봉 (팩)</v>
          </cell>
        </row>
        <row r="8">
          <cell r="A8">
            <v>30001086</v>
          </cell>
          <cell r="B8" t="str">
            <v>푸른원)냉동혼합야채4종(원)</v>
          </cell>
          <cell r="C8">
            <v>8.4019999999999992</v>
          </cell>
          <cell r="D8" t="str">
            <v>봉 (팩)</v>
          </cell>
        </row>
        <row r="9">
          <cell r="A9">
            <v>30001145</v>
          </cell>
          <cell r="B9" t="str">
            <v>냉동다진마늘(푸른)(원)</v>
          </cell>
          <cell r="C9">
            <v>11.744</v>
          </cell>
          <cell r="D9" t="str">
            <v>봉 (팩)</v>
          </cell>
        </row>
        <row r="10">
          <cell r="A10">
            <v>30001804</v>
          </cell>
          <cell r="B10" t="str">
            <v>아워홈)70미니등심돈까_15개(원)</v>
          </cell>
          <cell r="C10">
            <v>281.334</v>
          </cell>
          <cell r="D10" t="str">
            <v>봉 (팩)</v>
          </cell>
        </row>
        <row r="11">
          <cell r="A11">
            <v>30002098</v>
          </cell>
          <cell r="B11" t="str">
            <v>나트륨줄인가라아게(원)</v>
          </cell>
          <cell r="C11">
            <v>82</v>
          </cell>
          <cell r="D11" t="str">
            <v>봉 (팩)</v>
          </cell>
        </row>
        <row r="12">
          <cell r="A12">
            <v>30002109</v>
          </cell>
          <cell r="B12" t="str">
            <v>풍림)스크램블드에그(원)</v>
          </cell>
          <cell r="C12">
            <v>59.701999999999998</v>
          </cell>
          <cell r="D12" t="str">
            <v>봉 (팩)</v>
          </cell>
        </row>
        <row r="13">
          <cell r="A13">
            <v>30002283</v>
          </cell>
          <cell r="B13" t="str">
            <v>푸른원)냉동알마늘(원)</v>
          </cell>
          <cell r="C13">
            <v>10.773</v>
          </cell>
          <cell r="D13" t="str">
            <v>봉 (팩)</v>
          </cell>
        </row>
        <row r="14">
          <cell r="A14">
            <v>30002324</v>
          </cell>
          <cell r="B14" t="str">
            <v>대상)반숙계란후라이_냉동(원)</v>
          </cell>
          <cell r="C14">
            <v>96.7</v>
          </cell>
          <cell r="D14" t="str">
            <v>봉 (팩)</v>
          </cell>
        </row>
        <row r="15">
          <cell r="A15">
            <v>30002522</v>
          </cell>
          <cell r="B15" t="str">
            <v>대상)고추장돼지불고기토핑(원)</v>
          </cell>
          <cell r="C15">
            <v>21.405999999999999</v>
          </cell>
          <cell r="D15" t="str">
            <v>봉 (팩)</v>
          </cell>
        </row>
        <row r="16">
          <cell r="A16">
            <v>30002526</v>
          </cell>
          <cell r="B16" t="str">
            <v>조흥)엔젤헤어치즈MC55(원)</v>
          </cell>
          <cell r="C16">
            <v>8.5000000000000006E-2</v>
          </cell>
          <cell r="D16" t="str">
            <v>봉 (팩)</v>
          </cell>
        </row>
        <row r="17">
          <cell r="A17">
            <v>30002549</v>
          </cell>
          <cell r="B17" t="str">
            <v>한돈프리미엄돈카츠(원)</v>
          </cell>
          <cell r="C17">
            <v>103.15</v>
          </cell>
          <cell r="D17" t="str">
            <v>봉 (팩)</v>
          </cell>
        </row>
        <row r="18">
          <cell r="A18">
            <v>30002655</v>
          </cell>
          <cell r="B18" t="str">
            <v>전지베이컨(봉당50장)(원)</v>
          </cell>
          <cell r="C18">
            <v>11.058999999999999</v>
          </cell>
          <cell r="D18" t="str">
            <v>봉 (팩)</v>
          </cell>
        </row>
        <row r="19">
          <cell r="A19">
            <v>30002747</v>
          </cell>
          <cell r="B19" t="str">
            <v>대상)간장돼지불고기(원)</v>
          </cell>
          <cell r="C19">
            <v>26.422999999999998</v>
          </cell>
          <cell r="D19" t="str">
            <v>봉 (팩)</v>
          </cell>
        </row>
        <row r="20">
          <cell r="A20">
            <v>30002748</v>
          </cell>
          <cell r="B20" t="str">
            <v>대상)고추장돼지불고기(원)</v>
          </cell>
          <cell r="C20">
            <v>113.851</v>
          </cell>
          <cell r="D20" t="str">
            <v>봉 (팩)</v>
          </cell>
        </row>
        <row r="21">
          <cell r="A21">
            <v>30002893</v>
          </cell>
          <cell r="B21" t="str">
            <v>청정원)떡갈비_65개(원)</v>
          </cell>
          <cell r="C21">
            <v>19.300999999999998</v>
          </cell>
          <cell r="D21" t="str">
            <v>봉 (팩)</v>
          </cell>
        </row>
        <row r="22">
          <cell r="A22">
            <v>30002894</v>
          </cell>
          <cell r="B22" t="str">
            <v>크레잇)계란동그랑땡(46개)(원)</v>
          </cell>
          <cell r="C22">
            <v>27.271999999999998</v>
          </cell>
          <cell r="D22" t="str">
            <v>봉 (팩)</v>
          </cell>
        </row>
        <row r="23">
          <cell r="A23">
            <v>30002895</v>
          </cell>
          <cell r="B23" t="str">
            <v>대상)매콤한양념닭갈비(원)</v>
          </cell>
          <cell r="C23">
            <v>33.186</v>
          </cell>
          <cell r="D23" t="str">
            <v>봉 (팩)</v>
          </cell>
        </row>
        <row r="24">
          <cell r="A24">
            <v>30002949</v>
          </cell>
          <cell r="B24" t="str">
            <v>청학)냉동대파슬라이스(원)</v>
          </cell>
          <cell r="C24">
            <v>5.6840000000000002</v>
          </cell>
          <cell r="D24" t="str">
            <v>봉 (팩)</v>
          </cell>
        </row>
        <row r="25">
          <cell r="A25">
            <v>30002950</v>
          </cell>
          <cell r="B25" t="str">
            <v>선진)매콤오징어(원)</v>
          </cell>
          <cell r="C25">
            <v>15.926</v>
          </cell>
          <cell r="D25" t="str">
            <v>봉 (팩)</v>
          </cell>
        </row>
        <row r="26">
          <cell r="A26">
            <v>30002951</v>
          </cell>
          <cell r="B26" t="str">
            <v>선진)매콤제육(원)</v>
          </cell>
          <cell r="C26">
            <v>45.96</v>
          </cell>
          <cell r="D26" t="str">
            <v>봉 (팩)</v>
          </cell>
        </row>
        <row r="27">
          <cell r="A27">
            <v>30002987</v>
          </cell>
          <cell r="B27" t="str">
            <v>등심돈까스140(10개)(원)</v>
          </cell>
          <cell r="C27">
            <v>96</v>
          </cell>
          <cell r="D27" t="str">
            <v>봉 (팩)</v>
          </cell>
        </row>
        <row r="28">
          <cell r="A28">
            <v>30002988</v>
          </cell>
          <cell r="B28" t="str">
            <v>선진)미트볼골드(봉당90개)(원)</v>
          </cell>
          <cell r="C28">
            <v>10.667</v>
          </cell>
          <cell r="D28" t="str">
            <v>봉 (팩)</v>
          </cell>
        </row>
        <row r="29">
          <cell r="A29">
            <v>30003022</v>
          </cell>
          <cell r="B29" t="str">
            <v>청학)냉동혼합야채4종_한식(원)</v>
          </cell>
          <cell r="C29">
            <v>39.823999999999998</v>
          </cell>
          <cell r="D29" t="str">
            <v>봉 (팩)</v>
          </cell>
        </row>
        <row r="30">
          <cell r="A30">
            <v>30003072</v>
          </cell>
          <cell r="B30" t="str">
            <v>크레잇)꼬마돈카츠(95개)(원)</v>
          </cell>
          <cell r="C30">
            <v>50.13</v>
          </cell>
          <cell r="D30" t="str">
            <v>봉 (팩)</v>
          </cell>
        </row>
        <row r="31">
          <cell r="A31">
            <v>30003285</v>
          </cell>
          <cell r="B31" t="str">
            <v>아워홈)미니사각어묵(원)</v>
          </cell>
          <cell r="C31">
            <v>65.578999999999994</v>
          </cell>
          <cell r="D31" t="str">
            <v>봉 (팩)</v>
          </cell>
        </row>
        <row r="32">
          <cell r="A32">
            <v>30003287</v>
          </cell>
          <cell r="B32" t="str">
            <v>G세블락프랑크(케이싱(20개(원)</v>
          </cell>
          <cell r="C32">
            <v>11.3</v>
          </cell>
          <cell r="D32" t="str">
            <v>봉 (팩)</v>
          </cell>
        </row>
        <row r="33">
          <cell r="A33">
            <v>30003294</v>
          </cell>
          <cell r="B33" t="str">
            <v>오래)매콤고추장제육불고기(원)</v>
          </cell>
          <cell r="C33">
            <v>13.268000000000001</v>
          </cell>
          <cell r="D33" t="str">
            <v>봉 (팩)</v>
          </cell>
        </row>
        <row r="34">
          <cell r="A34">
            <v>30003295</v>
          </cell>
          <cell r="B34" t="str">
            <v>선진)혜자토네이도소시지(원)</v>
          </cell>
          <cell r="C34">
            <v>186.58199999999999</v>
          </cell>
          <cell r="D34" t="str">
            <v>봉 (팩)</v>
          </cell>
        </row>
        <row r="35">
          <cell r="A35">
            <v>30003297</v>
          </cell>
          <cell r="B35" t="str">
            <v>국일)더잘군불향가득츠쿠네(원)</v>
          </cell>
          <cell r="C35">
            <v>20.379000000000001</v>
          </cell>
          <cell r="D35" t="str">
            <v>봉 (팩)</v>
          </cell>
        </row>
        <row r="36">
          <cell r="A36">
            <v>30003364</v>
          </cell>
          <cell r="B36" t="str">
            <v>아워홈)치킨스테이크(원)</v>
          </cell>
          <cell r="C36">
            <v>33.965000000000003</v>
          </cell>
          <cell r="D36" t="str">
            <v>봉 (팩)</v>
          </cell>
        </row>
        <row r="37">
          <cell r="A37">
            <v>30003391</v>
          </cell>
          <cell r="B37" t="str">
            <v>CJ)크레잇간장돼지불고기(원)</v>
          </cell>
          <cell r="C37">
            <v>33.786000000000001</v>
          </cell>
          <cell r="D37" t="str">
            <v>봉 (팩)</v>
          </cell>
        </row>
        <row r="38">
          <cell r="A38">
            <v>30003393</v>
          </cell>
          <cell r="B38" t="str">
            <v>현대그린푸드)냉동열무나물(원)</v>
          </cell>
          <cell r="C38">
            <v>33.46</v>
          </cell>
          <cell r="D38" t="str">
            <v>봉 (팩)</v>
          </cell>
        </row>
        <row r="39">
          <cell r="A39">
            <v>30003415</v>
          </cell>
          <cell r="B39" t="str">
            <v>대상)매운마늘맛불고기(원)</v>
          </cell>
          <cell r="C39">
            <v>1.712</v>
          </cell>
          <cell r="D39" t="str">
            <v>봉 (팩)</v>
          </cell>
        </row>
        <row r="40">
          <cell r="A40">
            <v>30003438</v>
          </cell>
          <cell r="B40" t="str">
            <v>아워홈)연탄구이맛제육(원)</v>
          </cell>
          <cell r="C40">
            <v>45.182000000000002</v>
          </cell>
          <cell r="D40" t="str">
            <v>봉 (팩)</v>
          </cell>
        </row>
        <row r="41">
          <cell r="A41">
            <v>30003440</v>
          </cell>
          <cell r="B41" t="str">
            <v>선진)찌개용어슷후랑크(원)</v>
          </cell>
          <cell r="C41">
            <v>27.33</v>
          </cell>
          <cell r="D41" t="str">
            <v>봉 (팩)</v>
          </cell>
        </row>
        <row r="42">
          <cell r="A42">
            <v>30003442</v>
          </cell>
          <cell r="B42" t="str">
            <v>현대)건새우마늘쫑볶음(원)</v>
          </cell>
          <cell r="C42">
            <v>36.04</v>
          </cell>
          <cell r="D42" t="str">
            <v>봉 (팩)</v>
          </cell>
        </row>
        <row r="43">
          <cell r="A43">
            <v>30003464</v>
          </cell>
          <cell r="B43" t="str">
            <v>야미)계란옷입은소시지전(원)</v>
          </cell>
          <cell r="C43">
            <v>17.114999999999998</v>
          </cell>
          <cell r="D43" t="str">
            <v>봉 (팩)</v>
          </cell>
        </row>
        <row r="44">
          <cell r="A44">
            <v>30003466</v>
          </cell>
          <cell r="B44" t="str">
            <v>선진)매콤한춘천식닭갈비(원)</v>
          </cell>
          <cell r="C44">
            <v>31.186</v>
          </cell>
          <cell r="D44" t="str">
            <v>봉 (팩)</v>
          </cell>
        </row>
        <row r="45">
          <cell r="A45">
            <v>30003470</v>
          </cell>
          <cell r="B45" t="str">
            <v>냉동삶은감자(2cm다이스)(원)</v>
          </cell>
          <cell r="C45">
            <v>10.417999999999999</v>
          </cell>
          <cell r="D45" t="str">
            <v>봉 (팩)</v>
          </cell>
        </row>
        <row r="46">
          <cell r="A46">
            <v>30003487</v>
          </cell>
          <cell r="B46" t="str">
            <v>선진)두부두루치기용다짐육(원)</v>
          </cell>
          <cell r="C46">
            <v>0.17699999999999999</v>
          </cell>
          <cell r="D46" t="str">
            <v>봉 (팩)</v>
          </cell>
        </row>
        <row r="47">
          <cell r="A47">
            <v>30003497</v>
          </cell>
          <cell r="B47" t="str">
            <v>삼양)플러스함박스테이크(원)</v>
          </cell>
          <cell r="C47">
            <v>89.85</v>
          </cell>
          <cell r="D47" t="str">
            <v>봉 (팩)</v>
          </cell>
        </row>
        <row r="48">
          <cell r="A48">
            <v>30003527</v>
          </cell>
          <cell r="B48" t="str">
            <v>선진)대파불고기양념육(원)</v>
          </cell>
          <cell r="C48">
            <v>153.49299999999999</v>
          </cell>
          <cell r="D48" t="str">
            <v>봉 (팩)</v>
          </cell>
        </row>
        <row r="49">
          <cell r="A49">
            <v>30003530</v>
          </cell>
          <cell r="B49" t="str">
            <v>대상)비빔밥용돼지고기(원)</v>
          </cell>
          <cell r="C49">
            <v>0.06</v>
          </cell>
          <cell r="D49" t="str">
            <v>봉 (팩)</v>
          </cell>
        </row>
        <row r="50">
          <cell r="A50">
            <v>30003558</v>
          </cell>
          <cell r="B50" t="str">
            <v>대상)고추장돈육전지불고기(원)</v>
          </cell>
          <cell r="C50">
            <v>29.292000000000002</v>
          </cell>
          <cell r="D50" t="str">
            <v>봉 (팩)</v>
          </cell>
        </row>
        <row r="51">
          <cell r="A51">
            <v>30003569</v>
          </cell>
          <cell r="B51" t="str">
            <v>대상)김치제육용불고기토핑(원)</v>
          </cell>
          <cell r="C51">
            <v>50.725000000000001</v>
          </cell>
          <cell r="D51" t="str">
            <v>봉 (팩)</v>
          </cell>
        </row>
        <row r="52">
          <cell r="A52">
            <v>30003575</v>
          </cell>
          <cell r="B52" t="str">
            <v>CJ)크레잇고추장돼지불고기(원)</v>
          </cell>
          <cell r="C52">
            <v>0.496</v>
          </cell>
          <cell r="D52" t="str">
            <v>봉 (팩)</v>
          </cell>
        </row>
        <row r="53">
          <cell r="A53">
            <v>30003587</v>
          </cell>
          <cell r="B53" t="str">
            <v>한울)표고버섯볶음(원)</v>
          </cell>
          <cell r="C53">
            <v>82.043000000000006</v>
          </cell>
          <cell r="D53" t="str">
            <v>봉 (팩)</v>
          </cell>
        </row>
        <row r="54">
          <cell r="A54">
            <v>30003588</v>
          </cell>
          <cell r="B54" t="str">
            <v>한울)건느타리볶음(원)</v>
          </cell>
          <cell r="C54">
            <v>83.787999999999997</v>
          </cell>
          <cell r="D54" t="str">
            <v>봉 (팩)</v>
          </cell>
        </row>
        <row r="55">
          <cell r="A55">
            <v>20001849</v>
          </cell>
          <cell r="B55" t="str">
            <v>게맛살(원)</v>
          </cell>
          <cell r="C55">
            <v>64.677000000000007</v>
          </cell>
          <cell r="D55" t="str">
            <v>봉 (팩)</v>
          </cell>
        </row>
        <row r="56">
          <cell r="A56">
            <v>30000091</v>
          </cell>
          <cell r="B56" t="str">
            <v>파프리카소스(원)</v>
          </cell>
          <cell r="C56">
            <v>3.843</v>
          </cell>
          <cell r="D56" t="str">
            <v>봉 (팩)</v>
          </cell>
        </row>
        <row r="57">
          <cell r="A57">
            <v>30000096</v>
          </cell>
          <cell r="B57" t="str">
            <v>한울)다진맛김치(원)</v>
          </cell>
          <cell r="C57">
            <v>2.2269999999999999</v>
          </cell>
          <cell r="D57" t="str">
            <v>봉 (팩)</v>
          </cell>
        </row>
        <row r="58">
          <cell r="A58">
            <v>30000376</v>
          </cell>
          <cell r="B58" t="str">
            <v>골드스모크햄세절88(원)</v>
          </cell>
          <cell r="C58">
            <v>43.252000000000002</v>
          </cell>
          <cell r="D58" t="str">
            <v>봉 (팩)</v>
          </cell>
        </row>
        <row r="59">
          <cell r="A59">
            <v>30000910</v>
          </cell>
          <cell r="B59" t="str">
            <v>이레팜)야채계란말이(원)</v>
          </cell>
          <cell r="C59">
            <v>28.702000000000002</v>
          </cell>
          <cell r="D59" t="str">
            <v>봉 (팩)</v>
          </cell>
        </row>
        <row r="60">
          <cell r="A60">
            <v>30001165</v>
          </cell>
          <cell r="B60" t="str">
            <v>깍두기(원)</v>
          </cell>
          <cell r="C60">
            <v>4.4569999999999999</v>
          </cell>
          <cell r="D60" t="str">
            <v>박스</v>
          </cell>
        </row>
        <row r="61">
          <cell r="A61">
            <v>30002007</v>
          </cell>
          <cell r="B61" t="str">
            <v>이레팜)계란구이(세절)(원)</v>
          </cell>
          <cell r="C61">
            <v>26.117999999999999</v>
          </cell>
          <cell r="D61" t="str">
            <v>봉 (팩)</v>
          </cell>
        </row>
        <row r="62">
          <cell r="A62">
            <v>30002355</v>
          </cell>
          <cell r="B62" t="str">
            <v>아워홈)부산어묵볼(150개)(원)</v>
          </cell>
          <cell r="C62">
            <v>24.84</v>
          </cell>
          <cell r="D62" t="str">
            <v>봉 (팩)</v>
          </cell>
        </row>
        <row r="63">
          <cell r="A63">
            <v>30002431</v>
          </cell>
          <cell r="B63" t="str">
            <v>크레잇)칼집비엔나(50개)(원)</v>
          </cell>
          <cell r="C63">
            <v>42.792000000000002</v>
          </cell>
          <cell r="D63" t="str">
            <v>봉 (팩)</v>
          </cell>
        </row>
        <row r="64">
          <cell r="A64">
            <v>30002457</v>
          </cell>
          <cell r="B64" t="str">
            <v>제니코_체다슬라치즈(82개)(원)</v>
          </cell>
          <cell r="C64">
            <v>39.034999999999997</v>
          </cell>
          <cell r="D64" t="str">
            <v>봉 (팩)</v>
          </cell>
        </row>
        <row r="65">
          <cell r="A65">
            <v>30002467</v>
          </cell>
          <cell r="B65" t="str">
            <v>미트뱅크)매콤불고기양념육(원)</v>
          </cell>
          <cell r="C65">
            <v>6.351</v>
          </cell>
          <cell r="D65" t="str">
            <v>봉 (팩)</v>
          </cell>
        </row>
        <row r="66">
          <cell r="A66">
            <v>30002488</v>
          </cell>
          <cell r="B66" t="str">
            <v>사조오양)쵸핑스모크햄(원)</v>
          </cell>
          <cell r="C66">
            <v>1.4490000000000001</v>
          </cell>
          <cell r="D66" t="str">
            <v>봉 (팩)</v>
          </cell>
        </row>
        <row r="67">
          <cell r="A67">
            <v>30002555</v>
          </cell>
          <cell r="B67" t="str">
            <v>MDS)햄마카로니샐러드G(원)</v>
          </cell>
          <cell r="C67">
            <v>46.48</v>
          </cell>
          <cell r="D67" t="str">
            <v>봉 (팩)</v>
          </cell>
        </row>
        <row r="68">
          <cell r="A68">
            <v>30002593</v>
          </cell>
          <cell r="B68" t="str">
            <v>MDS)콘버터G(원)</v>
          </cell>
          <cell r="C68">
            <v>24.599</v>
          </cell>
          <cell r="D68" t="str">
            <v>봉 (팩)</v>
          </cell>
        </row>
        <row r="69">
          <cell r="A69">
            <v>30002614</v>
          </cell>
          <cell r="B69" t="str">
            <v>동원)비엔나소세지_110개(원)</v>
          </cell>
          <cell r="C69">
            <v>56.454999999999998</v>
          </cell>
          <cell r="D69" t="str">
            <v>봉 (팩)</v>
          </cell>
        </row>
        <row r="70">
          <cell r="A70">
            <v>30002846</v>
          </cell>
          <cell r="B70" t="str">
            <v>대상)비빔밥용고추장소스A(원)</v>
          </cell>
          <cell r="C70">
            <v>2.2770000000000001</v>
          </cell>
          <cell r="D70" t="str">
            <v>봉 (팩)</v>
          </cell>
        </row>
        <row r="71">
          <cell r="A71">
            <v>30002896</v>
          </cell>
          <cell r="B71" t="str">
            <v>동방)통통쏘야소스(원)</v>
          </cell>
          <cell r="C71">
            <v>3.38</v>
          </cell>
          <cell r="D71" t="str">
            <v>봉 (팩)</v>
          </cell>
        </row>
        <row r="72">
          <cell r="A72">
            <v>30002902</v>
          </cell>
          <cell r="B72" t="str">
            <v>베지가든)토마토파스타소스(원)</v>
          </cell>
          <cell r="C72">
            <v>13.039</v>
          </cell>
          <cell r="D72" t="str">
            <v>봉 (팩)</v>
          </cell>
        </row>
        <row r="73">
          <cell r="A73">
            <v>30002903</v>
          </cell>
          <cell r="B73" t="str">
            <v>선진)치즈콕콕소시지(14개)(원)</v>
          </cell>
          <cell r="C73">
            <v>94.15</v>
          </cell>
          <cell r="D73" t="str">
            <v>봉 (팩)</v>
          </cell>
        </row>
        <row r="74">
          <cell r="A74">
            <v>30002904</v>
          </cell>
          <cell r="B74" t="str">
            <v>다미)할라피뇨칠리소스(원)</v>
          </cell>
          <cell r="C74">
            <v>3.8079999999999998</v>
          </cell>
          <cell r="D74" t="str">
            <v>봉 (팩)</v>
          </cell>
        </row>
        <row r="75">
          <cell r="A75">
            <v>30002992</v>
          </cell>
          <cell r="B75" t="str">
            <v>FS)경양식돈까스소스H(소포장(원</v>
          </cell>
          <cell r="C75">
            <v>960</v>
          </cell>
          <cell r="D75" t="str">
            <v>개</v>
          </cell>
        </row>
        <row r="76">
          <cell r="A76">
            <v>30003070</v>
          </cell>
          <cell r="B76" t="str">
            <v>한성)숯불구이맛김밥햄(원)</v>
          </cell>
          <cell r="C76">
            <v>12.345000000000001</v>
          </cell>
          <cell r="D76" t="str">
            <v>봉 (팩)</v>
          </cell>
        </row>
        <row r="77">
          <cell r="A77">
            <v>30003074</v>
          </cell>
          <cell r="B77" t="str">
            <v>조흥)숙성체다치즈소스(원)</v>
          </cell>
          <cell r="C77">
            <v>0.52</v>
          </cell>
          <cell r="D77" t="str">
            <v>봉 (팩)</v>
          </cell>
        </row>
        <row r="78">
          <cell r="A78">
            <v>30003465</v>
          </cell>
          <cell r="B78" t="str">
            <v>다미)닭갈비소스(원)</v>
          </cell>
          <cell r="C78">
            <v>2.831</v>
          </cell>
          <cell r="D78" t="str">
            <v>봉 (팩)</v>
          </cell>
        </row>
        <row r="79">
          <cell r="A79">
            <v>30003467</v>
          </cell>
          <cell r="B79" t="str">
            <v>동방)자메이카핫치킨소스(원)</v>
          </cell>
          <cell r="C79">
            <v>0.64400000000000002</v>
          </cell>
          <cell r="D79" t="str">
            <v>봉 (팩)</v>
          </cell>
        </row>
        <row r="80">
          <cell r="A80">
            <v>30003468</v>
          </cell>
          <cell r="B80" t="str">
            <v>동방)시크릿양념치킨소스(원)</v>
          </cell>
          <cell r="C80">
            <v>1.5940000000000001</v>
          </cell>
          <cell r="D80" t="str">
            <v>봉 (팩)</v>
          </cell>
        </row>
        <row r="81">
          <cell r="A81">
            <v>30003510</v>
          </cell>
          <cell r="B81" t="str">
            <v>이레팜)더커진계란구이(원)</v>
          </cell>
          <cell r="C81">
            <v>235.85900000000001</v>
          </cell>
          <cell r="D81" t="str">
            <v>봉 (팩)</v>
          </cell>
        </row>
        <row r="82">
          <cell r="A82">
            <v>30003511</v>
          </cell>
          <cell r="B82" t="str">
            <v>아워홈)김밥용어묵슬라이스(원)</v>
          </cell>
          <cell r="C82">
            <v>45.456000000000003</v>
          </cell>
          <cell r="D82" t="str">
            <v>봉 (팩)</v>
          </cell>
        </row>
        <row r="83">
          <cell r="A83">
            <v>30003555</v>
          </cell>
          <cell r="B83" t="str">
            <v>다미)마파두부소스(원)</v>
          </cell>
          <cell r="C83">
            <v>0.14299999999999999</v>
          </cell>
          <cell r="D83" t="str">
            <v>봉 (팩)</v>
          </cell>
        </row>
        <row r="84">
          <cell r="A84">
            <v>30003556</v>
          </cell>
          <cell r="B84" t="str">
            <v>태원)마라상궈소스(원)</v>
          </cell>
          <cell r="C84">
            <v>1.0999999999999999E-2</v>
          </cell>
          <cell r="D84" t="str">
            <v>봉 (팩)</v>
          </cell>
        </row>
        <row r="85">
          <cell r="A85">
            <v>30003557</v>
          </cell>
          <cell r="B85" t="str">
            <v>조리편한조각두부(찌개용)(원)</v>
          </cell>
          <cell r="C85">
            <v>0.53200000000000003</v>
          </cell>
          <cell r="D85" t="str">
            <v>봉 (팩)</v>
          </cell>
        </row>
        <row r="86">
          <cell r="A86">
            <v>30003583</v>
          </cell>
          <cell r="B86" t="str">
            <v>풍림)오므라이스지단(원)</v>
          </cell>
          <cell r="C86">
            <v>59.9</v>
          </cell>
          <cell r="D86" t="str">
            <v>봉 (팩)</v>
          </cell>
        </row>
        <row r="87">
          <cell r="A87">
            <v>20001846</v>
          </cell>
          <cell r="B87" t="str">
            <v>전처리당근채(3mm)(원)</v>
          </cell>
          <cell r="C87">
            <v>69.727000000000004</v>
          </cell>
          <cell r="D87" t="str">
            <v>봉 (팩)</v>
          </cell>
        </row>
        <row r="88">
          <cell r="A88">
            <v>30000065</v>
          </cell>
          <cell r="B88" t="str">
            <v>FS)고추장불고기소스(원)</v>
          </cell>
          <cell r="C88">
            <v>18.963999999999999</v>
          </cell>
          <cell r="D88" t="str">
            <v>봉 (팩)</v>
          </cell>
        </row>
        <row r="89">
          <cell r="A89">
            <v>30000081</v>
          </cell>
          <cell r="B89" t="str">
            <v>부림)깐당근(원)</v>
          </cell>
          <cell r="C89">
            <v>0.94</v>
          </cell>
          <cell r="D89" t="str">
            <v>박스</v>
          </cell>
        </row>
        <row r="90">
          <cell r="A90">
            <v>30000086</v>
          </cell>
          <cell r="B90" t="str">
            <v>콩나물(원)</v>
          </cell>
          <cell r="C90">
            <v>9.8780000000000001</v>
          </cell>
          <cell r="D90" t="str">
            <v>박스</v>
          </cell>
        </row>
        <row r="91">
          <cell r="A91">
            <v>30000094</v>
          </cell>
          <cell r="B91" t="str">
            <v>FS)볶음김치밥용소스-엠(원)</v>
          </cell>
          <cell r="C91">
            <v>3.64</v>
          </cell>
          <cell r="D91" t="str">
            <v>봉 (팩)</v>
          </cell>
        </row>
        <row r="92">
          <cell r="A92">
            <v>30000121</v>
          </cell>
          <cell r="B92" t="str">
            <v>한울)볶음김치골드(원)</v>
          </cell>
          <cell r="C92">
            <v>53.002000000000002</v>
          </cell>
          <cell r="D92" t="str">
            <v>봉 (팩)</v>
          </cell>
        </row>
        <row r="93">
          <cell r="A93">
            <v>30000124</v>
          </cell>
          <cell r="B93" t="str">
            <v>깐쪽파(원재료)</v>
          </cell>
          <cell r="C93">
            <v>5.1829999999999998</v>
          </cell>
          <cell r="D93" t="str">
            <v>봉 (팩)</v>
          </cell>
        </row>
        <row r="94">
          <cell r="A94">
            <v>30000709</v>
          </cell>
          <cell r="B94" t="str">
            <v>FS)김치볶음밥용소스(원)</v>
          </cell>
          <cell r="C94">
            <v>43.255000000000003</v>
          </cell>
          <cell r="D94" t="str">
            <v>봉 (팩)</v>
          </cell>
        </row>
        <row r="95">
          <cell r="A95">
            <v>30000746</v>
          </cell>
          <cell r="B95" t="str">
            <v>동방)어묵볶음용소스-FS(원)</v>
          </cell>
          <cell r="C95">
            <v>1.746</v>
          </cell>
          <cell r="D95" t="str">
            <v>봉 (팩)</v>
          </cell>
        </row>
        <row r="96">
          <cell r="A96">
            <v>30001057</v>
          </cell>
          <cell r="B96" t="str">
            <v>FS)간장소스-케이(원)</v>
          </cell>
          <cell r="C96">
            <v>6.1070000000000002</v>
          </cell>
          <cell r="D96" t="str">
            <v>봉 (팩)</v>
          </cell>
        </row>
        <row r="97">
          <cell r="A97">
            <v>30001126</v>
          </cell>
          <cell r="B97" t="str">
            <v>부림)양배추(원)</v>
          </cell>
          <cell r="C97">
            <v>19.731000000000002</v>
          </cell>
          <cell r="D97" t="str">
            <v>박스</v>
          </cell>
        </row>
        <row r="98">
          <cell r="A98">
            <v>30001136</v>
          </cell>
          <cell r="B98" t="str">
            <v>부림)깻잎(원)</v>
          </cell>
          <cell r="C98">
            <v>7.1150000000000002</v>
          </cell>
          <cell r="D98" t="str">
            <v>박스</v>
          </cell>
        </row>
        <row r="99">
          <cell r="A99">
            <v>30001166</v>
          </cell>
          <cell r="B99" t="str">
            <v>부림)깐도라지채(원)</v>
          </cell>
          <cell r="C99">
            <v>16.289000000000001</v>
          </cell>
          <cell r="D99" t="str">
            <v>봉 (팩)</v>
          </cell>
        </row>
        <row r="100">
          <cell r="A100">
            <v>30001823</v>
          </cell>
          <cell r="B100" t="str">
            <v>부추(원)</v>
          </cell>
          <cell r="C100">
            <v>0.59199999999999997</v>
          </cell>
          <cell r="D100" t="str">
            <v>박스</v>
          </cell>
        </row>
        <row r="101">
          <cell r="A101">
            <v>30002077</v>
          </cell>
          <cell r="B101" t="str">
            <v>FS)매콤닭강정소스(원)</v>
          </cell>
          <cell r="C101">
            <v>5.3810000000000002</v>
          </cell>
          <cell r="D101" t="str">
            <v>봉 (팩)</v>
          </cell>
        </row>
        <row r="102">
          <cell r="A102">
            <v>30002092</v>
          </cell>
          <cell r="B102" t="str">
            <v>한울)진미채견과볶음(원)</v>
          </cell>
          <cell r="C102">
            <v>19.300999999999998</v>
          </cell>
          <cell r="D102" t="str">
            <v>봉 (팩)</v>
          </cell>
        </row>
        <row r="103">
          <cell r="A103">
            <v>30002096</v>
          </cell>
          <cell r="B103" t="str">
            <v>FS)돈까스소스-FS(원)</v>
          </cell>
          <cell r="C103">
            <v>6.21</v>
          </cell>
          <cell r="D103" t="str">
            <v>봉 (팩)</v>
          </cell>
        </row>
        <row r="104">
          <cell r="A104">
            <v>30002195</v>
          </cell>
          <cell r="B104" t="str">
            <v>FS)뉴비빔밥용고추장소스(원)</v>
          </cell>
          <cell r="C104">
            <v>30.478999999999999</v>
          </cell>
          <cell r="D104" t="str">
            <v>봉 (팩)</v>
          </cell>
        </row>
        <row r="105">
          <cell r="A105">
            <v>30002298</v>
          </cell>
          <cell r="B105" t="str">
            <v>부림)깐양파(원)</v>
          </cell>
          <cell r="C105">
            <v>5.5910000000000002</v>
          </cell>
          <cell r="D105" t="str">
            <v>봉 (팩)</v>
          </cell>
        </row>
        <row r="106">
          <cell r="A106">
            <v>30002363</v>
          </cell>
          <cell r="B106" t="str">
            <v>FS)너비아니양념소스J(원)</v>
          </cell>
          <cell r="C106">
            <v>0.81699999999999995</v>
          </cell>
          <cell r="D106" t="str">
            <v>봉 (팩)</v>
          </cell>
        </row>
        <row r="107">
          <cell r="A107">
            <v>30002442</v>
          </cell>
          <cell r="B107" t="str">
            <v>반찬단지우엉조림(원)</v>
          </cell>
          <cell r="C107">
            <v>24.061</v>
          </cell>
          <cell r="D107" t="str">
            <v>봉 (팩)</v>
          </cell>
        </row>
        <row r="108">
          <cell r="A108">
            <v>30002523</v>
          </cell>
          <cell r="B108" t="str">
            <v>풋고추(원)</v>
          </cell>
          <cell r="C108">
            <v>4.6929999999999996</v>
          </cell>
          <cell r="D108" t="str">
            <v>봉 (팩)</v>
          </cell>
        </row>
        <row r="109">
          <cell r="A109">
            <v>30002585</v>
          </cell>
          <cell r="B109" t="str">
            <v>FS)삼각치킨조미소스(원)</v>
          </cell>
          <cell r="C109">
            <v>16.335000000000001</v>
          </cell>
          <cell r="D109" t="str">
            <v>봉 (팩)</v>
          </cell>
        </row>
        <row r="110">
          <cell r="A110">
            <v>30002599</v>
          </cell>
          <cell r="B110" t="str">
            <v>종가)맛김치(원)</v>
          </cell>
          <cell r="C110">
            <v>21.178000000000001</v>
          </cell>
          <cell r="D110" t="str">
            <v>봉 (팩)</v>
          </cell>
        </row>
        <row r="111">
          <cell r="A111">
            <v>30002650</v>
          </cell>
          <cell r="B111" t="str">
            <v>FS)청양식매운맛간장소스(원)</v>
          </cell>
          <cell r="C111">
            <v>6.0389999999999997</v>
          </cell>
          <cell r="D111" t="str">
            <v>봉 (팩)</v>
          </cell>
        </row>
        <row r="112">
          <cell r="A112">
            <v>30002875</v>
          </cell>
          <cell r="B112" t="str">
            <v>FS)조청닭강정소스(원)</v>
          </cell>
          <cell r="C112">
            <v>7.9080000000000004</v>
          </cell>
          <cell r="D112" t="str">
            <v>봉 (팩)</v>
          </cell>
        </row>
        <row r="113">
          <cell r="A113">
            <v>30003010</v>
          </cell>
          <cell r="B113" t="str">
            <v>FS)조미식초소스(원)</v>
          </cell>
          <cell r="C113">
            <v>27.518000000000001</v>
          </cell>
          <cell r="D113" t="str">
            <v>봉 (팩)</v>
          </cell>
        </row>
        <row r="114">
          <cell r="A114">
            <v>30003011</v>
          </cell>
          <cell r="B114" t="str">
            <v>FS)다시마조미식초소스(원)</v>
          </cell>
          <cell r="C114">
            <v>0.753</v>
          </cell>
          <cell r="D114" t="str">
            <v>봉 (팩)</v>
          </cell>
        </row>
        <row r="115">
          <cell r="A115">
            <v>30003288</v>
          </cell>
          <cell r="B115" t="str">
            <v>송송오이피클(랠리쉬)(원)</v>
          </cell>
          <cell r="C115">
            <v>2.379</v>
          </cell>
          <cell r="D115" t="str">
            <v>봉 (팩)</v>
          </cell>
        </row>
        <row r="116">
          <cell r="A116">
            <v>30003299</v>
          </cell>
          <cell r="B116" t="str">
            <v>FS)매운돈까스소스(원)</v>
          </cell>
          <cell r="C116">
            <v>2.8290000000000002</v>
          </cell>
          <cell r="D116" t="str">
            <v>봉 (팩)</v>
          </cell>
        </row>
        <row r="117">
          <cell r="A117">
            <v>30003308</v>
          </cell>
          <cell r="B117" t="str">
            <v>FS)치킨바베큐양념소스(원)</v>
          </cell>
          <cell r="C117">
            <v>1.1240000000000001</v>
          </cell>
          <cell r="D117" t="str">
            <v>봉 (팩)</v>
          </cell>
        </row>
        <row r="118">
          <cell r="A118">
            <v>30003310</v>
          </cell>
          <cell r="B118" t="str">
            <v>FS)츠쿠네소스(원)</v>
          </cell>
          <cell r="C118">
            <v>3.66</v>
          </cell>
          <cell r="D118" t="str">
            <v>봉 (팩)</v>
          </cell>
        </row>
        <row r="119">
          <cell r="A119">
            <v>30003376</v>
          </cell>
          <cell r="B119" t="str">
            <v>부림)깐대파(원)</v>
          </cell>
          <cell r="C119">
            <v>4.5659999999999998</v>
          </cell>
          <cell r="D119" t="str">
            <v>박스</v>
          </cell>
        </row>
        <row r="120">
          <cell r="A120">
            <v>30003400</v>
          </cell>
          <cell r="B120" t="str">
            <v>종가)백볶음김치(원)</v>
          </cell>
          <cell r="C120">
            <v>32.966999999999999</v>
          </cell>
          <cell r="D120" t="str">
            <v>봉 (팩)</v>
          </cell>
        </row>
        <row r="121">
          <cell r="A121">
            <v>30003416</v>
          </cell>
          <cell r="B121" t="str">
            <v>부림)청상추(원)</v>
          </cell>
          <cell r="C121">
            <v>0.27600000000000002</v>
          </cell>
          <cell r="D121" t="str">
            <v>박스</v>
          </cell>
        </row>
        <row r="122">
          <cell r="A122">
            <v>30003439</v>
          </cell>
          <cell r="B122" t="str">
            <v>FS)쏘야볶음소스H(원)</v>
          </cell>
          <cell r="C122">
            <v>4.3520000000000003</v>
          </cell>
          <cell r="D122" t="str">
            <v>봉 (팩)</v>
          </cell>
        </row>
        <row r="123">
          <cell r="A123">
            <v>30003443</v>
          </cell>
          <cell r="B123" t="str">
            <v>FS)돈까스소스(소포장)(원)</v>
          </cell>
          <cell r="C123">
            <v>1802</v>
          </cell>
          <cell r="D123" t="str">
            <v>개</v>
          </cell>
        </row>
        <row r="124">
          <cell r="A124">
            <v>30003454</v>
          </cell>
          <cell r="B124" t="str">
            <v>FS)우엉볶음용간장소스(원)</v>
          </cell>
          <cell r="C124">
            <v>3.6230000000000002</v>
          </cell>
          <cell r="D124" t="str">
            <v>봉 (팩)</v>
          </cell>
        </row>
        <row r="125">
          <cell r="A125">
            <v>30003471</v>
          </cell>
          <cell r="B125" t="str">
            <v>FS)쌈장마요소스(원)</v>
          </cell>
          <cell r="C125">
            <v>4.2999999999999997E-2</v>
          </cell>
          <cell r="D125" t="str">
            <v>봉 (팩)</v>
          </cell>
        </row>
        <row r="126">
          <cell r="A126">
            <v>30003508</v>
          </cell>
          <cell r="B126" t="str">
            <v>FS)대파크림소스(원)</v>
          </cell>
          <cell r="C126">
            <v>10.443</v>
          </cell>
          <cell r="D126" t="str">
            <v>봉 (팩)</v>
          </cell>
        </row>
        <row r="127">
          <cell r="A127">
            <v>30003509</v>
          </cell>
          <cell r="B127" t="str">
            <v>FS)김밥용조미에센스(원)</v>
          </cell>
          <cell r="C127">
            <v>33.372</v>
          </cell>
          <cell r="D127" t="str">
            <v>봉 (팩)</v>
          </cell>
        </row>
        <row r="128">
          <cell r="A128">
            <v>30003526</v>
          </cell>
          <cell r="B128" t="str">
            <v>FS)김밥용돈까스소스(원)</v>
          </cell>
          <cell r="C128">
            <v>25.262</v>
          </cell>
          <cell r="D128" t="str">
            <v>봉 (팩)</v>
          </cell>
        </row>
        <row r="129">
          <cell r="A129">
            <v>30003543</v>
          </cell>
          <cell r="B129" t="str">
            <v>FS)삼각용다시마취반소스(원)</v>
          </cell>
          <cell r="C129">
            <v>11.073</v>
          </cell>
          <cell r="D129" t="str">
            <v>봉 (팩)</v>
          </cell>
        </row>
        <row r="130">
          <cell r="A130">
            <v>30003548</v>
          </cell>
          <cell r="B130" t="str">
            <v>부림)청경채(원)</v>
          </cell>
          <cell r="C130">
            <v>3.5000000000000003E-2</v>
          </cell>
          <cell r="D130" t="str">
            <v>박스</v>
          </cell>
        </row>
        <row r="131">
          <cell r="A131">
            <v>30003549</v>
          </cell>
          <cell r="B131" t="str">
            <v>부림)팽이버섯(원)</v>
          </cell>
          <cell r="C131">
            <v>0.77300000000000002</v>
          </cell>
          <cell r="D131" t="str">
            <v>봉 (팩)</v>
          </cell>
        </row>
        <row r="132">
          <cell r="A132">
            <v>30003559</v>
          </cell>
          <cell r="B132" t="str">
            <v>FS)볶음김치소스-Y(원)</v>
          </cell>
          <cell r="C132">
            <v>4.8730000000000002</v>
          </cell>
          <cell r="D132" t="str">
            <v>봉 (팩)</v>
          </cell>
        </row>
        <row r="133">
          <cell r="A133">
            <v>30003579</v>
          </cell>
          <cell r="B133" t="str">
            <v>FS)저당비빔밥용고추장소스H(원)</v>
          </cell>
          <cell r="C133">
            <v>29.393000000000001</v>
          </cell>
          <cell r="D133" t="str">
            <v>봉 (팩)</v>
          </cell>
        </row>
        <row r="134">
          <cell r="A134">
            <v>30003580</v>
          </cell>
          <cell r="B134" t="str">
            <v>FS)저당고추장불고기소스H(원)</v>
          </cell>
          <cell r="C134">
            <v>12.974</v>
          </cell>
          <cell r="D134" t="str">
            <v>봉 (팩)</v>
          </cell>
        </row>
        <row r="135">
          <cell r="A135">
            <v>30003584</v>
          </cell>
          <cell r="B135" t="str">
            <v>FS)크림양송이소스(원)</v>
          </cell>
          <cell r="C135">
            <v>13.478</v>
          </cell>
          <cell r="D135" t="str">
            <v>봉 (팩)</v>
          </cell>
        </row>
        <row r="136">
          <cell r="A136">
            <v>30003585</v>
          </cell>
          <cell r="B136" t="str">
            <v>FS)스크램블용소스(원)</v>
          </cell>
          <cell r="C136">
            <v>13.753</v>
          </cell>
          <cell r="D136" t="str">
            <v>봉 (팩)</v>
          </cell>
        </row>
        <row r="137">
          <cell r="A137">
            <v>30003586</v>
          </cell>
          <cell r="B137" t="str">
            <v>FS)경양식오므라이스소스(원)</v>
          </cell>
          <cell r="C137">
            <v>35.94</v>
          </cell>
          <cell r="D137" t="str">
            <v>봉 (팩)</v>
          </cell>
        </row>
        <row r="138">
          <cell r="A138">
            <v>30003080</v>
          </cell>
          <cell r="B138" t="str">
            <v>수축필름16</v>
          </cell>
          <cell r="C138">
            <v>10.628</v>
          </cell>
          <cell r="D138" t="str">
            <v>롤</v>
          </cell>
        </row>
        <row r="139">
          <cell r="A139">
            <v>30003083</v>
          </cell>
          <cell r="B139" t="str">
            <v>에스지앤피)핫도그지함(부)</v>
          </cell>
          <cell r="C139">
            <v>0.22600000000000001</v>
          </cell>
          <cell r="D139" t="str">
            <v>봉 (팩)</v>
          </cell>
        </row>
        <row r="140">
          <cell r="A140">
            <v>30003096</v>
          </cell>
          <cell r="B140" t="str">
            <v>골드)간지(9*9)(부)</v>
          </cell>
          <cell r="C140">
            <v>0.96</v>
          </cell>
          <cell r="D140" t="str">
            <v>봉 (팩)</v>
          </cell>
        </row>
        <row r="141">
          <cell r="A141">
            <v>30003097</v>
          </cell>
          <cell r="B141" t="str">
            <v>골드)간지(4.5*150)(부)</v>
          </cell>
          <cell r="C141">
            <v>0.22600000000000001</v>
          </cell>
          <cell r="D141" t="str">
            <v>봉 (팩)</v>
          </cell>
        </row>
        <row r="142">
          <cell r="A142">
            <v>30003098</v>
          </cell>
          <cell r="B142" t="str">
            <v>상지)1탄가성비용기(부)</v>
          </cell>
          <cell r="C142">
            <v>12.42</v>
          </cell>
          <cell r="D142" t="str">
            <v>봉 (팩)</v>
          </cell>
        </row>
        <row r="143">
          <cell r="A143">
            <v>30003099</v>
          </cell>
          <cell r="B143" t="str">
            <v>상지)가성비뚜껑(부)</v>
          </cell>
          <cell r="C143">
            <v>12.42</v>
          </cell>
          <cell r="D143" t="str">
            <v>봉 (팩)</v>
          </cell>
        </row>
        <row r="144">
          <cell r="A144">
            <v>30003107</v>
          </cell>
          <cell r="B144" t="str">
            <v>바코드56*45(김밥)(청색/적색)</v>
          </cell>
          <cell r="C144">
            <v>16336</v>
          </cell>
          <cell r="D144" t="str">
            <v>개</v>
          </cell>
        </row>
        <row r="145">
          <cell r="A145">
            <v>30003108</v>
          </cell>
          <cell r="B145" t="str">
            <v>바코드54*45(삼각)(청색/적색)</v>
          </cell>
          <cell r="C145">
            <v>33295</v>
          </cell>
          <cell r="D145" t="str">
            <v>개</v>
          </cell>
        </row>
        <row r="146">
          <cell r="A146">
            <v>30003109</v>
          </cell>
          <cell r="B146" t="str">
            <v>바코드60*35(도시락)(청색/적색)</v>
          </cell>
          <cell r="C146">
            <v>12806</v>
          </cell>
          <cell r="D146" t="str">
            <v>개</v>
          </cell>
        </row>
        <row r="147">
          <cell r="A147">
            <v>30003117</v>
          </cell>
          <cell r="B147" t="str">
            <v>골드)한돈제육쌈김밥(필)</v>
          </cell>
          <cell r="C147">
            <v>1.24</v>
          </cell>
          <cell r="D147" t="str">
            <v>봉 (팩)</v>
          </cell>
        </row>
        <row r="148">
          <cell r="A148">
            <v>30003152</v>
          </cell>
          <cell r="B148" t="str">
            <v>이프린팅)뭘좋아할지몰라(스)</v>
          </cell>
          <cell r="C148">
            <v>1.242</v>
          </cell>
          <cell r="D148" t="str">
            <v>롤</v>
          </cell>
        </row>
        <row r="149">
          <cell r="A149">
            <v>30003156</v>
          </cell>
          <cell r="B149" t="str">
            <v>애디웹)두번구운김전주비빔(스)</v>
          </cell>
          <cell r="C149">
            <v>0.55000000000000004</v>
          </cell>
          <cell r="D149" t="str">
            <v>롤</v>
          </cell>
        </row>
        <row r="150">
          <cell r="A150">
            <v>30003160</v>
          </cell>
          <cell r="B150" t="str">
            <v>애디웹)삼각)新전주비빔(스)</v>
          </cell>
          <cell r="C150">
            <v>0.54400000000000004</v>
          </cell>
          <cell r="D150" t="str">
            <v>롤</v>
          </cell>
        </row>
        <row r="151">
          <cell r="A151">
            <v>30003165</v>
          </cell>
          <cell r="B151" t="str">
            <v>골드)착한김치김밥(필)</v>
          </cell>
          <cell r="C151">
            <v>0.43</v>
          </cell>
          <cell r="D151" t="str">
            <v>봉 (팩)</v>
          </cell>
        </row>
        <row r="152">
          <cell r="A152">
            <v>30003166</v>
          </cell>
          <cell r="B152" t="str">
            <v>골드)착한가격참치마요(필)</v>
          </cell>
          <cell r="C152">
            <v>0.52600000000000002</v>
          </cell>
          <cell r="D152" t="str">
            <v>봉 (팩)</v>
          </cell>
        </row>
        <row r="153">
          <cell r="A153">
            <v>30003185</v>
          </cell>
          <cell r="B153" t="str">
            <v>햄참치마요무스비(필름)</v>
          </cell>
          <cell r="C153">
            <v>461</v>
          </cell>
          <cell r="D153" t="str">
            <v>개</v>
          </cell>
        </row>
        <row r="154">
          <cell r="A154">
            <v>30003216</v>
          </cell>
          <cell r="B154" t="str">
            <v>두레)바란74*57mm(부)</v>
          </cell>
          <cell r="C154">
            <v>0.96</v>
          </cell>
          <cell r="D154" t="str">
            <v>곽</v>
          </cell>
        </row>
        <row r="155">
          <cell r="A155">
            <v>30003227</v>
          </cell>
          <cell r="B155" t="str">
            <v>케미코)5찬도시락용기(부)</v>
          </cell>
          <cell r="C155">
            <v>8.9</v>
          </cell>
          <cell r="D155" t="str">
            <v>봉 (팩)</v>
          </cell>
        </row>
        <row r="156">
          <cell r="A156">
            <v>30003228</v>
          </cell>
          <cell r="B156" t="str">
            <v>케미코)5찬도시락뚜껑A(부)</v>
          </cell>
          <cell r="C156">
            <v>8.9</v>
          </cell>
          <cell r="D156" t="str">
            <v>봉 (팩)</v>
          </cell>
        </row>
        <row r="157">
          <cell r="A157">
            <v>30003230</v>
          </cell>
          <cell r="B157" t="str">
            <v>애디웹)한돈반반제육(스)</v>
          </cell>
          <cell r="C157">
            <v>0.59299999999999997</v>
          </cell>
          <cell r="D157" t="str">
            <v>롤</v>
          </cell>
        </row>
        <row r="158">
          <cell r="A158">
            <v>30003233</v>
          </cell>
          <cell r="B158" t="str">
            <v>상지)등심까스(평)뚜껑(부)</v>
          </cell>
          <cell r="C158">
            <v>9.6</v>
          </cell>
          <cell r="D158" t="str">
            <v>봉 (팩)</v>
          </cell>
        </row>
        <row r="159">
          <cell r="A159">
            <v>30003234</v>
          </cell>
          <cell r="B159" t="str">
            <v>상지)등심돈까스용기(부)</v>
          </cell>
          <cell r="C159">
            <v>6.4</v>
          </cell>
          <cell r="D159" t="str">
            <v>봉 (팩)</v>
          </cell>
        </row>
        <row r="160">
          <cell r="A160">
            <v>30003235</v>
          </cell>
          <cell r="B160" t="str">
            <v>이프린팅)돌아온등심돈까스(스)</v>
          </cell>
          <cell r="C160">
            <v>0.96</v>
          </cell>
          <cell r="D160" t="str">
            <v>롤</v>
          </cell>
        </row>
        <row r="161">
          <cell r="A161">
            <v>30003260</v>
          </cell>
          <cell r="B161" t="str">
            <v>애디웹)커플(제육/김치)전면(스)</v>
          </cell>
          <cell r="C161">
            <v>0.32300000000000001</v>
          </cell>
          <cell r="D161" t="str">
            <v>롤</v>
          </cell>
        </row>
        <row r="162">
          <cell r="A162">
            <v>30003261</v>
          </cell>
          <cell r="B162" t="str">
            <v>애디웹)커플(제육/김치)측면(스)</v>
          </cell>
          <cell r="C162">
            <v>0.32300000000000001</v>
          </cell>
          <cell r="D162" t="str">
            <v>롤</v>
          </cell>
        </row>
        <row r="163">
          <cell r="A163">
            <v>30003314</v>
          </cell>
          <cell r="B163" t="str">
            <v>상지)명불허전용기(부)</v>
          </cell>
          <cell r="C163">
            <v>5.38</v>
          </cell>
          <cell r="D163" t="str">
            <v>봉 (팩)</v>
          </cell>
        </row>
        <row r="164">
          <cell r="A164">
            <v>30003315</v>
          </cell>
          <cell r="B164" t="str">
            <v>상지)명불허전뚜껑(부)</v>
          </cell>
          <cell r="C164">
            <v>8.07</v>
          </cell>
          <cell r="D164" t="str">
            <v>봉 (팩)</v>
          </cell>
        </row>
        <row r="165">
          <cell r="A165">
            <v>30003316</v>
          </cell>
          <cell r="B165" t="str">
            <v>이프린팅)돌아온명불허전(스)</v>
          </cell>
          <cell r="C165">
            <v>0.80700000000000005</v>
          </cell>
          <cell r="D165" t="str">
            <v>롤</v>
          </cell>
        </row>
        <row r="166">
          <cell r="A166">
            <v>30003325</v>
          </cell>
          <cell r="B166" t="str">
            <v>골드)스팸무스비치즈(필)</v>
          </cell>
          <cell r="C166">
            <v>0.29799999999999999</v>
          </cell>
          <cell r="D166" t="str">
            <v>롤</v>
          </cell>
        </row>
        <row r="167">
          <cell r="A167">
            <v>30003336</v>
          </cell>
          <cell r="B167" t="str">
            <v>골드)착한핫도그오리지널(필)</v>
          </cell>
          <cell r="C167">
            <v>3.3000000000000002E-2</v>
          </cell>
          <cell r="D167" t="str">
            <v>롤</v>
          </cell>
        </row>
        <row r="168">
          <cell r="A168">
            <v>30003337</v>
          </cell>
          <cell r="B168" t="str">
            <v>골드)착한핫도그양배추(필)</v>
          </cell>
          <cell r="C168">
            <v>2.8000000000000001E-2</v>
          </cell>
          <cell r="D168" t="str">
            <v>롤</v>
          </cell>
        </row>
        <row r="169">
          <cell r="A169">
            <v>30003359</v>
          </cell>
          <cell r="B169" t="str">
            <v>상지)6칸공용용기(부)</v>
          </cell>
          <cell r="C169">
            <v>36.24</v>
          </cell>
          <cell r="D169" t="str">
            <v>봉 (팩)</v>
          </cell>
        </row>
        <row r="170">
          <cell r="A170">
            <v>30003361</v>
          </cell>
          <cell r="B170" t="str">
            <v>이프린팅)직화&amp;오징어(스)</v>
          </cell>
          <cell r="C170">
            <v>1.8220000000000001</v>
          </cell>
          <cell r="D170" t="str">
            <v>롤</v>
          </cell>
        </row>
        <row r="171">
          <cell r="A171">
            <v>30003396</v>
          </cell>
          <cell r="B171" t="str">
            <v>상지)오징어제육용기(부)</v>
          </cell>
          <cell r="C171">
            <v>6.96</v>
          </cell>
          <cell r="D171" t="str">
            <v>봉 (팩)</v>
          </cell>
        </row>
        <row r="172">
          <cell r="A172">
            <v>30003397</v>
          </cell>
          <cell r="B172" t="str">
            <v>상지)오징어제육뚜껑(부)</v>
          </cell>
          <cell r="C172">
            <v>10.44</v>
          </cell>
          <cell r="D172" t="str">
            <v>봉 (팩)</v>
          </cell>
        </row>
        <row r="173">
          <cell r="A173">
            <v>30003398</v>
          </cell>
          <cell r="B173" t="str">
            <v>애디웹)백설갈비양념제육(스)</v>
          </cell>
          <cell r="C173">
            <v>0.69599999999999995</v>
          </cell>
          <cell r="D173" t="str">
            <v>롤</v>
          </cell>
        </row>
        <row r="174">
          <cell r="A174">
            <v>30003401</v>
          </cell>
          <cell r="B174" t="str">
            <v>종가)들기름묵은지참치(스)</v>
          </cell>
          <cell r="C174">
            <v>0.69899999999999995</v>
          </cell>
          <cell r="D174" t="str">
            <v>롤</v>
          </cell>
        </row>
        <row r="175">
          <cell r="A175">
            <v>30003422</v>
          </cell>
          <cell r="B175" t="str">
            <v>상지)62파이소스컵(상)(부)</v>
          </cell>
          <cell r="C175">
            <v>18.66</v>
          </cell>
          <cell r="D175" t="str">
            <v>봉 (팩)</v>
          </cell>
        </row>
        <row r="176">
          <cell r="A176">
            <v>30003423</v>
          </cell>
          <cell r="B176" t="str">
            <v>이프린팅)착한제육비빔밥(스)</v>
          </cell>
          <cell r="C176">
            <v>6.9000000000000006E-2</v>
          </cell>
          <cell r="D176" t="str">
            <v>롤</v>
          </cell>
        </row>
        <row r="177">
          <cell r="A177">
            <v>30003424</v>
          </cell>
          <cell r="B177" t="str">
            <v>두레)PACK-22-3호소스(뚜껑)(부)</v>
          </cell>
          <cell r="C177">
            <v>0.69</v>
          </cell>
          <cell r="D177" t="str">
            <v>봉 (팩)</v>
          </cell>
        </row>
        <row r="178">
          <cell r="A178">
            <v>30003425</v>
          </cell>
          <cell r="B178" t="str">
            <v>두레)PACK-22-3호(용기)(부)</v>
          </cell>
          <cell r="C178">
            <v>1.38</v>
          </cell>
          <cell r="D178" t="str">
            <v>봉 (팩)</v>
          </cell>
        </row>
        <row r="179">
          <cell r="A179">
            <v>30003426</v>
          </cell>
          <cell r="B179" t="str">
            <v>두레)PACK-22-3호(내피)(부)</v>
          </cell>
          <cell r="C179">
            <v>0.69</v>
          </cell>
          <cell r="D179" t="str">
            <v>봉 (팩)</v>
          </cell>
        </row>
        <row r="180">
          <cell r="A180">
            <v>30003441</v>
          </cell>
          <cell r="B180" t="str">
            <v>정우)5찬도시락뚜껑C(부)</v>
          </cell>
          <cell r="C180">
            <v>36.24</v>
          </cell>
          <cell r="D180" t="str">
            <v>봉 (팩)</v>
          </cell>
        </row>
        <row r="181">
          <cell r="A181">
            <v>30003444</v>
          </cell>
          <cell r="B181" t="str">
            <v>거성)돈까스고추장제육(스)</v>
          </cell>
          <cell r="C181">
            <v>1.802</v>
          </cell>
          <cell r="D181" t="str">
            <v>롤</v>
          </cell>
        </row>
        <row r="182">
          <cell r="A182">
            <v>30003453</v>
          </cell>
          <cell r="B182" t="str">
            <v>상지)62파이소스컵(하)(부)</v>
          </cell>
          <cell r="C182">
            <v>18.66</v>
          </cell>
          <cell r="D182" t="str">
            <v>봉 (팩)</v>
          </cell>
        </row>
        <row r="183">
          <cell r="A183">
            <v>30003478</v>
          </cell>
          <cell r="B183" t="str">
            <v>상지)에드워드리(용기)(부)</v>
          </cell>
          <cell r="C183">
            <v>169</v>
          </cell>
          <cell r="D183" t="str">
            <v>봉 (팩)</v>
          </cell>
        </row>
        <row r="184">
          <cell r="A184">
            <v>30003479</v>
          </cell>
          <cell r="B184" t="str">
            <v>상지)에드워드리(내피)(부)</v>
          </cell>
          <cell r="C184">
            <v>169</v>
          </cell>
          <cell r="D184" t="str">
            <v>봉 (팩)</v>
          </cell>
        </row>
        <row r="185">
          <cell r="A185">
            <v>30003480</v>
          </cell>
          <cell r="B185" t="str">
            <v>상지)에드워드리(뚜껑)(부)</v>
          </cell>
          <cell r="C185">
            <v>169</v>
          </cell>
          <cell r="D185" t="str">
            <v>봉 (팩)</v>
          </cell>
        </row>
        <row r="186">
          <cell r="A186">
            <v>30003481</v>
          </cell>
          <cell r="B186" t="str">
            <v>에드워드리)통닭다리(스)</v>
          </cell>
          <cell r="C186">
            <v>169</v>
          </cell>
          <cell r="D186" t="str">
            <v>롤</v>
          </cell>
        </row>
        <row r="187">
          <cell r="A187">
            <v>30003482</v>
          </cell>
          <cell r="B187" t="str">
            <v>비닐장갑(소포장)(부)</v>
          </cell>
          <cell r="C187">
            <v>169</v>
          </cell>
          <cell r="D187" t="str">
            <v>박스</v>
          </cell>
        </row>
        <row r="188">
          <cell r="A188">
            <v>30003513</v>
          </cell>
          <cell r="B188" t="str">
            <v>흑백)파파베이컨리조또(스)</v>
          </cell>
          <cell r="C188">
            <v>0.35499999999999998</v>
          </cell>
          <cell r="D188" t="str">
            <v>롤</v>
          </cell>
        </row>
        <row r="189">
          <cell r="A189">
            <v>30003529</v>
          </cell>
          <cell r="B189" t="str">
            <v>골드)THE근본김밥(필)</v>
          </cell>
          <cell r="C189">
            <v>5.5759999999999996</v>
          </cell>
          <cell r="D189" t="str">
            <v>봉 (팩)</v>
          </cell>
        </row>
        <row r="190">
          <cell r="A190">
            <v>30003537</v>
          </cell>
          <cell r="B190" t="str">
            <v>씨아이텍)고강도스푼</v>
          </cell>
          <cell r="C190">
            <v>17.97</v>
          </cell>
          <cell r="D190" t="str">
            <v>봉 (팩)</v>
          </cell>
        </row>
        <row r="191">
          <cell r="A191">
            <v>30003538</v>
          </cell>
          <cell r="B191" t="str">
            <v>골드)더블치즈소시지김밥(필)</v>
          </cell>
          <cell r="C191">
            <v>3.766</v>
          </cell>
          <cell r="D191" t="str">
            <v>봉 (팩)</v>
          </cell>
        </row>
        <row r="192">
          <cell r="A192">
            <v>30003539</v>
          </cell>
          <cell r="B192" t="str">
            <v>이토추)왕돈까스김밥(필)</v>
          </cell>
          <cell r="C192">
            <v>4.1260000000000003</v>
          </cell>
          <cell r="D192" t="str">
            <v>봉 (팩)</v>
          </cell>
        </row>
        <row r="193">
          <cell r="A193">
            <v>30003540</v>
          </cell>
          <cell r="B193" t="str">
            <v>골드)불고기치즈김밥(필)</v>
          </cell>
          <cell r="C193">
            <v>3.9159999999999999</v>
          </cell>
          <cell r="D193" t="str">
            <v>봉 (팩)</v>
          </cell>
        </row>
        <row r="194">
          <cell r="A194">
            <v>30003542</v>
          </cell>
          <cell r="B194" t="str">
            <v>더큰)리챔참치마요(스)</v>
          </cell>
          <cell r="C194">
            <v>0.92700000000000005</v>
          </cell>
          <cell r="D194" t="str">
            <v>롤</v>
          </cell>
        </row>
        <row r="195">
          <cell r="A195">
            <v>30003551</v>
          </cell>
          <cell r="B195" t="str">
            <v>두레)900ml크라프트무지(부)</v>
          </cell>
          <cell r="C195">
            <v>0.52</v>
          </cell>
          <cell r="D195" t="str">
            <v>봉 (팩)</v>
          </cell>
        </row>
        <row r="196">
          <cell r="A196">
            <v>30003552</v>
          </cell>
          <cell r="B196" t="str">
            <v>두레)DRX-160뚜껑(부)</v>
          </cell>
          <cell r="C196">
            <v>0.52</v>
          </cell>
          <cell r="D196" t="str">
            <v>봉 (팩)</v>
          </cell>
        </row>
        <row r="197">
          <cell r="A197">
            <v>30003553</v>
          </cell>
          <cell r="B197" t="str">
            <v>두레)DRX-160덮밥(찬)(부)</v>
          </cell>
          <cell r="C197">
            <v>0.52</v>
          </cell>
          <cell r="D197" t="str">
            <v>봉 (팩)</v>
          </cell>
        </row>
        <row r="198">
          <cell r="A198">
            <v>30003554</v>
          </cell>
          <cell r="B198" t="str">
            <v>착한)마파두부덮밥(스)</v>
          </cell>
          <cell r="C198">
            <v>7.0000000000000001E-3</v>
          </cell>
          <cell r="D198" t="str">
            <v>롤</v>
          </cell>
        </row>
        <row r="199">
          <cell r="A199">
            <v>30003560</v>
          </cell>
          <cell r="B199" t="str">
            <v>종가)묵은지김치제육(스)</v>
          </cell>
          <cell r="C199">
            <v>0.72299999999999998</v>
          </cell>
          <cell r="D199" t="str">
            <v>롤</v>
          </cell>
        </row>
        <row r="200">
          <cell r="A200">
            <v>30003561</v>
          </cell>
          <cell r="B200" t="str">
            <v>더큰)스팸김치볶음밥(스)</v>
          </cell>
          <cell r="C200">
            <v>1.47</v>
          </cell>
          <cell r="D200" t="str">
            <v>롤</v>
          </cell>
        </row>
        <row r="201">
          <cell r="A201">
            <v>30003574</v>
          </cell>
          <cell r="B201" t="str">
            <v>종가)김치제육김밥(필)</v>
          </cell>
          <cell r="C201">
            <v>3.9460000000000002</v>
          </cell>
          <cell r="D201" t="str">
            <v>봉 (팩)</v>
          </cell>
        </row>
        <row r="202">
          <cell r="A202">
            <v>30003576</v>
          </cell>
          <cell r="B202" t="str">
            <v>착한)제육덮밥(스)</v>
          </cell>
          <cell r="C202">
            <v>7.0000000000000001E-3</v>
          </cell>
          <cell r="D202" t="str">
            <v>롤</v>
          </cell>
        </row>
        <row r="203">
          <cell r="A203">
            <v>30003577</v>
          </cell>
          <cell r="B203" t="str">
            <v>더큰)스팸계란볶음밥(스)</v>
          </cell>
          <cell r="C203">
            <v>1.151</v>
          </cell>
          <cell r="D203" t="str">
            <v>롤</v>
          </cell>
        </row>
        <row r="204">
          <cell r="A204">
            <v>30003578</v>
          </cell>
          <cell r="B204" t="str">
            <v>더큰)닭갈비깻잎쌈밥(스)</v>
          </cell>
          <cell r="C204">
            <v>0.7</v>
          </cell>
          <cell r="D204" t="str">
            <v>롤</v>
          </cell>
        </row>
        <row r="205">
          <cell r="A205">
            <v>30003581</v>
          </cell>
          <cell r="B205" t="str">
            <v>삼각)저당전주비빔(스)</v>
          </cell>
          <cell r="C205">
            <v>0.97299999999999998</v>
          </cell>
          <cell r="D205" t="str">
            <v>롤</v>
          </cell>
        </row>
        <row r="206">
          <cell r="A206">
            <v>30003590</v>
          </cell>
          <cell r="B206" t="str">
            <v>골드)마리오)트러플김밥(필)</v>
          </cell>
          <cell r="C206">
            <v>13.061999999999999</v>
          </cell>
          <cell r="D206" t="str">
            <v>봉 (팩)</v>
          </cell>
        </row>
        <row r="207">
          <cell r="A207">
            <v>30003591</v>
          </cell>
          <cell r="B207" t="str">
            <v>두레)베이킹컵(그린40)(부)</v>
          </cell>
          <cell r="C207">
            <v>1797</v>
          </cell>
          <cell r="D207" t="str">
            <v>개</v>
          </cell>
        </row>
        <row r="208">
          <cell r="A208">
            <v>30003592</v>
          </cell>
          <cell r="B208" t="str">
            <v>두레)5월도시락용기(PP/검정(부)</v>
          </cell>
          <cell r="C208">
            <v>1797</v>
          </cell>
          <cell r="D208" t="str">
            <v>개</v>
          </cell>
        </row>
        <row r="209">
          <cell r="A209">
            <v>30003593</v>
          </cell>
          <cell r="B209" t="str">
            <v>두레)5월도시락뚜껑(내열PET(부)</v>
          </cell>
          <cell r="C209">
            <v>1797</v>
          </cell>
          <cell r="D209" t="str">
            <v>개</v>
          </cell>
        </row>
        <row r="210">
          <cell r="A210">
            <v>30003594</v>
          </cell>
          <cell r="B210" t="str">
            <v>디에스피앤피)키캡(부)</v>
          </cell>
          <cell r="C210">
            <v>1797</v>
          </cell>
          <cell r="D210" t="str">
            <v>개</v>
          </cell>
        </row>
        <row r="211">
          <cell r="A211">
            <v>30003595</v>
          </cell>
          <cell r="B211" t="str">
            <v>이달의도시락5월(스)</v>
          </cell>
          <cell r="C211">
            <v>1797</v>
          </cell>
          <cell r="D211" t="str">
            <v>개</v>
          </cell>
        </row>
        <row r="212">
          <cell r="A212">
            <v>10301023</v>
          </cell>
          <cell r="B212" t="str">
            <v>참기름(1.8L)(원)</v>
          </cell>
          <cell r="C212">
            <v>30.064</v>
          </cell>
          <cell r="D212" t="str">
            <v>통</v>
          </cell>
        </row>
        <row r="213">
          <cell r="A213">
            <v>30000002</v>
          </cell>
          <cell r="B213" t="str">
            <v>정제수(원)</v>
          </cell>
          <cell r="C213">
            <v>5520.4750000000004</v>
          </cell>
          <cell r="D213" t="str">
            <v>Kg</v>
          </cell>
        </row>
        <row r="214">
          <cell r="A214">
            <v>30000006</v>
          </cell>
          <cell r="B214" t="str">
            <v>볶음참깨(원)</v>
          </cell>
          <cell r="C214">
            <v>38.753999999999998</v>
          </cell>
          <cell r="D214" t="str">
            <v>봉 (팩)</v>
          </cell>
        </row>
        <row r="215">
          <cell r="A215">
            <v>30000007</v>
          </cell>
          <cell r="B215" t="str">
            <v>참기름(16.5Kg)(원)</v>
          </cell>
          <cell r="C215">
            <v>1.226</v>
          </cell>
          <cell r="D215" t="str">
            <v>캔</v>
          </cell>
        </row>
        <row r="216">
          <cell r="A216">
            <v>30000075</v>
          </cell>
          <cell r="B216" t="str">
            <v>NS)혼다시(원)</v>
          </cell>
          <cell r="C216">
            <v>1.853</v>
          </cell>
          <cell r="D216" t="str">
            <v>봉 (팩)</v>
          </cell>
        </row>
        <row r="217">
          <cell r="A217">
            <v>30000093</v>
          </cell>
          <cell r="B217" t="str">
            <v>대상)쇠고기실속다시(원)</v>
          </cell>
          <cell r="C217">
            <v>6.6870000000000003</v>
          </cell>
          <cell r="D217" t="str">
            <v>봉 (팩)</v>
          </cell>
        </row>
        <row r="218">
          <cell r="A218">
            <v>30000389</v>
          </cell>
          <cell r="B218" t="str">
            <v>스팸(원)</v>
          </cell>
          <cell r="C218">
            <v>594.40599999999995</v>
          </cell>
          <cell r="D218" t="str">
            <v>캔</v>
          </cell>
        </row>
        <row r="219">
          <cell r="A219">
            <v>30001140</v>
          </cell>
          <cell r="B219" t="str">
            <v>대두유(원재료)</v>
          </cell>
          <cell r="C219">
            <v>14.627000000000001</v>
          </cell>
          <cell r="D219" t="str">
            <v>캔</v>
          </cell>
        </row>
        <row r="220">
          <cell r="A220">
            <v>30001141</v>
          </cell>
          <cell r="B220" t="str">
            <v>이우)중국산정제염(원)</v>
          </cell>
          <cell r="C220">
            <v>1.3120000000000001</v>
          </cell>
          <cell r="D220" t="str">
            <v>봉 (팩)</v>
          </cell>
        </row>
        <row r="221">
          <cell r="A221">
            <v>30001164</v>
          </cell>
          <cell r="B221" t="str">
            <v>고춧가루</v>
          </cell>
          <cell r="C221">
            <v>4.4909999999999997</v>
          </cell>
          <cell r="D221" t="str">
            <v>봉 (팩)</v>
          </cell>
        </row>
        <row r="222">
          <cell r="A222">
            <v>30001169</v>
          </cell>
          <cell r="B222" t="str">
            <v>NS)물엿(원)</v>
          </cell>
          <cell r="C222">
            <v>1.002</v>
          </cell>
          <cell r="D222" t="str">
            <v>통</v>
          </cell>
        </row>
        <row r="223">
          <cell r="A223">
            <v>30001277</v>
          </cell>
          <cell r="B223" t="str">
            <v>흑후추(원)</v>
          </cell>
          <cell r="C223">
            <v>2.5000000000000001E-2</v>
          </cell>
          <cell r="D223" t="str">
            <v>봉 (팩)</v>
          </cell>
        </row>
        <row r="224">
          <cell r="A224">
            <v>30001284</v>
          </cell>
          <cell r="B224" t="str">
            <v>이우)늘푸른할라피뇨랠리쉬(원)</v>
          </cell>
          <cell r="C224">
            <v>4.4400000000000004</v>
          </cell>
          <cell r="D224" t="str">
            <v>캔</v>
          </cell>
        </row>
        <row r="225">
          <cell r="A225">
            <v>30001285</v>
          </cell>
          <cell r="B225" t="str">
            <v>이우)스위트콘_태국산(원)</v>
          </cell>
          <cell r="C225">
            <v>1.3</v>
          </cell>
          <cell r="D225" t="str">
            <v>캔</v>
          </cell>
        </row>
        <row r="226">
          <cell r="A226">
            <v>30001407</v>
          </cell>
          <cell r="B226" t="str">
            <v>후레쉬오이피클(공용)</v>
          </cell>
          <cell r="C226">
            <v>10.891</v>
          </cell>
          <cell r="D226" t="str">
            <v>캔</v>
          </cell>
        </row>
        <row r="227">
          <cell r="A227">
            <v>30001472</v>
          </cell>
          <cell r="B227" t="str">
            <v>삼성웰)모아하우스머스타드(원)</v>
          </cell>
          <cell r="C227">
            <v>2.1259999999999999</v>
          </cell>
          <cell r="D227" t="str">
            <v>통</v>
          </cell>
        </row>
        <row r="228">
          <cell r="A228">
            <v>30001581</v>
          </cell>
          <cell r="B228" t="str">
            <v>토마토 케찹</v>
          </cell>
          <cell r="C228">
            <v>5.03</v>
          </cell>
          <cell r="D228" t="str">
            <v>봉 (팩)</v>
          </cell>
        </row>
        <row r="229">
          <cell r="A229">
            <v>30001710</v>
          </cell>
          <cell r="B229" t="str">
            <v>CJ)하얀설탕(원)</v>
          </cell>
          <cell r="C229">
            <v>7.7270000000000003</v>
          </cell>
          <cell r="D229" t="str">
            <v>봉 (팩)</v>
          </cell>
        </row>
        <row r="230">
          <cell r="A230">
            <v>30001713</v>
          </cell>
          <cell r="B230" t="str">
            <v>아워홈)치킨난방용마요(원)</v>
          </cell>
          <cell r="C230">
            <v>0.55300000000000005</v>
          </cell>
          <cell r="D230" t="str">
            <v>봉 (팩)</v>
          </cell>
        </row>
        <row r="231">
          <cell r="A231">
            <v>30001796</v>
          </cell>
          <cell r="B231" t="str">
            <v>이우)건국연유(원)</v>
          </cell>
          <cell r="C231">
            <v>1.444</v>
          </cell>
          <cell r="D231" t="str">
            <v>봉 (팩)</v>
          </cell>
        </row>
        <row r="232">
          <cell r="A232">
            <v>30001800</v>
          </cell>
          <cell r="B232" t="str">
            <v>다인소재)유니믹스HG(원)</v>
          </cell>
          <cell r="C232">
            <v>0.72499999999999998</v>
          </cell>
          <cell r="D232" t="str">
            <v>봉 (팩)</v>
          </cell>
        </row>
        <row r="233">
          <cell r="A233">
            <v>30001807</v>
          </cell>
          <cell r="B233" t="str">
            <v>이우)미원(원)</v>
          </cell>
          <cell r="C233">
            <v>2.1760000000000002</v>
          </cell>
          <cell r="D233" t="str">
            <v>봉 (팩)</v>
          </cell>
        </row>
        <row r="234">
          <cell r="A234">
            <v>30001887</v>
          </cell>
          <cell r="B234" t="str">
            <v>NS)맛소금(원)</v>
          </cell>
          <cell r="C234">
            <v>0.32700000000000001</v>
          </cell>
          <cell r="D234" t="str">
            <v>봉 (팩)</v>
          </cell>
        </row>
        <row r="235">
          <cell r="A235">
            <v>30001937</v>
          </cell>
          <cell r="B235" t="str">
            <v>풍림)난황파우더(원)</v>
          </cell>
          <cell r="C235">
            <v>8.0000000000000002E-3</v>
          </cell>
          <cell r="D235" t="str">
            <v>봉 (팩)</v>
          </cell>
        </row>
        <row r="236">
          <cell r="A236">
            <v>30001938</v>
          </cell>
          <cell r="B236" t="str">
            <v>몽고진간장</v>
          </cell>
          <cell r="C236">
            <v>3.5920000000000001</v>
          </cell>
          <cell r="D236" t="str">
            <v>통</v>
          </cell>
        </row>
        <row r="237">
          <cell r="A237">
            <v>30002439</v>
          </cell>
          <cell r="B237" t="str">
            <v>NS)고추기름(원)</v>
          </cell>
          <cell r="C237">
            <v>2.145</v>
          </cell>
          <cell r="D237" t="str">
            <v>통</v>
          </cell>
        </row>
        <row r="238">
          <cell r="A238">
            <v>30002511</v>
          </cell>
          <cell r="B238" t="str">
            <v>한성)고미트햄(원)</v>
          </cell>
          <cell r="C238">
            <v>90.165999999999997</v>
          </cell>
          <cell r="D238" t="str">
            <v>캔</v>
          </cell>
        </row>
        <row r="239">
          <cell r="A239">
            <v>30002524</v>
          </cell>
          <cell r="B239" t="str">
            <v>다인소재)유니믹스N2(원)</v>
          </cell>
          <cell r="C239">
            <v>0.39800000000000002</v>
          </cell>
          <cell r="D239" t="str">
            <v>봉 (팩)</v>
          </cell>
        </row>
        <row r="240">
          <cell r="A240">
            <v>30002547</v>
          </cell>
          <cell r="B240" t="str">
            <v>이우)신슈단무지(꼬들)(원)</v>
          </cell>
          <cell r="C240">
            <v>60.146999999999998</v>
          </cell>
          <cell r="D240" t="str">
            <v>봉 (팩)</v>
          </cell>
        </row>
        <row r="241">
          <cell r="A241">
            <v>30002628</v>
          </cell>
          <cell r="B241" t="str">
            <v>크러쉬드레드페퍼(원)</v>
          </cell>
          <cell r="C241">
            <v>0.45600000000000002</v>
          </cell>
          <cell r="D241" t="str">
            <v>통</v>
          </cell>
        </row>
        <row r="242">
          <cell r="A242">
            <v>30002629</v>
          </cell>
          <cell r="B242" t="str">
            <v>그래도푸드)노란단무지13mm(원)</v>
          </cell>
          <cell r="C242">
            <v>129.35400000000001</v>
          </cell>
          <cell r="D242" t="str">
            <v>봉 (팩)</v>
          </cell>
        </row>
        <row r="243">
          <cell r="A243">
            <v>30002742</v>
          </cell>
          <cell r="B243" t="str">
            <v>롯데웰푸드)GS마요네즈(원)</v>
          </cell>
          <cell r="C243">
            <v>4.33</v>
          </cell>
          <cell r="D243" t="str">
            <v>봉 (팩)</v>
          </cell>
        </row>
        <row r="244">
          <cell r="A244">
            <v>30002759</v>
          </cell>
          <cell r="B244" t="str">
            <v>성경재래도시락김(소포장)(원)</v>
          </cell>
          <cell r="C244">
            <v>362.4</v>
          </cell>
          <cell r="D244" t="str">
            <v>봉 (팩)</v>
          </cell>
        </row>
        <row r="245">
          <cell r="A245">
            <v>30002766</v>
          </cell>
          <cell r="B245" t="str">
            <v>일가집)채단무지(원)</v>
          </cell>
          <cell r="C245">
            <v>14.010999999999999</v>
          </cell>
          <cell r="D245" t="str">
            <v>봉 (팩)</v>
          </cell>
        </row>
        <row r="246">
          <cell r="A246">
            <v>30002769</v>
          </cell>
          <cell r="B246" t="str">
            <v>푸드머스)바릴라스파게티(원)</v>
          </cell>
          <cell r="C246">
            <v>3.6829999999999998</v>
          </cell>
          <cell r="D246" t="str">
            <v>봉 (팩)</v>
          </cell>
        </row>
        <row r="247">
          <cell r="A247">
            <v>30002793</v>
          </cell>
          <cell r="B247" t="str">
            <v>NS)리챔오리지널(원)</v>
          </cell>
          <cell r="C247">
            <v>154.375</v>
          </cell>
          <cell r="D247" t="str">
            <v>캔</v>
          </cell>
        </row>
        <row r="248">
          <cell r="A248">
            <v>30002883</v>
          </cell>
          <cell r="B248" t="str">
            <v>청학)볶음흑임자(원)</v>
          </cell>
          <cell r="C248">
            <v>9.6000000000000002E-2</v>
          </cell>
          <cell r="D248" t="str">
            <v>봉 (팩)</v>
          </cell>
        </row>
        <row r="249">
          <cell r="A249">
            <v>30002948</v>
          </cell>
          <cell r="B249" t="str">
            <v>지오씨팜)할라피뇨(3kg)(원)</v>
          </cell>
          <cell r="C249">
            <v>11.093</v>
          </cell>
          <cell r="D249" t="str">
            <v>캔</v>
          </cell>
        </row>
        <row r="250">
          <cell r="A250">
            <v>30002970</v>
          </cell>
          <cell r="B250" t="str">
            <v>청정원)돼지불고기양념(원)</v>
          </cell>
          <cell r="C250">
            <v>7.34</v>
          </cell>
          <cell r="D250" t="str">
            <v>통</v>
          </cell>
        </row>
        <row r="251">
          <cell r="A251">
            <v>30003006</v>
          </cell>
          <cell r="B251" t="str">
            <v>이엔)알밥단무지(원)</v>
          </cell>
          <cell r="C251">
            <v>2.8010000000000002</v>
          </cell>
          <cell r="D251" t="str">
            <v>봉 (팩)</v>
          </cell>
        </row>
        <row r="252">
          <cell r="A252">
            <v>30003009</v>
          </cell>
          <cell r="B252" t="str">
            <v>평화)햅쌀(500kg/포)</v>
          </cell>
          <cell r="C252">
            <v>3848.4209999999998</v>
          </cell>
          <cell r="D252" t="str">
            <v>Kg</v>
          </cell>
        </row>
        <row r="253">
          <cell r="A253">
            <v>30003061</v>
          </cell>
          <cell r="B253" t="str">
            <v>성경자반(원)</v>
          </cell>
          <cell r="C253">
            <v>11.428000000000001</v>
          </cell>
          <cell r="D253" t="str">
            <v>봉 (팩)</v>
          </cell>
        </row>
        <row r="254">
          <cell r="A254">
            <v>30003066</v>
          </cell>
          <cell r="B254" t="str">
            <v>이우)카라멜소스(원)</v>
          </cell>
          <cell r="C254">
            <v>1.742</v>
          </cell>
          <cell r="D254" t="str">
            <v>통</v>
          </cell>
        </row>
        <row r="255">
          <cell r="A255">
            <v>30003115</v>
          </cell>
          <cell r="B255" t="str">
            <v>더원씨푸드)점보롤김</v>
          </cell>
          <cell r="C255">
            <v>26.405000000000001</v>
          </cell>
          <cell r="D255" t="str">
            <v>롤</v>
          </cell>
        </row>
        <row r="256">
          <cell r="A256">
            <v>30003137</v>
          </cell>
          <cell r="B256" t="str">
            <v>풀]솔리드 투명 삼각김(원)</v>
          </cell>
          <cell r="C256">
            <v>23.690999999999999</v>
          </cell>
          <cell r="D256" t="str">
            <v>봉 (팩)</v>
          </cell>
        </row>
        <row r="257">
          <cell r="A257">
            <v>30003148</v>
          </cell>
          <cell r="B257" t="str">
            <v>삼각김밥용김 2절 100매</v>
          </cell>
          <cell r="C257">
            <v>73.900000000000006</v>
          </cell>
          <cell r="D257" t="str">
            <v>봉 (팩)</v>
          </cell>
        </row>
        <row r="258">
          <cell r="A258">
            <v>30003155</v>
          </cell>
          <cell r="B258" t="str">
            <v>삼각김(무조미/100매)</v>
          </cell>
          <cell r="C258">
            <v>22.202000000000002</v>
          </cell>
          <cell r="D258" t="str">
            <v>봉 (팩)</v>
          </cell>
        </row>
        <row r="259">
          <cell r="A259">
            <v>30003168</v>
          </cell>
          <cell r="B259" t="str">
            <v>만전식품)3절김(원)</v>
          </cell>
          <cell r="C259">
            <v>3.254</v>
          </cell>
          <cell r="D259" t="str">
            <v>봉 (팩)</v>
          </cell>
        </row>
        <row r="260">
          <cell r="A260">
            <v>30003264</v>
          </cell>
          <cell r="B260" t="str">
            <v>더원씨푸드)롤김</v>
          </cell>
          <cell r="C260">
            <v>1.276</v>
          </cell>
          <cell r="D260" t="str">
            <v>롤</v>
          </cell>
        </row>
        <row r="261">
          <cell r="A261">
            <v>30003276</v>
          </cell>
          <cell r="B261" t="str">
            <v>오뚜기)이금기치킨파우더(원)</v>
          </cell>
          <cell r="C261">
            <v>2.1999999999999999E-2</v>
          </cell>
          <cell r="D261" t="str">
            <v>봉 (팩)</v>
          </cell>
        </row>
        <row r="262">
          <cell r="A262">
            <v>30003296</v>
          </cell>
          <cell r="B262" t="str">
            <v>오뚜기)허니머스타드드레싱(원)</v>
          </cell>
          <cell r="C262">
            <v>2.3199999999999998</v>
          </cell>
          <cell r="D262" t="str">
            <v>봉 (팩)</v>
          </cell>
        </row>
        <row r="263">
          <cell r="A263">
            <v>30003322</v>
          </cell>
          <cell r="B263" t="str">
            <v>이우)크리스피어니언(원)</v>
          </cell>
          <cell r="C263">
            <v>0.84499999999999997</v>
          </cell>
          <cell r="D263" t="str">
            <v>봉 (팩)</v>
          </cell>
        </row>
        <row r="264">
          <cell r="A264">
            <v>30003323</v>
          </cell>
          <cell r="B264" t="str">
            <v>이우)선인)단풍당시럽(원)</v>
          </cell>
          <cell r="C264">
            <v>0.88500000000000001</v>
          </cell>
          <cell r="D264" t="str">
            <v>봉 (팩)</v>
          </cell>
        </row>
        <row r="265">
          <cell r="A265">
            <v>30003340</v>
          </cell>
          <cell r="B265" t="str">
            <v>청정원)매운갈비양념(원)</v>
          </cell>
          <cell r="C265">
            <v>7.133</v>
          </cell>
          <cell r="D265" t="str">
            <v>통</v>
          </cell>
        </row>
        <row r="266">
          <cell r="A266">
            <v>30003365</v>
          </cell>
          <cell r="B266" t="str">
            <v>오뚜기)이금기팬더굴소스(원)</v>
          </cell>
          <cell r="C266">
            <v>0.34300000000000003</v>
          </cell>
          <cell r="D266" t="str">
            <v>봉 (팩)</v>
          </cell>
        </row>
        <row r="267">
          <cell r="A267">
            <v>30003392</v>
          </cell>
          <cell r="B267" t="str">
            <v>CJ)백설돼지갈비양념(원)</v>
          </cell>
          <cell r="C267">
            <v>1.032</v>
          </cell>
          <cell r="D267" t="str">
            <v>통</v>
          </cell>
        </row>
        <row r="268">
          <cell r="A268">
            <v>30003399</v>
          </cell>
          <cell r="B268" t="str">
            <v>청학)들기름(원)</v>
          </cell>
          <cell r="C268">
            <v>1.575</v>
          </cell>
          <cell r="D268" t="str">
            <v>통</v>
          </cell>
        </row>
        <row r="269">
          <cell r="A269">
            <v>30003414</v>
          </cell>
          <cell r="B269" t="str">
            <v>농가참기름골드(소포장)(원)</v>
          </cell>
          <cell r="C269">
            <v>69</v>
          </cell>
          <cell r="D269" t="str">
            <v>개</v>
          </cell>
        </row>
        <row r="270">
          <cell r="A270">
            <v>30003419</v>
          </cell>
          <cell r="B270" t="str">
            <v>사조참치(원)</v>
          </cell>
          <cell r="C270">
            <v>42.027000000000001</v>
          </cell>
          <cell r="D270" t="str">
            <v>봉 (팩)</v>
          </cell>
        </row>
        <row r="271">
          <cell r="A271">
            <v>30003421</v>
          </cell>
          <cell r="B271" t="str">
            <v>구운김밥용김(반절김)</v>
          </cell>
          <cell r="C271">
            <v>53.506999999999998</v>
          </cell>
          <cell r="D271" t="str">
            <v>봉 (팩)</v>
          </cell>
        </row>
        <row r="272">
          <cell r="A272">
            <v>30003476</v>
          </cell>
          <cell r="B272" t="str">
            <v>이너피스)표고버섯캔(원)</v>
          </cell>
          <cell r="C272">
            <v>7.665</v>
          </cell>
          <cell r="D272" t="str">
            <v>캔</v>
          </cell>
        </row>
        <row r="273">
          <cell r="A273">
            <v>30003528</v>
          </cell>
          <cell r="B273" t="str">
            <v>태원)불맛향미유(원)</v>
          </cell>
          <cell r="C273">
            <v>0.39</v>
          </cell>
          <cell r="D273" t="str">
            <v>봉 (팩)</v>
          </cell>
        </row>
        <row r="274">
          <cell r="A274">
            <v>30003541</v>
          </cell>
          <cell r="B274" t="str">
            <v>진양)점보삼각김밥김(투명)</v>
          </cell>
          <cell r="C274">
            <v>226.77</v>
          </cell>
          <cell r="D274" t="str">
            <v>봉 (팩)</v>
          </cell>
        </row>
        <row r="275">
          <cell r="A275">
            <v>30003544</v>
          </cell>
          <cell r="B275" t="str">
            <v>오뚜기)GS마요네즈(원)</v>
          </cell>
          <cell r="C275">
            <v>13.37</v>
          </cell>
          <cell r="D275" t="str">
            <v>봉 (팩)</v>
          </cell>
        </row>
        <row r="276">
          <cell r="A276">
            <v>30003545</v>
          </cell>
          <cell r="B276" t="str">
            <v>동원)참치다시(원)</v>
          </cell>
          <cell r="C276">
            <v>0.34399999999999997</v>
          </cell>
          <cell r="D276" t="str">
            <v>봉 (팩)</v>
          </cell>
        </row>
        <row r="277">
          <cell r="A277">
            <v>30003546</v>
          </cell>
          <cell r="B277" t="str">
            <v>감자전분(원)</v>
          </cell>
          <cell r="C277">
            <v>4.8000000000000001E-2</v>
          </cell>
          <cell r="D277" t="str">
            <v>봉 (팩)</v>
          </cell>
        </row>
        <row r="278">
          <cell r="A278">
            <v>30003547</v>
          </cell>
          <cell r="B278" t="str">
            <v>이너피스)양송이버섯캔(원)</v>
          </cell>
          <cell r="C278">
            <v>5.6000000000000001E-2</v>
          </cell>
          <cell r="D278" t="str">
            <v>캔</v>
          </cell>
        </row>
        <row r="279">
          <cell r="A279">
            <v>30003582</v>
          </cell>
          <cell r="B279" t="str">
            <v>세천팜)김밥용단무지(원)</v>
          </cell>
          <cell r="C279">
            <v>78.864000000000004</v>
          </cell>
          <cell r="D279" t="str">
            <v>박스</v>
          </cell>
        </row>
        <row r="280">
          <cell r="A280">
            <v>30003589</v>
          </cell>
          <cell r="B280" t="str">
            <v>블랙트러플소스캔(원)</v>
          </cell>
          <cell r="C280">
            <v>6.35</v>
          </cell>
          <cell r="D280" t="str">
            <v>캔</v>
          </cell>
        </row>
        <row r="281">
          <cell r="A281">
            <v>30002327</v>
          </cell>
          <cell r="B281" t="str">
            <v>흑미</v>
          </cell>
          <cell r="C281">
            <v>2.4159999999999999</v>
          </cell>
          <cell r="D281" t="str">
            <v>봉 (팩)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품목코드</v>
          </cell>
          <cell r="B1" t="str">
            <v>품목명칭 1</v>
          </cell>
          <cell r="C1" t="str">
            <v>지시량</v>
          </cell>
          <cell r="D1" t="str">
            <v>단위</v>
          </cell>
        </row>
        <row r="2">
          <cell r="A2">
            <v>30002630</v>
          </cell>
          <cell r="B2" t="str">
            <v>빵가루(원)</v>
          </cell>
          <cell r="C2">
            <v>0.32800000000000001</v>
          </cell>
          <cell r="D2" t="str">
            <v>Kg</v>
          </cell>
        </row>
        <row r="3">
          <cell r="A3">
            <v>30003320</v>
          </cell>
          <cell r="B3" t="str">
            <v>삼립)핫도그번(원)</v>
          </cell>
          <cell r="C3">
            <v>243</v>
          </cell>
          <cell r="D3" t="str">
            <v>개</v>
          </cell>
        </row>
        <row r="4">
          <cell r="A4">
            <v>20001437</v>
          </cell>
          <cell r="B4" t="str">
            <v>선진)냉동비프불고기토핑(원)</v>
          </cell>
          <cell r="C4">
            <v>7.9939999999999998</v>
          </cell>
          <cell r="D4" t="str">
            <v>봉 (팩)</v>
          </cell>
        </row>
        <row r="5">
          <cell r="A5">
            <v>20001843</v>
          </cell>
          <cell r="B5" t="str">
            <v>푸른원)냉동시금치(원)</v>
          </cell>
          <cell r="C5">
            <v>170.328</v>
          </cell>
          <cell r="D5" t="str">
            <v>봉 (팩)</v>
          </cell>
        </row>
        <row r="6">
          <cell r="A6">
            <v>20194894</v>
          </cell>
          <cell r="B6" t="str">
            <v>이우)왕닭다리(원)</v>
          </cell>
          <cell r="C6">
            <v>5</v>
          </cell>
          <cell r="D6" t="str">
            <v>봉 (팩)</v>
          </cell>
        </row>
        <row r="7">
          <cell r="A7">
            <v>30000023</v>
          </cell>
          <cell r="B7" t="str">
            <v>풍림)완숙계란후라이</v>
          </cell>
          <cell r="C7">
            <v>35.424999999999997</v>
          </cell>
          <cell r="D7" t="str">
            <v>봉 (팩)</v>
          </cell>
        </row>
        <row r="8">
          <cell r="A8">
            <v>30001086</v>
          </cell>
          <cell r="B8" t="str">
            <v>푸른원)냉동혼합야채4종(원)</v>
          </cell>
          <cell r="C8">
            <v>8.6389999999999993</v>
          </cell>
          <cell r="D8" t="str">
            <v>봉 (팩)</v>
          </cell>
        </row>
        <row r="9">
          <cell r="A9">
            <v>30001145</v>
          </cell>
          <cell r="B9" t="str">
            <v>냉동다진마늘(푸른)(원)</v>
          </cell>
          <cell r="C9">
            <v>11.436</v>
          </cell>
          <cell r="D9" t="str">
            <v>봉 (팩)</v>
          </cell>
        </row>
        <row r="10">
          <cell r="A10">
            <v>30001804</v>
          </cell>
          <cell r="B10" t="str">
            <v>아워홈)70미니등심돈까_15개(원)</v>
          </cell>
          <cell r="C10">
            <v>220.96700000000001</v>
          </cell>
          <cell r="D10" t="str">
            <v>봉 (팩)</v>
          </cell>
        </row>
        <row r="11">
          <cell r="A11">
            <v>30002098</v>
          </cell>
          <cell r="B11" t="str">
            <v>나트륨줄인가라아게(원)</v>
          </cell>
          <cell r="C11">
            <v>117.88</v>
          </cell>
          <cell r="D11" t="str">
            <v>봉 (팩)</v>
          </cell>
        </row>
        <row r="12">
          <cell r="A12">
            <v>30002109</v>
          </cell>
          <cell r="B12" t="str">
            <v>풍림)스크램블드에그(원)</v>
          </cell>
          <cell r="C12">
            <v>32.880000000000003</v>
          </cell>
          <cell r="D12" t="str">
            <v>봉 (팩)</v>
          </cell>
        </row>
        <row r="13">
          <cell r="A13">
            <v>30002283</v>
          </cell>
          <cell r="B13" t="str">
            <v>푸른원)냉동알마늘(원)</v>
          </cell>
          <cell r="C13">
            <v>11.247</v>
          </cell>
          <cell r="D13" t="str">
            <v>봉 (팩)</v>
          </cell>
        </row>
        <row r="14">
          <cell r="A14">
            <v>30002324</v>
          </cell>
          <cell r="B14" t="str">
            <v>대상)반숙계란후라이_냉동(원)</v>
          </cell>
          <cell r="C14">
            <v>102.35</v>
          </cell>
          <cell r="D14" t="str">
            <v>봉 (팩)</v>
          </cell>
        </row>
        <row r="15">
          <cell r="A15">
            <v>30002522</v>
          </cell>
          <cell r="B15" t="str">
            <v>대상)고추장돼지불고기토핑(원)</v>
          </cell>
          <cell r="C15">
            <v>20.334</v>
          </cell>
          <cell r="D15" t="str">
            <v>봉 (팩)</v>
          </cell>
        </row>
        <row r="16">
          <cell r="A16">
            <v>30002526</v>
          </cell>
          <cell r="B16" t="str">
            <v>조흥)엔젤헤어치즈MC55(원)</v>
          </cell>
          <cell r="C16">
            <v>9.5000000000000001E-2</v>
          </cell>
          <cell r="D16" t="str">
            <v>봉 (팩)</v>
          </cell>
        </row>
        <row r="17">
          <cell r="A17">
            <v>30002549</v>
          </cell>
          <cell r="B17" t="str">
            <v>한돈프리미엄돈카츠(원)</v>
          </cell>
          <cell r="C17">
            <v>130.05000000000001</v>
          </cell>
          <cell r="D17" t="str">
            <v>봉 (팩)</v>
          </cell>
        </row>
        <row r="18">
          <cell r="A18">
            <v>30002655</v>
          </cell>
          <cell r="B18" t="str">
            <v>전지베이컨(봉당50장)(원)</v>
          </cell>
          <cell r="C18">
            <v>18.216000000000001</v>
          </cell>
          <cell r="D18" t="str">
            <v>봉 (팩)</v>
          </cell>
        </row>
        <row r="19">
          <cell r="A19">
            <v>30002747</v>
          </cell>
          <cell r="B19" t="str">
            <v>대상)간장돼지불고기(원)</v>
          </cell>
          <cell r="C19">
            <v>28.411000000000001</v>
          </cell>
          <cell r="D19" t="str">
            <v>봉 (팩)</v>
          </cell>
        </row>
        <row r="20">
          <cell r="A20">
            <v>30002748</v>
          </cell>
          <cell r="B20" t="str">
            <v>대상)고추장돼지불고기(원)</v>
          </cell>
          <cell r="C20">
            <v>123.95399999999999</v>
          </cell>
          <cell r="D20" t="str">
            <v>봉 (팩)</v>
          </cell>
        </row>
        <row r="21">
          <cell r="A21">
            <v>30002893</v>
          </cell>
          <cell r="B21" t="str">
            <v>청정원)떡갈비_65개(원)</v>
          </cell>
          <cell r="C21">
            <v>19.440999999999999</v>
          </cell>
          <cell r="D21" t="str">
            <v>봉 (팩)</v>
          </cell>
        </row>
        <row r="22">
          <cell r="A22">
            <v>30002894</v>
          </cell>
          <cell r="B22" t="str">
            <v>크레잇)계란동그랑땡(46개)(원)</v>
          </cell>
          <cell r="C22">
            <v>27.47</v>
          </cell>
          <cell r="D22" t="str">
            <v>봉 (팩)</v>
          </cell>
        </row>
        <row r="23">
          <cell r="A23">
            <v>30002895</v>
          </cell>
          <cell r="B23" t="str">
            <v>대상)매콤한양념닭갈비(원)</v>
          </cell>
          <cell r="C23">
            <v>33.424999999999997</v>
          </cell>
          <cell r="D23" t="str">
            <v>봉 (팩)</v>
          </cell>
        </row>
        <row r="24">
          <cell r="A24">
            <v>30002949</v>
          </cell>
          <cell r="B24" t="str">
            <v>청학)냉동대파슬라이스(원)</v>
          </cell>
          <cell r="C24">
            <v>6.05</v>
          </cell>
          <cell r="D24" t="str">
            <v>봉 (팩)</v>
          </cell>
        </row>
        <row r="25">
          <cell r="A25">
            <v>30002950</v>
          </cell>
          <cell r="B25" t="str">
            <v>선진)매콤오징어(원)</v>
          </cell>
          <cell r="C25">
            <v>16.739000000000001</v>
          </cell>
          <cell r="D25" t="str">
            <v>봉 (팩)</v>
          </cell>
        </row>
        <row r="26">
          <cell r="A26">
            <v>30002951</v>
          </cell>
          <cell r="B26" t="str">
            <v>선진)매콤제육(원)</v>
          </cell>
          <cell r="C26">
            <v>48.305999999999997</v>
          </cell>
          <cell r="D26" t="str">
            <v>봉 (팩)</v>
          </cell>
        </row>
        <row r="27">
          <cell r="A27">
            <v>30002987</v>
          </cell>
          <cell r="B27" t="str">
            <v>등심돈까스140(10개)(원)</v>
          </cell>
          <cell r="C27">
            <v>101.9</v>
          </cell>
          <cell r="D27" t="str">
            <v>봉 (팩)</v>
          </cell>
        </row>
        <row r="28">
          <cell r="A28">
            <v>30002988</v>
          </cell>
          <cell r="B28" t="str">
            <v>선진)미트볼골드(봉당90개)(원)</v>
          </cell>
          <cell r="C28">
            <v>11.323</v>
          </cell>
          <cell r="D28" t="str">
            <v>봉 (팩)</v>
          </cell>
        </row>
        <row r="29">
          <cell r="A29">
            <v>30003018</v>
          </cell>
          <cell r="B29" t="str">
            <v>동원)YES생선까스(20개)(원)</v>
          </cell>
          <cell r="C29">
            <v>35.75</v>
          </cell>
          <cell r="D29" t="str">
            <v>봉 (팩)</v>
          </cell>
        </row>
        <row r="30">
          <cell r="A30">
            <v>30003072</v>
          </cell>
          <cell r="B30" t="str">
            <v>크레잇)꼬마돈카츠(95개)(원)</v>
          </cell>
          <cell r="C30">
            <v>52.134999999999998</v>
          </cell>
          <cell r="D30" t="str">
            <v>봉 (팩)</v>
          </cell>
        </row>
        <row r="31">
          <cell r="A31">
            <v>30003285</v>
          </cell>
          <cell r="B31" t="str">
            <v>아워홈)미니사각어묵(원)</v>
          </cell>
          <cell r="C31">
            <v>69.885999999999996</v>
          </cell>
          <cell r="D31" t="str">
            <v>봉 (팩)</v>
          </cell>
        </row>
        <row r="32">
          <cell r="A32">
            <v>30003287</v>
          </cell>
          <cell r="B32" t="str">
            <v>G세블락프랑크(케이싱(20개(원)</v>
          </cell>
          <cell r="C32">
            <v>12.15</v>
          </cell>
          <cell r="D32" t="str">
            <v>봉 (팩)</v>
          </cell>
        </row>
        <row r="33">
          <cell r="A33">
            <v>30003294</v>
          </cell>
          <cell r="B33" t="str">
            <v>오래)매콤고추장제육불고기(원)</v>
          </cell>
          <cell r="C33">
            <v>13.695</v>
          </cell>
          <cell r="D33" t="str">
            <v>봉 (팩)</v>
          </cell>
        </row>
        <row r="34">
          <cell r="A34">
            <v>30003295</v>
          </cell>
          <cell r="B34" t="str">
            <v>선진)혜자토네이도소시지(원)</v>
          </cell>
          <cell r="C34">
            <v>60.100999999999999</v>
          </cell>
          <cell r="D34" t="str">
            <v>봉 (팩)</v>
          </cell>
        </row>
        <row r="35">
          <cell r="A35">
            <v>30003297</v>
          </cell>
          <cell r="B35" t="str">
            <v>국일)더잘군불향가득츠쿠네(원)</v>
          </cell>
          <cell r="C35">
            <v>21.035</v>
          </cell>
          <cell r="D35" t="str">
            <v>봉 (팩)</v>
          </cell>
        </row>
        <row r="36">
          <cell r="A36">
            <v>30003364</v>
          </cell>
          <cell r="B36" t="str">
            <v>아워홈)치킨스테이크(원)</v>
          </cell>
          <cell r="C36">
            <v>35.058999999999997</v>
          </cell>
          <cell r="D36" t="str">
            <v>봉 (팩)</v>
          </cell>
        </row>
        <row r="37">
          <cell r="A37">
            <v>30003391</v>
          </cell>
          <cell r="B37" t="str">
            <v>CJ)크레잇간장돼지불고기(원)</v>
          </cell>
          <cell r="C37">
            <v>35.274999999999999</v>
          </cell>
          <cell r="D37" t="str">
            <v>봉 (팩)</v>
          </cell>
        </row>
        <row r="38">
          <cell r="A38">
            <v>30003393</v>
          </cell>
          <cell r="B38" t="str">
            <v>현대그린푸드)냉동열무나물(원)</v>
          </cell>
          <cell r="C38">
            <v>35.49</v>
          </cell>
          <cell r="D38" t="str">
            <v>봉 (팩)</v>
          </cell>
        </row>
        <row r="39">
          <cell r="A39">
            <v>30003415</v>
          </cell>
          <cell r="B39" t="str">
            <v>대상)매운마늘맛불고기(원)</v>
          </cell>
          <cell r="C39">
            <v>1.7869999999999999</v>
          </cell>
          <cell r="D39" t="str">
            <v>봉 (팩)</v>
          </cell>
        </row>
        <row r="40">
          <cell r="A40">
            <v>30003438</v>
          </cell>
          <cell r="B40" t="str">
            <v>아워홈)연탄구이맛제육(원)</v>
          </cell>
          <cell r="C40">
            <v>47.487000000000002</v>
          </cell>
          <cell r="D40" t="str">
            <v>봉 (팩)</v>
          </cell>
        </row>
        <row r="41">
          <cell r="A41">
            <v>30003440</v>
          </cell>
          <cell r="B41" t="str">
            <v>선진)찌개용어슷후랑크(원)</v>
          </cell>
          <cell r="C41">
            <v>28.725000000000001</v>
          </cell>
          <cell r="D41" t="str">
            <v>봉 (팩)</v>
          </cell>
        </row>
        <row r="42">
          <cell r="A42">
            <v>30003442</v>
          </cell>
          <cell r="B42" t="str">
            <v>현대)건새우마늘쫑볶음(원)</v>
          </cell>
          <cell r="C42">
            <v>39.479999999999997</v>
          </cell>
          <cell r="D42" t="str">
            <v>봉 (팩)</v>
          </cell>
        </row>
        <row r="43">
          <cell r="A43">
            <v>30003464</v>
          </cell>
          <cell r="B43" t="str">
            <v>야미)계란옷입은소시지전(원)</v>
          </cell>
          <cell r="C43">
            <v>18.404</v>
          </cell>
          <cell r="D43" t="str">
            <v>봉 (팩)</v>
          </cell>
        </row>
        <row r="44">
          <cell r="A44">
            <v>30003466</v>
          </cell>
          <cell r="B44" t="str">
            <v>선진)매콤한춘천식닭갈비(원)</v>
          </cell>
          <cell r="C44">
            <v>28.513000000000002</v>
          </cell>
          <cell r="D44" t="str">
            <v>봉 (팩)</v>
          </cell>
        </row>
        <row r="45">
          <cell r="A45">
            <v>30003470</v>
          </cell>
          <cell r="B45" t="str">
            <v>냉동삶은감자(2cm다이스)(원)</v>
          </cell>
          <cell r="C45">
            <v>12.215</v>
          </cell>
          <cell r="D45" t="str">
            <v>봉 (팩)</v>
          </cell>
        </row>
        <row r="46">
          <cell r="A46">
            <v>30003472</v>
          </cell>
          <cell r="B46" t="str">
            <v>닭가슴살치킨텐더스틱(원)</v>
          </cell>
          <cell r="C46">
            <v>26.094999999999999</v>
          </cell>
          <cell r="D46" t="str">
            <v>봉 (팩)</v>
          </cell>
        </row>
        <row r="47">
          <cell r="A47">
            <v>30003487</v>
          </cell>
          <cell r="B47" t="str">
            <v>선진)두부두루치기용다짐육(원)</v>
          </cell>
          <cell r="C47">
            <v>0.21199999999999999</v>
          </cell>
          <cell r="D47" t="str">
            <v>봉 (팩)</v>
          </cell>
        </row>
        <row r="48">
          <cell r="A48">
            <v>30003491</v>
          </cell>
          <cell r="B48" t="str">
            <v>대상)칼집돼지갈비맛불고기(원)</v>
          </cell>
          <cell r="C48">
            <v>35.034999999999997</v>
          </cell>
          <cell r="D48" t="str">
            <v>봉 (팩)</v>
          </cell>
        </row>
        <row r="49">
          <cell r="A49">
            <v>30003492</v>
          </cell>
          <cell r="B49" t="str">
            <v>야미)스틱고추불고기고로케(원)</v>
          </cell>
          <cell r="C49">
            <v>9.6620000000000008</v>
          </cell>
          <cell r="D49" t="str">
            <v>봉 (팩)</v>
          </cell>
        </row>
        <row r="50">
          <cell r="A50">
            <v>30003497</v>
          </cell>
          <cell r="B50" t="str">
            <v>삼양)플러스함박스테이크(원)</v>
          </cell>
          <cell r="C50">
            <v>71.5</v>
          </cell>
          <cell r="D50" t="str">
            <v>봉 (팩)</v>
          </cell>
        </row>
        <row r="51">
          <cell r="A51">
            <v>30003527</v>
          </cell>
          <cell r="B51" t="str">
            <v>선진)대파불고기양념육(원)</v>
          </cell>
          <cell r="C51">
            <v>52.164000000000001</v>
          </cell>
          <cell r="D51" t="str">
            <v>봉 (팩)</v>
          </cell>
        </row>
        <row r="52">
          <cell r="A52">
            <v>30003530</v>
          </cell>
          <cell r="B52" t="str">
            <v>대상)비빔밥용돼지고기(원)</v>
          </cell>
          <cell r="C52">
            <v>8.4000000000000005E-2</v>
          </cell>
          <cell r="D52" t="str">
            <v>봉 (팩)</v>
          </cell>
        </row>
        <row r="53">
          <cell r="A53">
            <v>30003558</v>
          </cell>
          <cell r="B53" t="str">
            <v>대상)고추장돈육전지불고기(원)</v>
          </cell>
          <cell r="C53">
            <v>41.64</v>
          </cell>
          <cell r="D53" t="str">
            <v>봉 (팩)</v>
          </cell>
        </row>
        <row r="54">
          <cell r="A54">
            <v>30003562</v>
          </cell>
          <cell r="B54" t="str">
            <v>국일)청양볼카츠(원)</v>
          </cell>
          <cell r="C54">
            <v>14.3</v>
          </cell>
          <cell r="D54" t="str">
            <v>봉 (팩)</v>
          </cell>
        </row>
        <row r="55">
          <cell r="A55">
            <v>30003567</v>
          </cell>
          <cell r="B55" t="str">
            <v>한울)참나물무침(원)</v>
          </cell>
          <cell r="C55">
            <v>28.6</v>
          </cell>
          <cell r="D55" t="str">
            <v>봉 (팩)</v>
          </cell>
        </row>
        <row r="56">
          <cell r="A56">
            <v>30003568</v>
          </cell>
          <cell r="B56" t="str">
            <v>현대)청양간장어묵볶음(원)</v>
          </cell>
          <cell r="C56">
            <v>21.45</v>
          </cell>
          <cell r="D56" t="str">
            <v>봉 (팩)</v>
          </cell>
        </row>
        <row r="57">
          <cell r="A57">
            <v>30003569</v>
          </cell>
          <cell r="B57" t="str">
            <v>대상)김치제육용불고기토핑(원)</v>
          </cell>
          <cell r="C57">
            <v>50.365000000000002</v>
          </cell>
          <cell r="D57" t="str">
            <v>봉 (팩)</v>
          </cell>
        </row>
        <row r="58">
          <cell r="A58">
            <v>30003575</v>
          </cell>
          <cell r="B58" t="str">
            <v>CJ)크레잇고추장돼지불고기(원)</v>
          </cell>
          <cell r="C58">
            <v>0.45100000000000001</v>
          </cell>
          <cell r="D58" t="str">
            <v>봉 (팩)</v>
          </cell>
        </row>
        <row r="59">
          <cell r="A59">
            <v>20001849</v>
          </cell>
          <cell r="B59" t="str">
            <v>게맛살(원)</v>
          </cell>
          <cell r="C59">
            <v>77.180999999999997</v>
          </cell>
          <cell r="D59" t="str">
            <v>봉 (팩)</v>
          </cell>
        </row>
        <row r="60">
          <cell r="A60">
            <v>30000091</v>
          </cell>
          <cell r="B60" t="str">
            <v>파프리카소스(원)</v>
          </cell>
          <cell r="C60">
            <v>3.3650000000000002</v>
          </cell>
          <cell r="D60" t="str">
            <v>봉 (팩)</v>
          </cell>
        </row>
        <row r="61">
          <cell r="A61">
            <v>30000096</v>
          </cell>
          <cell r="B61" t="str">
            <v>한울)다진맛김치(원)</v>
          </cell>
          <cell r="C61">
            <v>2.4449999999999998</v>
          </cell>
          <cell r="D61" t="str">
            <v>봉 (팩)</v>
          </cell>
        </row>
        <row r="62">
          <cell r="A62">
            <v>30000376</v>
          </cell>
          <cell r="B62" t="str">
            <v>골드스모크햄세절88(원)</v>
          </cell>
          <cell r="C62">
            <v>44.756</v>
          </cell>
          <cell r="D62" t="str">
            <v>봉 (팩)</v>
          </cell>
        </row>
        <row r="63">
          <cell r="A63">
            <v>30000910</v>
          </cell>
          <cell r="B63" t="str">
            <v>이레팜)야채계란말이(원)</v>
          </cell>
          <cell r="C63">
            <v>29.343</v>
          </cell>
          <cell r="D63" t="str">
            <v>봉 (팩)</v>
          </cell>
        </row>
        <row r="64">
          <cell r="A64">
            <v>30001165</v>
          </cell>
          <cell r="B64" t="str">
            <v>깍두기(원)</v>
          </cell>
          <cell r="C64">
            <v>2.5910000000000002</v>
          </cell>
          <cell r="D64" t="str">
            <v>박스</v>
          </cell>
        </row>
        <row r="65">
          <cell r="A65">
            <v>30002007</v>
          </cell>
          <cell r="B65" t="str">
            <v>이레팜)계란구이(세절)(원)</v>
          </cell>
          <cell r="C65">
            <v>25.931999999999999</v>
          </cell>
          <cell r="D65" t="str">
            <v>봉 (팩)</v>
          </cell>
        </row>
        <row r="66">
          <cell r="A66">
            <v>30002355</v>
          </cell>
          <cell r="B66" t="str">
            <v>아워홈)부산어묵볼(150개)(원)</v>
          </cell>
          <cell r="C66">
            <v>25.02</v>
          </cell>
          <cell r="D66" t="str">
            <v>봉 (팩)</v>
          </cell>
        </row>
        <row r="67">
          <cell r="A67">
            <v>30002431</v>
          </cell>
          <cell r="B67" t="str">
            <v>크레잇)칼집비엔나(50개)(원)</v>
          </cell>
          <cell r="C67">
            <v>46.545999999999999</v>
          </cell>
          <cell r="D67" t="str">
            <v>봉 (팩)</v>
          </cell>
        </row>
        <row r="68">
          <cell r="A68">
            <v>30002457</v>
          </cell>
          <cell r="B68" t="str">
            <v>제니코_체다슬라치즈(82개)(원)</v>
          </cell>
          <cell r="C68">
            <v>54.411000000000001</v>
          </cell>
          <cell r="D68" t="str">
            <v>봉 (팩)</v>
          </cell>
        </row>
        <row r="69">
          <cell r="A69">
            <v>30002467</v>
          </cell>
          <cell r="B69" t="str">
            <v>미트뱅크)매콤불고기양념육(원)</v>
          </cell>
          <cell r="C69">
            <v>6.9710000000000001</v>
          </cell>
          <cell r="D69" t="str">
            <v>봉 (팩)</v>
          </cell>
        </row>
        <row r="70">
          <cell r="A70">
            <v>30002488</v>
          </cell>
          <cell r="B70" t="str">
            <v>사조오양)쵸핑스모크햄(원)</v>
          </cell>
          <cell r="C70">
            <v>1.6279999999999999</v>
          </cell>
          <cell r="D70" t="str">
            <v>봉 (팩)</v>
          </cell>
        </row>
        <row r="71">
          <cell r="A71">
            <v>30002555</v>
          </cell>
          <cell r="B71" t="str">
            <v>MDS)햄마카로니샐러드G(원)</v>
          </cell>
          <cell r="C71">
            <v>48.851999999999997</v>
          </cell>
          <cell r="D71" t="str">
            <v>봉 (팩)</v>
          </cell>
        </row>
        <row r="72">
          <cell r="A72">
            <v>30002593</v>
          </cell>
          <cell r="B72" t="str">
            <v>MDS)콘버터G(원)</v>
          </cell>
          <cell r="C72">
            <v>24.777000000000001</v>
          </cell>
          <cell r="D72" t="str">
            <v>봉 (팩)</v>
          </cell>
        </row>
        <row r="73">
          <cell r="A73">
            <v>30002614</v>
          </cell>
          <cell r="B73" t="str">
            <v>동원)비엔나소세지_110개(원)</v>
          </cell>
          <cell r="C73">
            <v>56.863999999999997</v>
          </cell>
          <cell r="D73" t="str">
            <v>봉 (팩)</v>
          </cell>
        </row>
        <row r="74">
          <cell r="A74">
            <v>30002846</v>
          </cell>
          <cell r="B74" t="str">
            <v>대상)비빔밥용고추장소스A(원)</v>
          </cell>
          <cell r="C74">
            <v>2.3759999999999999</v>
          </cell>
          <cell r="D74" t="str">
            <v>봉 (팩)</v>
          </cell>
        </row>
        <row r="75">
          <cell r="A75">
            <v>30002896</v>
          </cell>
          <cell r="B75" t="str">
            <v>동방)통통쏘야소스(원)</v>
          </cell>
          <cell r="C75">
            <v>3.4039999999999999</v>
          </cell>
          <cell r="D75" t="str">
            <v>봉 (팩)</v>
          </cell>
        </row>
        <row r="76">
          <cell r="A76">
            <v>30002902</v>
          </cell>
          <cell r="B76" t="str">
            <v>베지가든)토마토파스타소스(원)</v>
          </cell>
          <cell r="C76">
            <v>13.840999999999999</v>
          </cell>
          <cell r="D76" t="str">
            <v>봉 (팩)</v>
          </cell>
        </row>
        <row r="77">
          <cell r="A77">
            <v>30002903</v>
          </cell>
          <cell r="B77" t="str">
            <v>선진)치즈콕콕소시지(14개)(원)</v>
          </cell>
          <cell r="C77">
            <v>132.69999999999999</v>
          </cell>
          <cell r="D77" t="str">
            <v>봉 (팩)</v>
          </cell>
        </row>
        <row r="78">
          <cell r="A78">
            <v>30002904</v>
          </cell>
          <cell r="B78" t="str">
            <v>다미)할라피뇨칠리소스(원)</v>
          </cell>
          <cell r="C78">
            <v>5.367</v>
          </cell>
          <cell r="D78" t="str">
            <v>봉 (팩)</v>
          </cell>
        </row>
        <row r="79">
          <cell r="A79">
            <v>30002992</v>
          </cell>
          <cell r="B79" t="str">
            <v>FS)경양식돈까스소스H(소포장(원</v>
          </cell>
          <cell r="C79">
            <v>1019</v>
          </cell>
          <cell r="D79" t="str">
            <v>개</v>
          </cell>
        </row>
        <row r="80">
          <cell r="A80">
            <v>30003020</v>
          </cell>
          <cell r="B80" t="str">
            <v>동방)타르타르소스-GS(원)</v>
          </cell>
          <cell r="C80">
            <v>5.72</v>
          </cell>
          <cell r="D80" t="str">
            <v>봉 (팩)</v>
          </cell>
        </row>
        <row r="81">
          <cell r="A81">
            <v>30003070</v>
          </cell>
          <cell r="B81" t="str">
            <v>한성)숯불구이맛김밥햄(원)</v>
          </cell>
          <cell r="C81">
            <v>13.035</v>
          </cell>
          <cell r="D81" t="str">
            <v>봉 (팩)</v>
          </cell>
        </row>
        <row r="82">
          <cell r="A82">
            <v>30003074</v>
          </cell>
          <cell r="B82" t="str">
            <v>조흥)숙성체다치즈소스(원)</v>
          </cell>
          <cell r="C82">
            <v>0.59699999999999998</v>
          </cell>
          <cell r="D82" t="str">
            <v>봉 (팩)</v>
          </cell>
        </row>
        <row r="83">
          <cell r="A83">
            <v>30003352</v>
          </cell>
          <cell r="B83" t="str">
            <v>일미)새콤한코올슬로우(원)</v>
          </cell>
          <cell r="C83">
            <v>23.3</v>
          </cell>
          <cell r="D83" t="str">
            <v>봉 (팩)</v>
          </cell>
        </row>
        <row r="84">
          <cell r="A84">
            <v>30003465</v>
          </cell>
          <cell r="B84" t="str">
            <v>다미)닭갈비소스(원)</v>
          </cell>
          <cell r="C84">
            <v>2.5880000000000001</v>
          </cell>
          <cell r="D84" t="str">
            <v>봉 (팩)</v>
          </cell>
        </row>
        <row r="85">
          <cell r="A85">
            <v>30003467</v>
          </cell>
          <cell r="B85" t="str">
            <v>동방)자메이카핫치킨소스(원)</v>
          </cell>
          <cell r="C85">
            <v>0.72399999999999998</v>
          </cell>
          <cell r="D85" t="str">
            <v>봉 (팩)</v>
          </cell>
        </row>
        <row r="86">
          <cell r="A86">
            <v>30003468</v>
          </cell>
          <cell r="B86" t="str">
            <v>동방)시크릿양념치킨소스(원)</v>
          </cell>
          <cell r="C86">
            <v>1.792</v>
          </cell>
          <cell r="D86" t="str">
            <v>봉 (팩)</v>
          </cell>
        </row>
        <row r="87">
          <cell r="A87">
            <v>30003510</v>
          </cell>
          <cell r="B87" t="str">
            <v>이레팜)더커진계란구이(원)</v>
          </cell>
          <cell r="C87">
            <v>117.68899999999999</v>
          </cell>
          <cell r="D87" t="str">
            <v>봉 (팩)</v>
          </cell>
        </row>
        <row r="88">
          <cell r="A88">
            <v>30003511</v>
          </cell>
          <cell r="B88" t="str">
            <v>아워홈)김밥용어묵슬라이스(원)</v>
          </cell>
          <cell r="C88">
            <v>47.722999999999999</v>
          </cell>
          <cell r="D88" t="str">
            <v>봉 (팩)</v>
          </cell>
        </row>
        <row r="89">
          <cell r="A89">
            <v>30003555</v>
          </cell>
          <cell r="B89" t="str">
            <v>다미)마파두부소스(원)</v>
          </cell>
          <cell r="C89">
            <v>0.17199999999999999</v>
          </cell>
          <cell r="D89" t="str">
            <v>봉 (팩)</v>
          </cell>
        </row>
        <row r="90">
          <cell r="A90">
            <v>30003556</v>
          </cell>
          <cell r="B90" t="str">
            <v>태원)마라상궈소스(원)</v>
          </cell>
          <cell r="C90">
            <v>1.2999999999999999E-2</v>
          </cell>
          <cell r="D90" t="str">
            <v>봉 (팩)</v>
          </cell>
        </row>
        <row r="91">
          <cell r="A91">
            <v>30003557</v>
          </cell>
          <cell r="B91" t="str">
            <v>조리편한조각두부(찌개용)(원)</v>
          </cell>
          <cell r="C91">
            <v>0.63800000000000001</v>
          </cell>
          <cell r="D91" t="str">
            <v>봉 (팩)</v>
          </cell>
        </row>
        <row r="92">
          <cell r="A92">
            <v>30003563</v>
          </cell>
          <cell r="B92" t="str">
            <v>동원)통그릴비엔나(원)</v>
          </cell>
          <cell r="C92">
            <v>30.425000000000001</v>
          </cell>
          <cell r="D92" t="str">
            <v>봉 (팩)</v>
          </cell>
        </row>
        <row r="93">
          <cell r="A93">
            <v>30003566</v>
          </cell>
          <cell r="B93" t="str">
            <v>MDS)마카로니샐러드(원)</v>
          </cell>
          <cell r="C93">
            <v>35.75</v>
          </cell>
          <cell r="D93" t="str">
            <v>봉 (팩)</v>
          </cell>
        </row>
        <row r="94">
          <cell r="A94">
            <v>20001846</v>
          </cell>
          <cell r="B94" t="str">
            <v>전처리당근채(3mm)(원)</v>
          </cell>
          <cell r="C94">
            <v>48.798999999999999</v>
          </cell>
          <cell r="D94" t="str">
            <v>봉 (팩)</v>
          </cell>
        </row>
        <row r="95">
          <cell r="A95">
            <v>30000065</v>
          </cell>
          <cell r="B95" t="str">
            <v>FS)고추장불고기소스(원)</v>
          </cell>
          <cell r="C95">
            <v>21.152999999999999</v>
          </cell>
          <cell r="D95" t="str">
            <v>봉 (팩)</v>
          </cell>
        </row>
        <row r="96">
          <cell r="A96">
            <v>30000081</v>
          </cell>
          <cell r="B96" t="str">
            <v>부림)깐당근(원)</v>
          </cell>
          <cell r="C96">
            <v>0.54600000000000004</v>
          </cell>
          <cell r="D96" t="str">
            <v>박스</v>
          </cell>
        </row>
        <row r="97">
          <cell r="A97">
            <v>30000086</v>
          </cell>
          <cell r="B97" t="str">
            <v>콩나물(원)</v>
          </cell>
          <cell r="C97">
            <v>5.883</v>
          </cell>
          <cell r="D97" t="str">
            <v>박스</v>
          </cell>
        </row>
        <row r="98">
          <cell r="A98">
            <v>30000094</v>
          </cell>
          <cell r="B98" t="str">
            <v>FS)볶음김치밥용소스-엠(원)</v>
          </cell>
          <cell r="C98">
            <v>3.9969999999999999</v>
          </cell>
          <cell r="D98" t="str">
            <v>봉 (팩)</v>
          </cell>
        </row>
        <row r="99">
          <cell r="A99">
            <v>30000121</v>
          </cell>
          <cell r="B99" t="str">
            <v>한울)볶음김치골드(원)</v>
          </cell>
          <cell r="C99">
            <v>51.335999999999999</v>
          </cell>
          <cell r="D99" t="str">
            <v>봉 (팩)</v>
          </cell>
        </row>
        <row r="100">
          <cell r="A100">
            <v>30000124</v>
          </cell>
          <cell r="B100" t="str">
            <v>깐쪽파(원재료)</v>
          </cell>
          <cell r="C100">
            <v>7.2850000000000001</v>
          </cell>
          <cell r="D100" t="str">
            <v>봉 (팩)</v>
          </cell>
        </row>
        <row r="101">
          <cell r="A101">
            <v>30000709</v>
          </cell>
          <cell r="B101" t="str">
            <v>FS)김치볶음밥용소스(원)</v>
          </cell>
          <cell r="C101">
            <v>45.249000000000002</v>
          </cell>
          <cell r="D101" t="str">
            <v>봉 (팩)</v>
          </cell>
        </row>
        <row r="102">
          <cell r="A102">
            <v>30000746</v>
          </cell>
          <cell r="B102" t="str">
            <v>동방)어묵볶음용소스-FS(원)</v>
          </cell>
          <cell r="C102">
            <v>1.7589999999999999</v>
          </cell>
          <cell r="D102" t="str">
            <v>봉 (팩)</v>
          </cell>
        </row>
        <row r="103">
          <cell r="A103">
            <v>30001057</v>
          </cell>
          <cell r="B103" t="str">
            <v>FS)간장소스-케이(원)</v>
          </cell>
          <cell r="C103">
            <v>5.1189999999999998</v>
          </cell>
          <cell r="D103" t="str">
            <v>봉 (팩)</v>
          </cell>
        </row>
        <row r="104">
          <cell r="A104">
            <v>30001126</v>
          </cell>
          <cell r="B104" t="str">
            <v>부림)양배추(원)</v>
          </cell>
          <cell r="C104">
            <v>27.295999999999999</v>
          </cell>
          <cell r="D104" t="str">
            <v>박스</v>
          </cell>
        </row>
        <row r="105">
          <cell r="A105">
            <v>30001136</v>
          </cell>
          <cell r="B105" t="str">
            <v>부림)깻잎(원)</v>
          </cell>
          <cell r="C105">
            <v>6.8310000000000004</v>
          </cell>
          <cell r="D105" t="str">
            <v>박스</v>
          </cell>
        </row>
        <row r="106">
          <cell r="A106">
            <v>30001166</v>
          </cell>
          <cell r="B106" t="str">
            <v>부림)깐도라지채(원)</v>
          </cell>
          <cell r="C106">
            <v>9.7040000000000006</v>
          </cell>
          <cell r="D106" t="str">
            <v>봉 (팩)</v>
          </cell>
        </row>
        <row r="107">
          <cell r="A107">
            <v>30001823</v>
          </cell>
          <cell r="B107" t="str">
            <v>부추(원)</v>
          </cell>
          <cell r="C107">
            <v>0.621</v>
          </cell>
          <cell r="D107" t="str">
            <v>박스</v>
          </cell>
        </row>
        <row r="108">
          <cell r="A108">
            <v>30002077</v>
          </cell>
          <cell r="B108" t="str">
            <v>FS)매콤닭강정소스(원)</v>
          </cell>
          <cell r="C108">
            <v>8.8670000000000009</v>
          </cell>
          <cell r="D108" t="str">
            <v>봉 (팩)</v>
          </cell>
        </row>
        <row r="109">
          <cell r="A109">
            <v>30002092</v>
          </cell>
          <cell r="B109" t="str">
            <v>한울)진미채견과볶음(원)</v>
          </cell>
          <cell r="C109">
            <v>19.442</v>
          </cell>
          <cell r="D109" t="str">
            <v>봉 (팩)</v>
          </cell>
        </row>
        <row r="110">
          <cell r="A110">
            <v>30002096</v>
          </cell>
          <cell r="B110" t="str">
            <v>FS)돈까스소스-FS(원)</v>
          </cell>
          <cell r="C110">
            <v>6.2549999999999999</v>
          </cell>
          <cell r="D110" t="str">
            <v>봉 (팩)</v>
          </cell>
        </row>
        <row r="111">
          <cell r="A111">
            <v>30002195</v>
          </cell>
          <cell r="B111" t="str">
            <v>FS)뉴비빔밥용고추장소스(원)</v>
          </cell>
          <cell r="C111">
            <v>33.987000000000002</v>
          </cell>
          <cell r="D111" t="str">
            <v>봉 (팩)</v>
          </cell>
        </row>
        <row r="112">
          <cell r="A112">
            <v>30002298</v>
          </cell>
          <cell r="B112" t="str">
            <v>부림)깐양파(원)</v>
          </cell>
          <cell r="C112">
            <v>5.7089999999999996</v>
          </cell>
          <cell r="D112" t="str">
            <v>봉 (팩)</v>
          </cell>
        </row>
        <row r="113">
          <cell r="A113">
            <v>30002363</v>
          </cell>
          <cell r="B113" t="str">
            <v>FS)너비아니양념소스J(원)</v>
          </cell>
          <cell r="C113">
            <v>8.9939999999999998</v>
          </cell>
          <cell r="D113" t="str">
            <v>봉 (팩)</v>
          </cell>
        </row>
        <row r="114">
          <cell r="A114">
            <v>30002442</v>
          </cell>
          <cell r="B114" t="str">
            <v>반찬단지우엉조림(원)</v>
          </cell>
          <cell r="C114">
            <v>24.928999999999998</v>
          </cell>
          <cell r="D114" t="str">
            <v>봉 (팩)</v>
          </cell>
        </row>
        <row r="115">
          <cell r="A115">
            <v>30002523</v>
          </cell>
          <cell r="B115" t="str">
            <v>풋고추(원)</v>
          </cell>
          <cell r="C115">
            <v>4.46</v>
          </cell>
          <cell r="D115" t="str">
            <v>봉 (팩)</v>
          </cell>
        </row>
        <row r="116">
          <cell r="A116">
            <v>30002585</v>
          </cell>
          <cell r="B116" t="str">
            <v>FS)삼각치킨조미소스(원)</v>
          </cell>
          <cell r="C116">
            <v>17.061</v>
          </cell>
          <cell r="D116" t="str">
            <v>봉 (팩)</v>
          </cell>
        </row>
        <row r="117">
          <cell r="A117">
            <v>30002599</v>
          </cell>
          <cell r="B117" t="str">
            <v>종가)맛김치(원)</v>
          </cell>
          <cell r="C117">
            <v>21.863</v>
          </cell>
          <cell r="D117" t="str">
            <v>봉 (팩)</v>
          </cell>
        </row>
        <row r="118">
          <cell r="A118">
            <v>30002650</v>
          </cell>
          <cell r="B118" t="str">
            <v>FS)청양식매운맛간장소스(원)</v>
          </cell>
          <cell r="C118">
            <v>6.4210000000000003</v>
          </cell>
          <cell r="D118" t="str">
            <v>봉 (팩)</v>
          </cell>
        </row>
        <row r="119">
          <cell r="A119">
            <v>30002875</v>
          </cell>
          <cell r="B119" t="str">
            <v>FS)조청닭강정소스(원)</v>
          </cell>
          <cell r="C119">
            <v>8.0839999999999996</v>
          </cell>
          <cell r="D119" t="str">
            <v>봉 (팩)</v>
          </cell>
        </row>
        <row r="120">
          <cell r="A120">
            <v>30003010</v>
          </cell>
          <cell r="B120" t="str">
            <v>FS)조미식초소스(원)</v>
          </cell>
          <cell r="C120">
            <v>27.024999999999999</v>
          </cell>
          <cell r="D120" t="str">
            <v>봉 (팩)</v>
          </cell>
        </row>
        <row r="121">
          <cell r="A121">
            <v>30003011</v>
          </cell>
          <cell r="B121" t="str">
            <v>FS)다시마조미식초소스(원)</v>
          </cell>
          <cell r="C121">
            <v>0.74399999999999999</v>
          </cell>
          <cell r="D121" t="str">
            <v>봉 (팩)</v>
          </cell>
        </row>
        <row r="122">
          <cell r="A122">
            <v>30003288</v>
          </cell>
          <cell r="B122" t="str">
            <v>송송오이피클(랠리쉬)(원)</v>
          </cell>
          <cell r="C122">
            <v>2.5579999999999998</v>
          </cell>
          <cell r="D122" t="str">
            <v>봉 (팩)</v>
          </cell>
        </row>
        <row r="123">
          <cell r="A123">
            <v>30003298</v>
          </cell>
          <cell r="B123" t="str">
            <v>FS)꿀마늘겨자소스(원)</v>
          </cell>
          <cell r="C123">
            <v>2.2890000000000001</v>
          </cell>
          <cell r="D123" t="str">
            <v>봉 (팩)</v>
          </cell>
        </row>
        <row r="124">
          <cell r="A124">
            <v>30003299</v>
          </cell>
          <cell r="B124" t="str">
            <v>FS)매운돈까스소스(원)</v>
          </cell>
          <cell r="C124">
            <v>2.919</v>
          </cell>
          <cell r="D124" t="str">
            <v>봉 (팩)</v>
          </cell>
        </row>
        <row r="125">
          <cell r="A125">
            <v>30003308</v>
          </cell>
          <cell r="B125" t="str">
            <v>FS)치킨바베큐양념소스(원)</v>
          </cell>
          <cell r="C125">
            <v>1.159</v>
          </cell>
          <cell r="D125" t="str">
            <v>봉 (팩)</v>
          </cell>
        </row>
        <row r="126">
          <cell r="A126">
            <v>30003310</v>
          </cell>
          <cell r="B126" t="str">
            <v>FS)츠쿠네소스(원)</v>
          </cell>
          <cell r="C126">
            <v>3.778</v>
          </cell>
          <cell r="D126" t="str">
            <v>봉 (팩)</v>
          </cell>
        </row>
        <row r="127">
          <cell r="A127">
            <v>30003376</v>
          </cell>
          <cell r="B127" t="str">
            <v>부림)깐대파(원)</v>
          </cell>
          <cell r="C127">
            <v>6.5259999999999998</v>
          </cell>
          <cell r="D127" t="str">
            <v>박스</v>
          </cell>
        </row>
        <row r="128">
          <cell r="A128">
            <v>30003400</v>
          </cell>
          <cell r="B128" t="str">
            <v>종가)백볶음김치(원)</v>
          </cell>
          <cell r="C128">
            <v>42.591999999999999</v>
          </cell>
          <cell r="D128" t="str">
            <v>봉 (팩)</v>
          </cell>
        </row>
        <row r="129">
          <cell r="A129">
            <v>30003416</v>
          </cell>
          <cell r="B129" t="str">
            <v>부림)청상추(원)</v>
          </cell>
          <cell r="C129">
            <v>0.28799999999999998</v>
          </cell>
          <cell r="D129" t="str">
            <v>박스</v>
          </cell>
        </row>
        <row r="130">
          <cell r="A130">
            <v>30003439</v>
          </cell>
          <cell r="B130" t="str">
            <v>FS)쏘야볶음소스H(원)</v>
          </cell>
          <cell r="C130">
            <v>4.5750000000000002</v>
          </cell>
          <cell r="D130" t="str">
            <v>봉 (팩)</v>
          </cell>
        </row>
        <row r="131">
          <cell r="A131">
            <v>30003443</v>
          </cell>
          <cell r="B131" t="str">
            <v>FS)돈까스소스(소포장)(원)</v>
          </cell>
          <cell r="C131">
            <v>1974</v>
          </cell>
          <cell r="D131" t="str">
            <v>개</v>
          </cell>
        </row>
        <row r="132">
          <cell r="A132">
            <v>30003454</v>
          </cell>
          <cell r="B132" t="str">
            <v>FS)우엉볶음용간장소스(원)</v>
          </cell>
          <cell r="C132">
            <v>3.8039999999999998</v>
          </cell>
          <cell r="D132" t="str">
            <v>봉 (팩)</v>
          </cell>
        </row>
        <row r="133">
          <cell r="A133">
            <v>30003460</v>
          </cell>
          <cell r="B133" t="str">
            <v>종가)실비맛김치(원)</v>
          </cell>
          <cell r="C133">
            <v>0.68799999999999994</v>
          </cell>
          <cell r="D133" t="str">
            <v>봉 (팩)</v>
          </cell>
        </row>
        <row r="134">
          <cell r="A134">
            <v>30003462</v>
          </cell>
          <cell r="B134" t="str">
            <v>FS)매운김치볶음밥용소스(원)</v>
          </cell>
          <cell r="C134">
            <v>4.6529999999999996</v>
          </cell>
          <cell r="D134" t="str">
            <v>봉 (팩)</v>
          </cell>
        </row>
        <row r="135">
          <cell r="A135">
            <v>30003471</v>
          </cell>
          <cell r="B135" t="str">
            <v>FS)쌈장마요소스(원)</v>
          </cell>
          <cell r="C135">
            <v>4.9000000000000002E-2</v>
          </cell>
          <cell r="D135" t="str">
            <v>봉 (팩)</v>
          </cell>
        </row>
        <row r="136">
          <cell r="A136">
            <v>30003473</v>
          </cell>
          <cell r="B136" t="str">
            <v>FS)간장소스KB(원)</v>
          </cell>
          <cell r="C136">
            <v>5.4610000000000003</v>
          </cell>
          <cell r="D136" t="str">
            <v>봉 (팩)</v>
          </cell>
        </row>
        <row r="137">
          <cell r="A137">
            <v>30003496</v>
          </cell>
          <cell r="B137" t="str">
            <v>FS)양념만두소스(원)</v>
          </cell>
          <cell r="C137">
            <v>2.145</v>
          </cell>
          <cell r="D137" t="str">
            <v>봉 (팩)</v>
          </cell>
        </row>
        <row r="138">
          <cell r="A138">
            <v>30003508</v>
          </cell>
          <cell r="B138" t="str">
            <v>FS)대파크림소스(원)</v>
          </cell>
          <cell r="C138">
            <v>17.199000000000002</v>
          </cell>
          <cell r="D138" t="str">
            <v>봉 (팩)</v>
          </cell>
        </row>
        <row r="139">
          <cell r="A139">
            <v>30003509</v>
          </cell>
          <cell r="B139" t="str">
            <v>FS)김밥용조미에센스(원)</v>
          </cell>
          <cell r="C139">
            <v>24.210999999999999</v>
          </cell>
          <cell r="D139" t="str">
            <v>봉 (팩)</v>
          </cell>
        </row>
        <row r="140">
          <cell r="A140">
            <v>30003526</v>
          </cell>
          <cell r="B140" t="str">
            <v>FS)김밥용돈까스소스(원)</v>
          </cell>
          <cell r="C140">
            <v>31.849</v>
          </cell>
          <cell r="D140" t="str">
            <v>봉 (팩)</v>
          </cell>
        </row>
        <row r="141">
          <cell r="A141">
            <v>30003543</v>
          </cell>
          <cell r="B141" t="str">
            <v>FS)삼각용다시마취반소스(원)</v>
          </cell>
          <cell r="C141">
            <v>13.191000000000001</v>
          </cell>
          <cell r="D141" t="str">
            <v>봉 (팩)</v>
          </cell>
        </row>
        <row r="142">
          <cell r="A142">
            <v>30003548</v>
          </cell>
          <cell r="B142" t="str">
            <v>부림)청경채(원)</v>
          </cell>
          <cell r="C142">
            <v>4.9000000000000002E-2</v>
          </cell>
          <cell r="D142" t="str">
            <v>박스</v>
          </cell>
        </row>
        <row r="143">
          <cell r="A143">
            <v>30003549</v>
          </cell>
          <cell r="B143" t="str">
            <v>부림)팽이버섯(원)</v>
          </cell>
          <cell r="C143">
            <v>1.08</v>
          </cell>
          <cell r="D143" t="str">
            <v>봉 (팩)</v>
          </cell>
        </row>
        <row r="144">
          <cell r="A144">
            <v>30003559</v>
          </cell>
          <cell r="B144" t="str">
            <v>FS)볶음김치소스-Y(원)</v>
          </cell>
          <cell r="C144">
            <v>6.9269999999999996</v>
          </cell>
          <cell r="D144" t="str">
            <v>봉 (팩)</v>
          </cell>
        </row>
        <row r="145">
          <cell r="A145">
            <v>30003080</v>
          </cell>
          <cell r="B145" t="str">
            <v>수축필름16</v>
          </cell>
          <cell r="C145">
            <v>10.76</v>
          </cell>
          <cell r="D145" t="str">
            <v>롤</v>
          </cell>
        </row>
        <row r="146">
          <cell r="A146">
            <v>30003083</v>
          </cell>
          <cell r="B146" t="str">
            <v>에스지앤피)핫도그지함(부)</v>
          </cell>
          <cell r="C146">
            <v>0.24299999999999999</v>
          </cell>
          <cell r="D146" t="str">
            <v>봉 (팩)</v>
          </cell>
        </row>
        <row r="147">
          <cell r="A147">
            <v>30003096</v>
          </cell>
          <cell r="B147" t="str">
            <v>골드)간지(9*9)(부)</v>
          </cell>
          <cell r="C147">
            <v>1.0189999999999999</v>
          </cell>
          <cell r="D147" t="str">
            <v>봉 (팩)</v>
          </cell>
        </row>
        <row r="148">
          <cell r="A148">
            <v>30003097</v>
          </cell>
          <cell r="B148" t="str">
            <v>골드)간지(4.5*150)(부)</v>
          </cell>
          <cell r="C148">
            <v>0.24299999999999999</v>
          </cell>
          <cell r="D148" t="str">
            <v>봉 (팩)</v>
          </cell>
        </row>
        <row r="149">
          <cell r="A149">
            <v>30003098</v>
          </cell>
          <cell r="B149" t="str">
            <v>상지)1탄가성비용기(부)</v>
          </cell>
          <cell r="C149">
            <v>12.51</v>
          </cell>
          <cell r="D149" t="str">
            <v>봉 (팩)</v>
          </cell>
        </row>
        <row r="150">
          <cell r="A150">
            <v>30003099</v>
          </cell>
          <cell r="B150" t="str">
            <v>상지)가성비뚜껑(부)</v>
          </cell>
          <cell r="C150">
            <v>12.51</v>
          </cell>
          <cell r="D150" t="str">
            <v>봉 (팩)</v>
          </cell>
        </row>
        <row r="151">
          <cell r="A151">
            <v>30003107</v>
          </cell>
          <cell r="B151" t="str">
            <v>바코드56*45(김밥)(청색/적색)</v>
          </cell>
          <cell r="C151">
            <v>11773</v>
          </cell>
          <cell r="D151" t="str">
            <v>개</v>
          </cell>
        </row>
        <row r="152">
          <cell r="A152">
            <v>30003108</v>
          </cell>
          <cell r="B152" t="str">
            <v>바코드54*45(삼각)(청색/적색)</v>
          </cell>
          <cell r="C152">
            <v>32812</v>
          </cell>
          <cell r="D152" t="str">
            <v>개</v>
          </cell>
        </row>
        <row r="153">
          <cell r="A153">
            <v>30003109</v>
          </cell>
          <cell r="B153" t="str">
            <v>바코드60*35(도시락)(청색/적색)</v>
          </cell>
          <cell r="C153">
            <v>13204</v>
          </cell>
          <cell r="D153" t="str">
            <v>개</v>
          </cell>
        </row>
        <row r="154">
          <cell r="A154">
            <v>30003117</v>
          </cell>
          <cell r="B154" t="str">
            <v>골드)한돈제육쌈김밥(필)</v>
          </cell>
          <cell r="C154">
            <v>1.1779999999999999</v>
          </cell>
          <cell r="D154" t="str">
            <v>봉 (팩)</v>
          </cell>
        </row>
        <row r="155">
          <cell r="A155">
            <v>30003152</v>
          </cell>
          <cell r="B155" t="str">
            <v>이프린팅)뭘좋아할지몰라(스)</v>
          </cell>
          <cell r="C155">
            <v>1.2509999999999999</v>
          </cell>
          <cell r="D155" t="str">
            <v>롤</v>
          </cell>
        </row>
        <row r="156">
          <cell r="A156">
            <v>30003156</v>
          </cell>
          <cell r="B156" t="str">
            <v>애디웹)두번구운김전주비빔(스)</v>
          </cell>
          <cell r="C156">
            <v>0.60799999999999998</v>
          </cell>
          <cell r="D156" t="str">
            <v>롤</v>
          </cell>
        </row>
        <row r="157">
          <cell r="A157">
            <v>30003160</v>
          </cell>
          <cell r="B157" t="str">
            <v>애디웹)삼각)新전주비빔(스)</v>
          </cell>
          <cell r="C157">
            <v>0.61</v>
          </cell>
          <cell r="D157" t="str">
            <v>롤</v>
          </cell>
        </row>
        <row r="158">
          <cell r="A158">
            <v>30003165</v>
          </cell>
          <cell r="B158" t="str">
            <v>골드)착한김치김밥(필)</v>
          </cell>
          <cell r="C158">
            <v>0.45400000000000001</v>
          </cell>
          <cell r="D158" t="str">
            <v>봉 (팩)</v>
          </cell>
        </row>
        <row r="159">
          <cell r="A159">
            <v>30003166</v>
          </cell>
          <cell r="B159" t="str">
            <v>골드)착한가격참치마요(필)</v>
          </cell>
          <cell r="C159">
            <v>0.53600000000000003</v>
          </cell>
          <cell r="D159" t="str">
            <v>봉 (팩)</v>
          </cell>
        </row>
        <row r="160">
          <cell r="A160">
            <v>30003185</v>
          </cell>
          <cell r="B160" t="str">
            <v>햄참치마요무스비(필름)</v>
          </cell>
          <cell r="C160">
            <v>565</v>
          </cell>
          <cell r="D160" t="str">
            <v>개</v>
          </cell>
        </row>
        <row r="161">
          <cell r="A161">
            <v>30003216</v>
          </cell>
          <cell r="B161" t="str">
            <v>두레)바란74*57mm(부)</v>
          </cell>
          <cell r="C161">
            <v>1.0189999999999999</v>
          </cell>
          <cell r="D161" t="str">
            <v>곽</v>
          </cell>
        </row>
        <row r="162">
          <cell r="A162">
            <v>30003227</v>
          </cell>
          <cell r="B162" t="str">
            <v>케미코)5찬도시락용기(부)</v>
          </cell>
          <cell r="C162">
            <v>9.57</v>
          </cell>
          <cell r="D162" t="str">
            <v>봉 (팩)</v>
          </cell>
        </row>
        <row r="163">
          <cell r="A163">
            <v>30003228</v>
          </cell>
          <cell r="B163" t="str">
            <v>케미코)5찬도시락뚜껑A(부)</v>
          </cell>
          <cell r="C163">
            <v>9.57</v>
          </cell>
          <cell r="D163" t="str">
            <v>봉 (팩)</v>
          </cell>
        </row>
        <row r="164">
          <cell r="A164">
            <v>30003230</v>
          </cell>
          <cell r="B164" t="str">
            <v>애디웹)한돈반반제육(스)</v>
          </cell>
          <cell r="C164">
            <v>0.63800000000000001</v>
          </cell>
          <cell r="D164" t="str">
            <v>롤</v>
          </cell>
        </row>
        <row r="165">
          <cell r="A165">
            <v>30003233</v>
          </cell>
          <cell r="B165" t="str">
            <v>상지)등심까스(평)뚜껑(부)</v>
          </cell>
          <cell r="C165">
            <v>10.19</v>
          </cell>
          <cell r="D165" t="str">
            <v>봉 (팩)</v>
          </cell>
        </row>
        <row r="166">
          <cell r="A166">
            <v>30003234</v>
          </cell>
          <cell r="B166" t="str">
            <v>상지)등심돈까스용기(부)</v>
          </cell>
          <cell r="C166">
            <v>6.7930000000000001</v>
          </cell>
          <cell r="D166" t="str">
            <v>봉 (팩)</v>
          </cell>
        </row>
        <row r="167">
          <cell r="A167">
            <v>30003235</v>
          </cell>
          <cell r="B167" t="str">
            <v>이프린팅)돌아온등심돈까스(스)</v>
          </cell>
          <cell r="C167">
            <v>1.0189999999999999</v>
          </cell>
          <cell r="D167" t="str">
            <v>롤</v>
          </cell>
        </row>
        <row r="168">
          <cell r="A168">
            <v>30003260</v>
          </cell>
          <cell r="B168" t="str">
            <v>애디웹)커플(제육/김치)전면(스)</v>
          </cell>
          <cell r="C168">
            <v>0.35399999999999998</v>
          </cell>
          <cell r="D168" t="str">
            <v>롤</v>
          </cell>
        </row>
        <row r="169">
          <cell r="A169">
            <v>30003261</v>
          </cell>
          <cell r="B169" t="str">
            <v>애디웹)커플(제육/김치)측면(스)</v>
          </cell>
          <cell r="C169">
            <v>0.35399999999999998</v>
          </cell>
          <cell r="D169" t="str">
            <v>롤</v>
          </cell>
        </row>
        <row r="170">
          <cell r="A170">
            <v>30003314</v>
          </cell>
          <cell r="B170" t="str">
            <v>상지)명불허전용기(부)</v>
          </cell>
          <cell r="C170">
            <v>5.5529999999999999</v>
          </cell>
          <cell r="D170" t="str">
            <v>봉 (팩)</v>
          </cell>
        </row>
        <row r="171">
          <cell r="A171">
            <v>30003315</v>
          </cell>
          <cell r="B171" t="str">
            <v>상지)명불허전뚜껑(부)</v>
          </cell>
          <cell r="C171">
            <v>8.33</v>
          </cell>
          <cell r="D171" t="str">
            <v>봉 (팩)</v>
          </cell>
        </row>
        <row r="172">
          <cell r="A172">
            <v>30003316</v>
          </cell>
          <cell r="B172" t="str">
            <v>이프린팅)돌아온명불허전(스)</v>
          </cell>
          <cell r="C172">
            <v>0.83299999999999996</v>
          </cell>
          <cell r="D172" t="str">
            <v>롤</v>
          </cell>
        </row>
        <row r="173">
          <cell r="A173">
            <v>30003325</v>
          </cell>
          <cell r="B173" t="str">
            <v>골드)스팸무스비치즈(필)</v>
          </cell>
          <cell r="C173">
            <v>0.32700000000000001</v>
          </cell>
          <cell r="D173" t="str">
            <v>롤</v>
          </cell>
        </row>
        <row r="174">
          <cell r="A174">
            <v>30003336</v>
          </cell>
          <cell r="B174" t="str">
            <v>골드)착한핫도그오리지널(필)</v>
          </cell>
          <cell r="C174">
            <v>3.2000000000000001E-2</v>
          </cell>
          <cell r="D174" t="str">
            <v>롤</v>
          </cell>
        </row>
        <row r="175">
          <cell r="A175">
            <v>30003337</v>
          </cell>
          <cell r="B175" t="str">
            <v>골드)착한핫도그양배추(필)</v>
          </cell>
          <cell r="C175">
            <v>3.4000000000000002E-2</v>
          </cell>
          <cell r="D175" t="str">
            <v>롤</v>
          </cell>
        </row>
        <row r="176">
          <cell r="A176">
            <v>30003359</v>
          </cell>
          <cell r="B176" t="str">
            <v>상지)6칸공용용기(부)</v>
          </cell>
          <cell r="C176">
            <v>38.89</v>
          </cell>
          <cell r="D176" t="str">
            <v>봉 (팩)</v>
          </cell>
        </row>
        <row r="177">
          <cell r="A177">
            <v>30003361</v>
          </cell>
          <cell r="B177" t="str">
            <v>이프린팅)직화&amp;오징어(스)</v>
          </cell>
          <cell r="C177">
            <v>1.915</v>
          </cell>
          <cell r="D177" t="str">
            <v>롤</v>
          </cell>
        </row>
        <row r="178">
          <cell r="A178">
            <v>30003396</v>
          </cell>
          <cell r="B178" t="str">
            <v>상지)오징어제육용기(부)</v>
          </cell>
          <cell r="C178">
            <v>7.2670000000000003</v>
          </cell>
          <cell r="D178" t="str">
            <v>봉 (팩)</v>
          </cell>
        </row>
        <row r="179">
          <cell r="A179">
            <v>30003397</v>
          </cell>
          <cell r="B179" t="str">
            <v>상지)오징어제육뚜껑(부)</v>
          </cell>
          <cell r="C179">
            <v>10.9</v>
          </cell>
          <cell r="D179" t="str">
            <v>봉 (팩)</v>
          </cell>
        </row>
        <row r="180">
          <cell r="A180">
            <v>30003398</v>
          </cell>
          <cell r="B180" t="str">
            <v>애디웹)백설갈비양념제육(스)</v>
          </cell>
          <cell r="C180">
            <v>0.72699999999999998</v>
          </cell>
          <cell r="D180" t="str">
            <v>롤</v>
          </cell>
        </row>
        <row r="181">
          <cell r="A181">
            <v>30003401</v>
          </cell>
          <cell r="B181" t="str">
            <v>종가)들기름묵은지참치(스)</v>
          </cell>
          <cell r="C181">
            <v>0.84799999999999998</v>
          </cell>
          <cell r="D181" t="str">
            <v>롤</v>
          </cell>
        </row>
        <row r="182">
          <cell r="A182">
            <v>30003422</v>
          </cell>
          <cell r="B182" t="str">
            <v>상지)62파이소스컵(상)(부)</v>
          </cell>
          <cell r="C182">
            <v>0.72</v>
          </cell>
          <cell r="D182" t="str">
            <v>봉 (팩)</v>
          </cell>
        </row>
        <row r="183">
          <cell r="A183">
            <v>30003423</v>
          </cell>
          <cell r="B183" t="str">
            <v>이프린팅)착한제육비빔밥(스)</v>
          </cell>
          <cell r="C183">
            <v>7.1999999999999995E-2</v>
          </cell>
          <cell r="D183" t="str">
            <v>롤</v>
          </cell>
        </row>
        <row r="184">
          <cell r="A184">
            <v>30003424</v>
          </cell>
          <cell r="B184" t="str">
            <v>두레)PACK-22-3호소스(뚜껑)(부)</v>
          </cell>
          <cell r="C184">
            <v>0.72</v>
          </cell>
          <cell r="D184" t="str">
            <v>봉 (팩)</v>
          </cell>
        </row>
        <row r="185">
          <cell r="A185">
            <v>30003425</v>
          </cell>
          <cell r="B185" t="str">
            <v>두레)PACK-22-3호(용기)(부)</v>
          </cell>
          <cell r="C185">
            <v>1.44</v>
          </cell>
          <cell r="D185" t="str">
            <v>봉 (팩)</v>
          </cell>
        </row>
        <row r="186">
          <cell r="A186">
            <v>30003426</v>
          </cell>
          <cell r="B186" t="str">
            <v>두레)PACK-22-3호(내피)(부)</v>
          </cell>
          <cell r="C186">
            <v>0.72</v>
          </cell>
          <cell r="D186" t="str">
            <v>봉 (팩)</v>
          </cell>
        </row>
        <row r="187">
          <cell r="A187">
            <v>30003441</v>
          </cell>
          <cell r="B187" t="str">
            <v>정우)5찬도시락뚜껑C(부)</v>
          </cell>
          <cell r="C187">
            <v>38.89</v>
          </cell>
          <cell r="D187" t="str">
            <v>봉 (팩)</v>
          </cell>
        </row>
        <row r="188">
          <cell r="A188">
            <v>30003444</v>
          </cell>
          <cell r="B188" t="str">
            <v>거성)돈까스고추장제육(스)</v>
          </cell>
          <cell r="C188">
            <v>1.974</v>
          </cell>
          <cell r="D188" t="str">
            <v>롤</v>
          </cell>
        </row>
        <row r="189">
          <cell r="A189">
            <v>30003453</v>
          </cell>
          <cell r="B189" t="str">
            <v>상지)62파이소스컵(하)(부)</v>
          </cell>
          <cell r="C189">
            <v>0.72</v>
          </cell>
          <cell r="D189" t="str">
            <v>봉 (팩)</v>
          </cell>
        </row>
        <row r="190">
          <cell r="A190">
            <v>30003463</v>
          </cell>
          <cell r="B190" t="str">
            <v>풀)실비김치볶음밥(스)</v>
          </cell>
          <cell r="C190">
            <v>612</v>
          </cell>
          <cell r="D190" t="str">
            <v>롤</v>
          </cell>
        </row>
        <row r="191">
          <cell r="A191">
            <v>30003477</v>
          </cell>
          <cell r="B191" t="str">
            <v>깐부)마늘간장치킨김밥(필)</v>
          </cell>
          <cell r="C191">
            <v>1.0960000000000001</v>
          </cell>
          <cell r="D191" t="str">
            <v>봉 (팩)</v>
          </cell>
        </row>
        <row r="192">
          <cell r="A192">
            <v>30003478</v>
          </cell>
          <cell r="B192" t="str">
            <v>상지)에드워드리(용기)(부)</v>
          </cell>
          <cell r="C192">
            <v>190</v>
          </cell>
          <cell r="D192" t="str">
            <v>봉 (팩)</v>
          </cell>
        </row>
        <row r="193">
          <cell r="A193">
            <v>30003479</v>
          </cell>
          <cell r="B193" t="str">
            <v>상지)에드워드리(내피)(부)</v>
          </cell>
          <cell r="C193">
            <v>190</v>
          </cell>
          <cell r="D193" t="str">
            <v>봉 (팩)</v>
          </cell>
        </row>
        <row r="194">
          <cell r="A194">
            <v>30003480</v>
          </cell>
          <cell r="B194" t="str">
            <v>상지)에드워드리(뚜껑)(부)</v>
          </cell>
          <cell r="C194">
            <v>190</v>
          </cell>
          <cell r="D194" t="str">
            <v>봉 (팩)</v>
          </cell>
        </row>
        <row r="195">
          <cell r="A195">
            <v>30003481</v>
          </cell>
          <cell r="B195" t="str">
            <v>에드워드리)통닭다리(스)</v>
          </cell>
          <cell r="C195">
            <v>190</v>
          </cell>
          <cell r="D195" t="str">
            <v>롤</v>
          </cell>
        </row>
        <row r="196">
          <cell r="A196">
            <v>30003482</v>
          </cell>
          <cell r="B196" t="str">
            <v>비닐장갑(소포장)(부)</v>
          </cell>
          <cell r="C196">
            <v>190</v>
          </cell>
          <cell r="D196" t="str">
            <v>박스</v>
          </cell>
        </row>
        <row r="197">
          <cell r="A197">
            <v>30003513</v>
          </cell>
          <cell r="B197" t="str">
            <v>흑백)파파베이컨리조또(스)</v>
          </cell>
          <cell r="C197">
            <v>0.58499999999999996</v>
          </cell>
          <cell r="D197" t="str">
            <v>롤</v>
          </cell>
        </row>
        <row r="198">
          <cell r="A198">
            <v>30003529</v>
          </cell>
          <cell r="B198" t="str">
            <v>골드)THE근본김밥(필)</v>
          </cell>
          <cell r="C198">
            <v>5.8540000000000001</v>
          </cell>
          <cell r="D198" t="str">
            <v>봉 (팩)</v>
          </cell>
        </row>
        <row r="199">
          <cell r="A199">
            <v>30003538</v>
          </cell>
          <cell r="B199" t="str">
            <v>골드)더블치즈소시지김밥(필)</v>
          </cell>
          <cell r="C199">
            <v>5.3079999999999998</v>
          </cell>
          <cell r="D199" t="str">
            <v>봉 (팩)</v>
          </cell>
        </row>
        <row r="200">
          <cell r="A200">
            <v>30003539</v>
          </cell>
          <cell r="B200" t="str">
            <v>이토추)왕돈까스김밥(필)</v>
          </cell>
          <cell r="C200">
            <v>5.202</v>
          </cell>
          <cell r="D200" t="str">
            <v>봉 (팩)</v>
          </cell>
        </row>
        <row r="201">
          <cell r="A201">
            <v>30003540</v>
          </cell>
          <cell r="B201" t="str">
            <v>골드)불고기치즈김밥(필)</v>
          </cell>
          <cell r="C201">
            <v>5.4</v>
          </cell>
          <cell r="D201" t="str">
            <v>봉 (팩)</v>
          </cell>
        </row>
        <row r="202">
          <cell r="A202">
            <v>30003542</v>
          </cell>
          <cell r="B202" t="str">
            <v>더큰)리챔참치마요(스)</v>
          </cell>
          <cell r="C202">
            <v>1.1000000000000001</v>
          </cell>
          <cell r="D202" t="str">
            <v>롤</v>
          </cell>
        </row>
        <row r="203">
          <cell r="A203">
            <v>30003551</v>
          </cell>
          <cell r="B203" t="str">
            <v>두레)900ml크라프트무지(부)</v>
          </cell>
          <cell r="C203">
            <v>0.57999999999999996</v>
          </cell>
          <cell r="D203" t="str">
            <v>봉 (팩)</v>
          </cell>
        </row>
        <row r="204">
          <cell r="A204">
            <v>30003552</v>
          </cell>
          <cell r="B204" t="str">
            <v>두레)DRX-160뚜껑(부)</v>
          </cell>
          <cell r="C204">
            <v>0.57999999999999996</v>
          </cell>
          <cell r="D204" t="str">
            <v>봉 (팩)</v>
          </cell>
        </row>
        <row r="205">
          <cell r="A205">
            <v>30003553</v>
          </cell>
          <cell r="B205" t="str">
            <v>두레)DRX-160덮밥(찬)(부)</v>
          </cell>
          <cell r="C205">
            <v>0.57999999999999996</v>
          </cell>
          <cell r="D205" t="str">
            <v>봉 (팩)</v>
          </cell>
        </row>
        <row r="206">
          <cell r="A206">
            <v>30003554</v>
          </cell>
          <cell r="B206" t="str">
            <v>착한)마파두부덮밥(스)</v>
          </cell>
          <cell r="C206">
            <v>8.0000000000000002E-3</v>
          </cell>
          <cell r="D206" t="str">
            <v>롤</v>
          </cell>
        </row>
        <row r="207">
          <cell r="A207">
            <v>30003560</v>
          </cell>
          <cell r="B207" t="str">
            <v>종가)묵은지김치제육(스)</v>
          </cell>
          <cell r="C207">
            <v>1.028</v>
          </cell>
          <cell r="D207" t="str">
            <v>롤</v>
          </cell>
        </row>
        <row r="208">
          <cell r="A208">
            <v>30003561</v>
          </cell>
          <cell r="B208" t="str">
            <v>더큰)스팸김치볶음밥(스)</v>
          </cell>
          <cell r="C208">
            <v>1.458</v>
          </cell>
          <cell r="D208" t="str">
            <v>롤</v>
          </cell>
        </row>
        <row r="209">
          <cell r="A209">
            <v>30003570</v>
          </cell>
          <cell r="B209" t="str">
            <v>두레)EM-53호(B)PP/골드(부)</v>
          </cell>
          <cell r="C209">
            <v>1430</v>
          </cell>
          <cell r="D209" t="str">
            <v>개</v>
          </cell>
        </row>
        <row r="210">
          <cell r="A210">
            <v>30003571</v>
          </cell>
          <cell r="B210" t="str">
            <v>두레)54호공용(뚜껑)(부)</v>
          </cell>
          <cell r="C210">
            <v>1430</v>
          </cell>
          <cell r="D210" t="str">
            <v>개</v>
          </cell>
        </row>
        <row r="211">
          <cell r="A211">
            <v>30003572</v>
          </cell>
          <cell r="B211" t="str">
            <v>이달의도시락4월(스)</v>
          </cell>
          <cell r="C211">
            <v>1430</v>
          </cell>
          <cell r="D211" t="str">
            <v>개</v>
          </cell>
        </row>
        <row r="212">
          <cell r="A212">
            <v>30003573</v>
          </cell>
          <cell r="B212" t="str">
            <v>이우)대나무꼬지12cm(부)</v>
          </cell>
          <cell r="C212">
            <v>1.43</v>
          </cell>
          <cell r="D212" t="str">
            <v>봉 (팩)</v>
          </cell>
        </row>
        <row r="213">
          <cell r="A213">
            <v>30003574</v>
          </cell>
          <cell r="B213" t="str">
            <v>종가)김치제육김밥(필)</v>
          </cell>
          <cell r="C213">
            <v>3.9180000000000001</v>
          </cell>
          <cell r="D213" t="str">
            <v>봉 (팩)</v>
          </cell>
        </row>
        <row r="214">
          <cell r="A214">
            <v>30003576</v>
          </cell>
          <cell r="B214" t="str">
            <v>착한)제육덮밥(스)</v>
          </cell>
          <cell r="C214">
            <v>7.0000000000000001E-3</v>
          </cell>
          <cell r="D214" t="str">
            <v>롤</v>
          </cell>
        </row>
        <row r="215">
          <cell r="A215">
            <v>30003577</v>
          </cell>
          <cell r="B215" t="str">
            <v>더큰)스팸계란볶음밥(스)</v>
          </cell>
          <cell r="C215">
            <v>0.96499999999999997</v>
          </cell>
          <cell r="D215" t="str">
            <v>롤</v>
          </cell>
        </row>
        <row r="216">
          <cell r="A216">
            <v>30003578</v>
          </cell>
          <cell r="B216" t="str">
            <v>더큰)닭갈비깻잎쌈밥(스)</v>
          </cell>
          <cell r="C216">
            <v>0.64100000000000001</v>
          </cell>
          <cell r="D216" t="str">
            <v>롤</v>
          </cell>
        </row>
        <row r="217">
          <cell r="A217">
            <v>10301023</v>
          </cell>
          <cell r="B217" t="str">
            <v>참기름(1.8L)(원)</v>
          </cell>
          <cell r="C217">
            <v>23.582999999999998</v>
          </cell>
          <cell r="D217" t="str">
            <v>통</v>
          </cell>
        </row>
        <row r="218">
          <cell r="A218">
            <v>30000002</v>
          </cell>
          <cell r="B218" t="str">
            <v>정제수(원)</v>
          </cell>
          <cell r="C218">
            <v>5122.1750000000002</v>
          </cell>
          <cell r="D218" t="str">
            <v>Kg</v>
          </cell>
        </row>
        <row r="219">
          <cell r="A219">
            <v>30000006</v>
          </cell>
          <cell r="B219" t="str">
            <v>볶음참깨(원)</v>
          </cell>
          <cell r="C219">
            <v>32.101999999999997</v>
          </cell>
          <cell r="D219" t="str">
            <v>봉 (팩)</v>
          </cell>
        </row>
        <row r="220">
          <cell r="A220">
            <v>30000007</v>
          </cell>
          <cell r="B220" t="str">
            <v>참기름(16.5Kg)(원)</v>
          </cell>
          <cell r="C220">
            <v>0.996</v>
          </cell>
          <cell r="D220" t="str">
            <v>캔</v>
          </cell>
        </row>
        <row r="221">
          <cell r="A221">
            <v>30000075</v>
          </cell>
          <cell r="B221" t="str">
            <v>NS)혼다시(원)</v>
          </cell>
          <cell r="C221">
            <v>2.2090000000000001</v>
          </cell>
          <cell r="D221" t="str">
            <v>봉 (팩)</v>
          </cell>
        </row>
        <row r="222">
          <cell r="A222">
            <v>30000093</v>
          </cell>
          <cell r="B222" t="str">
            <v>대상)쇠고기실속다시(원)</v>
          </cell>
          <cell r="C222">
            <v>6.0750000000000002</v>
          </cell>
          <cell r="D222" t="str">
            <v>봉 (팩)</v>
          </cell>
        </row>
        <row r="223">
          <cell r="A223">
            <v>30000389</v>
          </cell>
          <cell r="B223" t="str">
            <v>스팸(원)</v>
          </cell>
          <cell r="C223">
            <v>566.952</v>
          </cell>
          <cell r="D223" t="str">
            <v>캔</v>
          </cell>
        </row>
        <row r="224">
          <cell r="A224">
            <v>30001140</v>
          </cell>
          <cell r="B224" t="str">
            <v>대두유(원재료)</v>
          </cell>
          <cell r="C224">
            <v>12.682</v>
          </cell>
          <cell r="D224" t="str">
            <v>캔</v>
          </cell>
        </row>
        <row r="225">
          <cell r="A225">
            <v>30001141</v>
          </cell>
          <cell r="B225" t="str">
            <v>이우)중국산정제염(원)</v>
          </cell>
          <cell r="C225">
            <v>1.1850000000000001</v>
          </cell>
          <cell r="D225" t="str">
            <v>봉 (팩)</v>
          </cell>
        </row>
        <row r="226">
          <cell r="A226">
            <v>30001164</v>
          </cell>
          <cell r="B226" t="str">
            <v>고춧가루</v>
          </cell>
          <cell r="C226">
            <v>4.6040000000000001</v>
          </cell>
          <cell r="D226" t="str">
            <v>봉 (팩)</v>
          </cell>
        </row>
        <row r="227">
          <cell r="A227">
            <v>30001169</v>
          </cell>
          <cell r="B227" t="str">
            <v>NS)물엿(원)</v>
          </cell>
          <cell r="C227">
            <v>1.0649999999999999</v>
          </cell>
          <cell r="D227" t="str">
            <v>통</v>
          </cell>
        </row>
        <row r="228">
          <cell r="A228">
            <v>30001277</v>
          </cell>
          <cell r="B228" t="str">
            <v>흑후추(원)</v>
          </cell>
          <cell r="C228">
            <v>3.5000000000000003E-2</v>
          </cell>
          <cell r="D228" t="str">
            <v>봉 (팩)</v>
          </cell>
        </row>
        <row r="229">
          <cell r="A229">
            <v>30001284</v>
          </cell>
          <cell r="B229" t="str">
            <v>이우)늘푸른할라피뇨랠리쉬(원)</v>
          </cell>
          <cell r="C229">
            <v>6.258</v>
          </cell>
          <cell r="D229" t="str">
            <v>캔</v>
          </cell>
        </row>
        <row r="230">
          <cell r="A230">
            <v>30001285</v>
          </cell>
          <cell r="B230" t="str">
            <v>이우)스위트콘_태국산(원)</v>
          </cell>
          <cell r="C230">
            <v>1.4630000000000001</v>
          </cell>
          <cell r="D230" t="str">
            <v>캔</v>
          </cell>
        </row>
        <row r="231">
          <cell r="A231">
            <v>30001472</v>
          </cell>
          <cell r="B231" t="str">
            <v>삼성웰)모아하우스머스타드(원)</v>
          </cell>
          <cell r="C231">
            <v>2.681</v>
          </cell>
          <cell r="D231" t="str">
            <v>통</v>
          </cell>
        </row>
        <row r="232">
          <cell r="A232">
            <v>30001581</v>
          </cell>
          <cell r="B232" t="str">
            <v>토마토 케찹</v>
          </cell>
          <cell r="C232">
            <v>5.48</v>
          </cell>
          <cell r="D232" t="str">
            <v>봉 (팩)</v>
          </cell>
        </row>
        <row r="233">
          <cell r="A233">
            <v>30001710</v>
          </cell>
          <cell r="B233" t="str">
            <v>CJ)하얀설탕(원)</v>
          </cell>
          <cell r="C233">
            <v>7.5049999999999999</v>
          </cell>
          <cell r="D233" t="str">
            <v>봉 (팩)</v>
          </cell>
        </row>
        <row r="234">
          <cell r="A234">
            <v>30001713</v>
          </cell>
          <cell r="B234" t="str">
            <v>아워홈)치킨난방용마요(원)</v>
          </cell>
          <cell r="C234">
            <v>0.62</v>
          </cell>
          <cell r="D234" t="str">
            <v>봉 (팩)</v>
          </cell>
        </row>
        <row r="235">
          <cell r="A235">
            <v>30001796</v>
          </cell>
          <cell r="B235" t="str">
            <v>이우)건국연유(원)</v>
          </cell>
          <cell r="C235">
            <v>1.728</v>
          </cell>
          <cell r="D235" t="str">
            <v>봉 (팩)</v>
          </cell>
        </row>
        <row r="236">
          <cell r="A236">
            <v>30001800</v>
          </cell>
          <cell r="B236" t="str">
            <v>다인소재)유니믹스HG(원)</v>
          </cell>
          <cell r="C236">
            <v>0.53</v>
          </cell>
          <cell r="D236" t="str">
            <v>봉 (팩)</v>
          </cell>
        </row>
        <row r="237">
          <cell r="A237">
            <v>30001807</v>
          </cell>
          <cell r="B237" t="str">
            <v>이우)미원(원)</v>
          </cell>
          <cell r="C237">
            <v>2.331</v>
          </cell>
          <cell r="D237" t="str">
            <v>봉 (팩)</v>
          </cell>
        </row>
        <row r="238">
          <cell r="A238">
            <v>30001887</v>
          </cell>
          <cell r="B238" t="str">
            <v>NS)맛소금(원)</v>
          </cell>
          <cell r="C238">
            <v>0.14399999999999999</v>
          </cell>
          <cell r="D238" t="str">
            <v>봉 (팩)</v>
          </cell>
        </row>
        <row r="239">
          <cell r="A239">
            <v>30001937</v>
          </cell>
          <cell r="B239" t="str">
            <v>풍림)난황파우더(원)</v>
          </cell>
          <cell r="C239">
            <v>8.9999999999999993E-3</v>
          </cell>
          <cell r="D239" t="str">
            <v>봉 (팩)</v>
          </cell>
        </row>
        <row r="240">
          <cell r="A240">
            <v>30001938</v>
          </cell>
          <cell r="B240" t="str">
            <v>몽고진간장</v>
          </cell>
          <cell r="C240">
            <v>2.2709999999999999</v>
          </cell>
          <cell r="D240" t="str">
            <v>통</v>
          </cell>
        </row>
        <row r="241">
          <cell r="A241">
            <v>30002439</v>
          </cell>
          <cell r="B241" t="str">
            <v>NS)고추기름(원)</v>
          </cell>
          <cell r="C241">
            <v>2.2669999999999999</v>
          </cell>
          <cell r="D241" t="str">
            <v>통</v>
          </cell>
        </row>
        <row r="242">
          <cell r="A242">
            <v>30002511</v>
          </cell>
          <cell r="B242" t="str">
            <v>한성)고미트햄(원)</v>
          </cell>
          <cell r="C242">
            <v>99.207999999999998</v>
          </cell>
          <cell r="D242" t="str">
            <v>캔</v>
          </cell>
        </row>
        <row r="243">
          <cell r="A243">
            <v>30002524</v>
          </cell>
          <cell r="B243" t="str">
            <v>다인소재)유니믹스N2(원)</v>
          </cell>
          <cell r="C243">
            <v>0.50600000000000001</v>
          </cell>
          <cell r="D243" t="str">
            <v>봉 (팩)</v>
          </cell>
        </row>
        <row r="244">
          <cell r="A244">
            <v>30002547</v>
          </cell>
          <cell r="B244" t="str">
            <v>이우)신슈단무지(꼬들)(원)</v>
          </cell>
          <cell r="C244">
            <v>75.83</v>
          </cell>
          <cell r="D244" t="str">
            <v>봉 (팩)</v>
          </cell>
        </row>
        <row r="245">
          <cell r="A245">
            <v>30002628</v>
          </cell>
          <cell r="B245" t="str">
            <v>크러쉬드레드페퍼(원)</v>
          </cell>
          <cell r="C245">
            <v>0.75</v>
          </cell>
          <cell r="D245" t="str">
            <v>통</v>
          </cell>
        </row>
        <row r="246">
          <cell r="A246">
            <v>30002629</v>
          </cell>
          <cell r="B246" t="str">
            <v>그래도푸드)노란단무지13mm(원)</v>
          </cell>
          <cell r="C246">
            <v>143.44999999999999</v>
          </cell>
          <cell r="D246" t="str">
            <v>봉 (팩)</v>
          </cell>
        </row>
        <row r="247">
          <cell r="A247">
            <v>30002742</v>
          </cell>
          <cell r="B247" t="str">
            <v>롯데웰푸드)GS마요네즈(원)</v>
          </cell>
          <cell r="C247">
            <v>5.5839999999999996</v>
          </cell>
          <cell r="D247" t="str">
            <v>봉 (팩)</v>
          </cell>
        </row>
        <row r="248">
          <cell r="A248">
            <v>30002759</v>
          </cell>
          <cell r="B248" t="str">
            <v>성경재래도시락김(소포장)(원)</v>
          </cell>
          <cell r="C248">
            <v>388.9</v>
          </cell>
          <cell r="D248" t="str">
            <v>봉 (팩)</v>
          </cell>
        </row>
        <row r="249">
          <cell r="A249">
            <v>30002766</v>
          </cell>
          <cell r="B249" t="str">
            <v>일가집)채단무지(원)</v>
          </cell>
          <cell r="C249">
            <v>19.747</v>
          </cell>
          <cell r="D249" t="str">
            <v>봉 (팩)</v>
          </cell>
        </row>
        <row r="250">
          <cell r="A250">
            <v>30002769</v>
          </cell>
          <cell r="B250" t="str">
            <v>푸드머스)바릴라스파게티(원)</v>
          </cell>
          <cell r="C250">
            <v>3.91</v>
          </cell>
          <cell r="D250" t="str">
            <v>봉 (팩)</v>
          </cell>
        </row>
        <row r="251">
          <cell r="A251">
            <v>30002793</v>
          </cell>
          <cell r="B251" t="str">
            <v>NS)리챔오리지널(원)</v>
          </cell>
          <cell r="C251">
            <v>302.459</v>
          </cell>
          <cell r="D251" t="str">
            <v>캔</v>
          </cell>
        </row>
        <row r="252">
          <cell r="A252">
            <v>30002883</v>
          </cell>
          <cell r="B252" t="str">
            <v>청학)볶음흑임자(원)</v>
          </cell>
          <cell r="C252">
            <v>0.10199999999999999</v>
          </cell>
          <cell r="D252" t="str">
            <v>봉 (팩)</v>
          </cell>
        </row>
        <row r="253">
          <cell r="A253">
            <v>30002970</v>
          </cell>
          <cell r="B253" t="str">
            <v>청정원)돼지불고기양념(원)</v>
          </cell>
          <cell r="C253">
            <v>10.433</v>
          </cell>
          <cell r="D253" t="str">
            <v>통</v>
          </cell>
        </row>
        <row r="254">
          <cell r="A254">
            <v>30003006</v>
          </cell>
          <cell r="B254" t="str">
            <v>이엔)알밥단무지(원)</v>
          </cell>
          <cell r="C254">
            <v>3.4329999999999998</v>
          </cell>
          <cell r="D254" t="str">
            <v>봉 (팩)</v>
          </cell>
        </row>
        <row r="255">
          <cell r="A255">
            <v>30003009</v>
          </cell>
          <cell r="B255" t="str">
            <v>평화)햅쌀(500kg/포)</v>
          </cell>
          <cell r="C255">
            <v>3563.3919999999998</v>
          </cell>
          <cell r="D255" t="str">
            <v>Kg</v>
          </cell>
        </row>
        <row r="256">
          <cell r="A256">
            <v>30003061</v>
          </cell>
          <cell r="B256" t="str">
            <v>성경자반(원)</v>
          </cell>
          <cell r="C256">
            <v>14.273999999999999</v>
          </cell>
          <cell r="D256" t="str">
            <v>봉 (팩)</v>
          </cell>
        </row>
        <row r="257">
          <cell r="A257">
            <v>30003066</v>
          </cell>
          <cell r="B257" t="str">
            <v>이우)카라멜소스(원)</v>
          </cell>
          <cell r="C257">
            <v>0.59199999999999997</v>
          </cell>
          <cell r="D257" t="str">
            <v>통</v>
          </cell>
        </row>
        <row r="258">
          <cell r="A258">
            <v>30003115</v>
          </cell>
          <cell r="B258" t="str">
            <v>더원씨푸드)점보롤김</v>
          </cell>
          <cell r="C258">
            <v>20.716999999999999</v>
          </cell>
          <cell r="D258" t="str">
            <v>롤</v>
          </cell>
        </row>
        <row r="259">
          <cell r="A259">
            <v>30003137</v>
          </cell>
          <cell r="B259" t="str">
            <v>풀]솔리드 투명 삼각김(원)</v>
          </cell>
          <cell r="C259">
            <v>31.853000000000002</v>
          </cell>
          <cell r="D259" t="str">
            <v>봉 (팩)</v>
          </cell>
        </row>
        <row r="260">
          <cell r="A260">
            <v>30003148</v>
          </cell>
          <cell r="B260" t="str">
            <v>삼각김밥용김 2절 100매</v>
          </cell>
          <cell r="C260">
            <v>38.969000000000001</v>
          </cell>
          <cell r="D260" t="str">
            <v>봉 (팩)</v>
          </cell>
        </row>
        <row r="261">
          <cell r="A261">
            <v>30003155</v>
          </cell>
          <cell r="B261" t="str">
            <v>삼각김(무조미/100매)</v>
          </cell>
          <cell r="C261">
            <v>24.565999999999999</v>
          </cell>
          <cell r="D261" t="str">
            <v>봉 (팩)</v>
          </cell>
        </row>
        <row r="262">
          <cell r="A262">
            <v>30003168</v>
          </cell>
          <cell r="B262" t="str">
            <v>만전식품)3절김(원)</v>
          </cell>
          <cell r="C262">
            <v>6.0510000000000002</v>
          </cell>
          <cell r="D262" t="str">
            <v>봉 (팩)</v>
          </cell>
        </row>
        <row r="263">
          <cell r="A263">
            <v>30003203</v>
          </cell>
          <cell r="B263" t="str">
            <v>진양)점보삼각김[옐로우]</v>
          </cell>
          <cell r="C263">
            <v>6.1820000000000004</v>
          </cell>
          <cell r="D263" t="str">
            <v>봉 (팩)</v>
          </cell>
        </row>
        <row r="264">
          <cell r="A264">
            <v>30003264</v>
          </cell>
          <cell r="B264" t="str">
            <v>더원씨푸드)롤김</v>
          </cell>
          <cell r="C264">
            <v>1.321</v>
          </cell>
          <cell r="D264" t="str">
            <v>롤</v>
          </cell>
        </row>
        <row r="265">
          <cell r="A265">
            <v>30003276</v>
          </cell>
          <cell r="B265" t="str">
            <v>오뚜기)이금기치킨파우더(원)</v>
          </cell>
          <cell r="C265">
            <v>2.5999999999999999E-2</v>
          </cell>
          <cell r="D265" t="str">
            <v>봉 (팩)</v>
          </cell>
        </row>
        <row r="266">
          <cell r="A266">
            <v>30003296</v>
          </cell>
          <cell r="B266" t="str">
            <v>오뚜기)허니머스타드드레싱(원)</v>
          </cell>
          <cell r="C266">
            <v>2.3780000000000001</v>
          </cell>
          <cell r="D266" t="str">
            <v>봉 (팩)</v>
          </cell>
        </row>
        <row r="267">
          <cell r="A267">
            <v>30003322</v>
          </cell>
          <cell r="B267" t="str">
            <v>이우)크리스피어니언(원)</v>
          </cell>
          <cell r="C267">
            <v>0.95</v>
          </cell>
          <cell r="D267" t="str">
            <v>봉 (팩)</v>
          </cell>
        </row>
        <row r="268">
          <cell r="A268">
            <v>30003323</v>
          </cell>
          <cell r="B268" t="str">
            <v>이우)선인)단풍당시럽(원)</v>
          </cell>
          <cell r="C268">
            <v>1.4570000000000001</v>
          </cell>
          <cell r="D268" t="str">
            <v>봉 (팩)</v>
          </cell>
        </row>
        <row r="269">
          <cell r="A269">
            <v>30003340</v>
          </cell>
          <cell r="B269" t="str">
            <v>청정원)매운갈비양념(원)</v>
          </cell>
          <cell r="C269">
            <v>7.7930000000000001</v>
          </cell>
          <cell r="D269" t="str">
            <v>통</v>
          </cell>
        </row>
        <row r="270">
          <cell r="A270">
            <v>30003365</v>
          </cell>
          <cell r="B270" t="str">
            <v>오뚜기)이금기팬더굴소스(원)</v>
          </cell>
          <cell r="C270">
            <v>0.36299999999999999</v>
          </cell>
          <cell r="D270" t="str">
            <v>봉 (팩)</v>
          </cell>
        </row>
        <row r="271">
          <cell r="A271">
            <v>30003392</v>
          </cell>
          <cell r="B271" t="str">
            <v>CJ)백설돼지갈비양념(원)</v>
          </cell>
          <cell r="C271">
            <v>1.0780000000000001</v>
          </cell>
          <cell r="D271" t="str">
            <v>통</v>
          </cell>
        </row>
        <row r="272">
          <cell r="A272">
            <v>30003399</v>
          </cell>
          <cell r="B272" t="str">
            <v>청학)들기름(원)</v>
          </cell>
          <cell r="C272">
            <v>2.0219999999999998</v>
          </cell>
          <cell r="D272" t="str">
            <v>통</v>
          </cell>
        </row>
        <row r="273">
          <cell r="A273">
            <v>30003414</v>
          </cell>
          <cell r="B273" t="str">
            <v>농가참기름골드(소포장)(원)</v>
          </cell>
          <cell r="C273">
            <v>72</v>
          </cell>
          <cell r="D273" t="str">
            <v>개</v>
          </cell>
        </row>
        <row r="274">
          <cell r="A274">
            <v>30003419</v>
          </cell>
          <cell r="B274" t="str">
            <v>사조참치(원)</v>
          </cell>
          <cell r="C274">
            <v>66.203999999999994</v>
          </cell>
          <cell r="D274" t="str">
            <v>봉 (팩)</v>
          </cell>
        </row>
        <row r="275">
          <cell r="A275">
            <v>30003421</v>
          </cell>
          <cell r="B275" t="str">
            <v>구운김밥용김(반절김)</v>
          </cell>
          <cell r="C275">
            <v>39.594000000000001</v>
          </cell>
          <cell r="D275" t="str">
            <v>봉 (팩)</v>
          </cell>
        </row>
        <row r="276">
          <cell r="A276">
            <v>30003474</v>
          </cell>
          <cell r="B276" t="str">
            <v>동방)캡시컴스파이스로얄(원)</v>
          </cell>
          <cell r="C276">
            <v>0.105</v>
          </cell>
          <cell r="D276" t="str">
            <v>봉 (팩)</v>
          </cell>
        </row>
        <row r="277">
          <cell r="A277">
            <v>30003475</v>
          </cell>
          <cell r="B277" t="str">
            <v>대상)리치마요네즈(원)</v>
          </cell>
          <cell r="C277">
            <v>3.2629999999999999</v>
          </cell>
          <cell r="D277" t="str">
            <v>봉 (팩)</v>
          </cell>
        </row>
        <row r="278">
          <cell r="A278">
            <v>30003476</v>
          </cell>
          <cell r="B278" t="str">
            <v>이너피스)표고버섯캔(원)</v>
          </cell>
          <cell r="C278">
            <v>7.9359999999999999</v>
          </cell>
          <cell r="D278" t="str">
            <v>캔</v>
          </cell>
        </row>
        <row r="279">
          <cell r="A279">
            <v>30003528</v>
          </cell>
          <cell r="B279" t="str">
            <v>태원)불맛향미유(원)</v>
          </cell>
          <cell r="C279">
            <v>0.38650000000000001</v>
          </cell>
          <cell r="D279" t="str">
            <v>봉 (팩)</v>
          </cell>
        </row>
        <row r="280">
          <cell r="A280">
            <v>30003541</v>
          </cell>
          <cell r="B280" t="str">
            <v>진양)점보삼각김밥김(투명)</v>
          </cell>
          <cell r="C280">
            <v>241.56</v>
          </cell>
          <cell r="D280" t="str">
            <v>봉 (팩)</v>
          </cell>
        </row>
        <row r="281">
          <cell r="A281">
            <v>30003544</v>
          </cell>
          <cell r="B281" t="str">
            <v>오뚜기)GS마요네즈(원)</v>
          </cell>
          <cell r="C281">
            <v>13.571</v>
          </cell>
          <cell r="D281" t="str">
            <v>봉 (팩)</v>
          </cell>
        </row>
        <row r="282">
          <cell r="A282">
            <v>30003545</v>
          </cell>
          <cell r="B282" t="str">
            <v>동원)참치다시(원)</v>
          </cell>
          <cell r="C282">
            <v>0.41099999999999998</v>
          </cell>
          <cell r="D282" t="str">
            <v>봉 (팩)</v>
          </cell>
        </row>
        <row r="283">
          <cell r="A283">
            <v>30003546</v>
          </cell>
          <cell r="B283" t="str">
            <v>감자전분(원)</v>
          </cell>
          <cell r="C283">
            <v>6.7000000000000004E-2</v>
          </cell>
          <cell r="D283" t="str">
            <v>봉 (팩)</v>
          </cell>
        </row>
        <row r="284">
          <cell r="A284">
            <v>30003547</v>
          </cell>
          <cell r="B284" t="str">
            <v>이너피스)양송이버섯캔(원)</v>
          </cell>
          <cell r="C284">
            <v>7.9000000000000001E-2</v>
          </cell>
          <cell r="D284" t="str">
            <v>캔</v>
          </cell>
        </row>
        <row r="285">
          <cell r="A285">
            <v>30002327</v>
          </cell>
          <cell r="B285" t="str">
            <v>흑미</v>
          </cell>
          <cell r="C285">
            <v>2.59</v>
          </cell>
          <cell r="D285" t="str">
            <v>봉 (팩)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품목코드</v>
          </cell>
          <cell r="B1" t="str">
            <v>품목명칭 1</v>
          </cell>
          <cell r="C1" t="str">
            <v>지시량</v>
          </cell>
          <cell r="D1" t="str">
            <v>단위</v>
          </cell>
        </row>
        <row r="2">
          <cell r="A2">
            <v>30002630</v>
          </cell>
          <cell r="B2" t="str">
            <v>빵가루(원)</v>
          </cell>
          <cell r="C2">
            <v>0.316</v>
          </cell>
          <cell r="D2" t="str">
            <v>Kg</v>
          </cell>
        </row>
        <row r="3">
          <cell r="A3">
            <v>30003320</v>
          </cell>
          <cell r="B3" t="str">
            <v>삼립)핫도그번(원)</v>
          </cell>
          <cell r="C3">
            <v>237</v>
          </cell>
          <cell r="D3" t="str">
            <v>개</v>
          </cell>
        </row>
        <row r="4">
          <cell r="A4">
            <v>20001437</v>
          </cell>
          <cell r="B4" t="str">
            <v>선진)냉동비프불고기토핑(원)</v>
          </cell>
          <cell r="C4">
            <v>9.0020000000000007</v>
          </cell>
          <cell r="D4" t="str">
            <v>봉 (팩)</v>
          </cell>
        </row>
        <row r="5">
          <cell r="A5">
            <v>20001843</v>
          </cell>
          <cell r="B5" t="str">
            <v>푸른원)냉동시금치(원)</v>
          </cell>
          <cell r="C5">
            <v>214.41900000000001</v>
          </cell>
          <cell r="D5" t="str">
            <v>봉 (팩)</v>
          </cell>
        </row>
        <row r="6">
          <cell r="A6">
            <v>20194894</v>
          </cell>
          <cell r="B6" t="str">
            <v>이우)왕닭다리(원)</v>
          </cell>
          <cell r="C6">
            <v>6.2110000000000003</v>
          </cell>
          <cell r="D6" t="str">
            <v>봉 (팩)</v>
          </cell>
        </row>
        <row r="7">
          <cell r="A7">
            <v>30000023</v>
          </cell>
          <cell r="B7" t="str">
            <v>풍림)완숙계란후라이</v>
          </cell>
          <cell r="C7">
            <v>42.95</v>
          </cell>
          <cell r="D7" t="str">
            <v>봉 (팩)</v>
          </cell>
        </row>
        <row r="8">
          <cell r="A8">
            <v>30001086</v>
          </cell>
          <cell r="B8" t="str">
            <v>푸른원)냉동혼합야채4종(원)</v>
          </cell>
          <cell r="C8">
            <v>9.7919999999999998</v>
          </cell>
          <cell r="D8" t="str">
            <v>봉 (팩)</v>
          </cell>
        </row>
        <row r="9">
          <cell r="A9">
            <v>30001145</v>
          </cell>
          <cell r="B9" t="str">
            <v>냉동다진마늘(푸른)(원)</v>
          </cell>
          <cell r="C9">
            <v>13.295</v>
          </cell>
          <cell r="D9" t="str">
            <v>봉 (팩)</v>
          </cell>
        </row>
        <row r="10">
          <cell r="A10">
            <v>30001804</v>
          </cell>
          <cell r="B10" t="str">
            <v>아워홈)70미니등심돈까_15개(원)</v>
          </cell>
          <cell r="C10">
            <v>178.96600000000001</v>
          </cell>
          <cell r="D10" t="str">
            <v>봉 (팩)</v>
          </cell>
        </row>
        <row r="11">
          <cell r="A11">
            <v>30002098</v>
          </cell>
          <cell r="B11" t="str">
            <v>나트륨줄인가라아게(원)</v>
          </cell>
          <cell r="C11">
            <v>89.832999999999998</v>
          </cell>
          <cell r="D11" t="str">
            <v>봉 (팩)</v>
          </cell>
        </row>
        <row r="12">
          <cell r="A12">
            <v>30002109</v>
          </cell>
          <cell r="B12" t="str">
            <v>풍림)스크램블드에그(원)</v>
          </cell>
          <cell r="C12">
            <v>28.949000000000002</v>
          </cell>
          <cell r="D12" t="str">
            <v>봉 (팩)</v>
          </cell>
        </row>
        <row r="13">
          <cell r="A13">
            <v>30002283</v>
          </cell>
          <cell r="B13" t="str">
            <v>푸른원)냉동알마늘(원)</v>
          </cell>
          <cell r="C13">
            <v>12.093</v>
          </cell>
          <cell r="D13" t="str">
            <v>봉 (팩)</v>
          </cell>
        </row>
        <row r="14">
          <cell r="A14">
            <v>30002324</v>
          </cell>
          <cell r="B14" t="str">
            <v>대상)반숙계란후라이_냉동(원)</v>
          </cell>
          <cell r="C14">
            <v>107.7</v>
          </cell>
          <cell r="D14" t="str">
            <v>봉 (팩)</v>
          </cell>
        </row>
        <row r="15">
          <cell r="A15">
            <v>30002522</v>
          </cell>
          <cell r="B15" t="str">
            <v>대상)고추장돼지불고기토핑(원)</v>
          </cell>
          <cell r="C15">
            <v>20.542000000000002</v>
          </cell>
          <cell r="D15" t="str">
            <v>봉 (팩)</v>
          </cell>
        </row>
        <row r="16">
          <cell r="A16">
            <v>30002526</v>
          </cell>
          <cell r="B16" t="str">
            <v>조흥)엔젤헤어치즈MC55(원)</v>
          </cell>
          <cell r="C16">
            <v>0.11899999999999999</v>
          </cell>
          <cell r="D16" t="str">
            <v>봉 (팩)</v>
          </cell>
        </row>
        <row r="17">
          <cell r="A17">
            <v>30002549</v>
          </cell>
          <cell r="B17" t="str">
            <v>한돈프리미엄돈카츠(원)</v>
          </cell>
          <cell r="C17">
            <v>125</v>
          </cell>
          <cell r="D17" t="str">
            <v>봉 (팩)</v>
          </cell>
        </row>
        <row r="18">
          <cell r="A18">
            <v>30002655</v>
          </cell>
          <cell r="B18" t="str">
            <v>전지베이컨(봉당50장)(원)</v>
          </cell>
          <cell r="C18">
            <v>31.271000000000001</v>
          </cell>
          <cell r="D18" t="str">
            <v>봉 (팩)</v>
          </cell>
        </row>
        <row r="19">
          <cell r="A19">
            <v>30002747</v>
          </cell>
          <cell r="B19" t="str">
            <v>대상)간장돼지불고기(원)</v>
          </cell>
          <cell r="C19">
            <v>29.154</v>
          </cell>
          <cell r="D19" t="str">
            <v>봉 (팩)</v>
          </cell>
        </row>
        <row r="20">
          <cell r="A20">
            <v>30002748</v>
          </cell>
          <cell r="B20" t="str">
            <v>대상)고추장돼지불고기(원)</v>
          </cell>
          <cell r="C20">
            <v>125.777</v>
          </cell>
          <cell r="D20" t="str">
            <v>봉 (팩)</v>
          </cell>
        </row>
        <row r="21">
          <cell r="A21">
            <v>30002893</v>
          </cell>
          <cell r="B21" t="str">
            <v>청정원)떡갈비_65개(원)</v>
          </cell>
          <cell r="C21">
            <v>21.523</v>
          </cell>
          <cell r="D21" t="str">
            <v>봉 (팩)</v>
          </cell>
        </row>
        <row r="22">
          <cell r="A22">
            <v>30002894</v>
          </cell>
          <cell r="B22" t="str">
            <v>크레잇)계란동그랑땡(46개)(원)</v>
          </cell>
          <cell r="C22">
            <v>30.413</v>
          </cell>
          <cell r="D22" t="str">
            <v>봉 (팩)</v>
          </cell>
        </row>
        <row r="23">
          <cell r="A23">
            <v>30002895</v>
          </cell>
          <cell r="B23" t="str">
            <v>대상)매콤한양념닭갈비(원)</v>
          </cell>
          <cell r="C23">
            <v>37.006</v>
          </cell>
          <cell r="D23" t="str">
            <v>봉 (팩)</v>
          </cell>
        </row>
        <row r="24">
          <cell r="A24">
            <v>30002949</v>
          </cell>
          <cell r="B24" t="str">
            <v>청학)냉동대파슬라이스(원)</v>
          </cell>
          <cell r="C24">
            <v>6.9740000000000002</v>
          </cell>
          <cell r="D24" t="str">
            <v>봉 (팩)</v>
          </cell>
        </row>
        <row r="25">
          <cell r="A25">
            <v>30002950</v>
          </cell>
          <cell r="B25" t="str">
            <v>선진)매콤오징어(원)</v>
          </cell>
          <cell r="C25">
            <v>17.437000000000001</v>
          </cell>
          <cell r="D25" t="str">
            <v>봉 (팩)</v>
          </cell>
        </row>
        <row r="26">
          <cell r="A26">
            <v>30002951</v>
          </cell>
          <cell r="B26" t="str">
            <v>선진)매콤제육(원)</v>
          </cell>
          <cell r="C26">
            <v>50.323999999999998</v>
          </cell>
          <cell r="D26" t="str">
            <v>봉 (팩)</v>
          </cell>
        </row>
        <row r="27">
          <cell r="A27">
            <v>30002987</v>
          </cell>
          <cell r="B27" t="str">
            <v>등심돈까스140(10개)(원)</v>
          </cell>
          <cell r="C27">
            <v>100.3</v>
          </cell>
          <cell r="D27" t="str">
            <v>봉 (팩)</v>
          </cell>
        </row>
        <row r="28">
          <cell r="A28">
            <v>30002988</v>
          </cell>
          <cell r="B28" t="str">
            <v>선진)미트볼골드(봉당90개)(원)</v>
          </cell>
          <cell r="C28">
            <v>11.144</v>
          </cell>
          <cell r="D28" t="str">
            <v>봉 (팩)</v>
          </cell>
        </row>
        <row r="29">
          <cell r="A29">
            <v>30003072</v>
          </cell>
          <cell r="B29" t="str">
            <v>크레잇)꼬마돈카츠(95개)(원)</v>
          </cell>
          <cell r="C29">
            <v>55.936</v>
          </cell>
          <cell r="D29" t="str">
            <v>봉 (팩)</v>
          </cell>
        </row>
        <row r="30">
          <cell r="A30">
            <v>30003285</v>
          </cell>
          <cell r="B30" t="str">
            <v>아워홈)미니사각어묵(원)</v>
          </cell>
          <cell r="C30">
            <v>72.179000000000002</v>
          </cell>
          <cell r="D30" t="str">
            <v>봉 (팩)</v>
          </cell>
        </row>
        <row r="31">
          <cell r="A31">
            <v>30003287</v>
          </cell>
          <cell r="B31" t="str">
            <v>G세블락프랑크(케이싱(20개(원)</v>
          </cell>
          <cell r="C31">
            <v>11.85</v>
          </cell>
          <cell r="D31" t="str">
            <v>봉 (팩)</v>
          </cell>
        </row>
        <row r="32">
          <cell r="A32">
            <v>30003294</v>
          </cell>
          <cell r="B32" t="str">
            <v>오래)매콤고추장제육불고기(원)</v>
          </cell>
          <cell r="C32">
            <v>14.632</v>
          </cell>
          <cell r="D32" t="str">
            <v>봉 (팩)</v>
          </cell>
        </row>
        <row r="33">
          <cell r="A33">
            <v>30003295</v>
          </cell>
          <cell r="B33" t="str">
            <v>선진)혜자토네이도소시지(원)</v>
          </cell>
          <cell r="C33">
            <v>64.213999999999999</v>
          </cell>
          <cell r="D33" t="str">
            <v>봉 (팩)</v>
          </cell>
        </row>
        <row r="34">
          <cell r="A34">
            <v>30003297</v>
          </cell>
          <cell r="B34" t="str">
            <v>국일)더잘군불향가득츠쿠네(원)</v>
          </cell>
          <cell r="C34">
            <v>22.475000000000001</v>
          </cell>
          <cell r="D34" t="str">
            <v>봉 (팩)</v>
          </cell>
        </row>
        <row r="35">
          <cell r="A35">
            <v>30003343</v>
          </cell>
          <cell r="B35" t="str">
            <v>쉐프원)김밥용달걀말이(원)</v>
          </cell>
          <cell r="C35">
            <v>53.767000000000003</v>
          </cell>
          <cell r="D35" t="str">
            <v>봉 (팩)</v>
          </cell>
        </row>
        <row r="36">
          <cell r="A36">
            <v>30003364</v>
          </cell>
          <cell r="B36" t="str">
            <v>아워홈)치킨스테이크(원)</v>
          </cell>
          <cell r="C36">
            <v>37.457999999999998</v>
          </cell>
          <cell r="D36" t="str">
            <v>봉 (팩)</v>
          </cell>
        </row>
        <row r="37">
          <cell r="A37">
            <v>30003391</v>
          </cell>
          <cell r="B37" t="str">
            <v>CJ)크레잇간장돼지불고기(원)</v>
          </cell>
          <cell r="C37">
            <v>37.929000000000002</v>
          </cell>
          <cell r="D37" t="str">
            <v>봉 (팩)</v>
          </cell>
        </row>
        <row r="38">
          <cell r="A38">
            <v>30003393</v>
          </cell>
          <cell r="B38" t="str">
            <v>현대그린푸드)냉동열무나물(원)</v>
          </cell>
          <cell r="C38">
            <v>37.22</v>
          </cell>
          <cell r="D38" t="str">
            <v>봉 (팩)</v>
          </cell>
        </row>
        <row r="39">
          <cell r="A39">
            <v>30003415</v>
          </cell>
          <cell r="B39" t="str">
            <v>대상)매운마늘맛불고기(원)</v>
          </cell>
          <cell r="C39">
            <v>1.613</v>
          </cell>
          <cell r="D39" t="str">
            <v>봉 (팩)</v>
          </cell>
        </row>
        <row r="40">
          <cell r="A40">
            <v>30003438</v>
          </cell>
          <cell r="B40" t="str">
            <v>아워홈)연탄구이맛제육(원)</v>
          </cell>
          <cell r="C40">
            <v>49.472000000000001</v>
          </cell>
          <cell r="D40" t="str">
            <v>봉 (팩)</v>
          </cell>
        </row>
        <row r="41">
          <cell r="A41">
            <v>30003440</v>
          </cell>
          <cell r="B41" t="str">
            <v>선진)찌개용어슷후랑크(원)</v>
          </cell>
          <cell r="C41">
            <v>29.925000000000001</v>
          </cell>
          <cell r="D41" t="str">
            <v>봉 (팩)</v>
          </cell>
        </row>
        <row r="42">
          <cell r="A42">
            <v>30003442</v>
          </cell>
          <cell r="B42" t="str">
            <v>현대)건새우마늘쫑볶음(원)</v>
          </cell>
          <cell r="C42">
            <v>39.840000000000003</v>
          </cell>
          <cell r="D42" t="str">
            <v>봉 (팩)</v>
          </cell>
        </row>
        <row r="43">
          <cell r="A43">
            <v>30003464</v>
          </cell>
          <cell r="B43" t="str">
            <v>야미)계란옷입은소시지전(원)</v>
          </cell>
          <cell r="C43">
            <v>18.885000000000002</v>
          </cell>
          <cell r="D43" t="str">
            <v>봉 (팩)</v>
          </cell>
        </row>
        <row r="44">
          <cell r="A44">
            <v>30003466</v>
          </cell>
          <cell r="B44" t="str">
            <v>선진)매콤한춘천식닭갈비(원)</v>
          </cell>
          <cell r="C44">
            <v>20.138000000000002</v>
          </cell>
          <cell r="D44" t="str">
            <v>봉 (팩)</v>
          </cell>
        </row>
        <row r="45">
          <cell r="A45">
            <v>30003470</v>
          </cell>
          <cell r="B45" t="str">
            <v>냉동삶은감자(2cm다이스)(원)</v>
          </cell>
          <cell r="C45">
            <v>15.172000000000001</v>
          </cell>
          <cell r="D45" t="str">
            <v>봉 (팩)</v>
          </cell>
        </row>
        <row r="46">
          <cell r="A46">
            <v>30003472</v>
          </cell>
          <cell r="B46" t="str">
            <v>닭가슴살치킨텐더스틱(원)</v>
          </cell>
          <cell r="C46">
            <v>30.047999999999998</v>
          </cell>
          <cell r="D46" t="str">
            <v>봉 (팩)</v>
          </cell>
        </row>
        <row r="47">
          <cell r="A47">
            <v>30003487</v>
          </cell>
          <cell r="B47" t="str">
            <v>선진)두부두루치기용다짐육(원)</v>
          </cell>
          <cell r="C47">
            <v>1.0409999999999999</v>
          </cell>
          <cell r="D47" t="str">
            <v>봉 (팩)</v>
          </cell>
        </row>
        <row r="48">
          <cell r="A48">
            <v>30003527</v>
          </cell>
          <cell r="B48" t="str">
            <v>선진)대파불고기양념육(원)</v>
          </cell>
          <cell r="C48">
            <v>64.721999999999994</v>
          </cell>
          <cell r="D48" t="str">
            <v>봉 (팩)</v>
          </cell>
        </row>
        <row r="49">
          <cell r="A49">
            <v>30003530</v>
          </cell>
          <cell r="B49" t="str">
            <v>대상)비빔밥용돼지고기(원)</v>
          </cell>
          <cell r="C49">
            <v>9.8249999999999993</v>
          </cell>
          <cell r="D49" t="str">
            <v>봉 (팩)</v>
          </cell>
        </row>
        <row r="50">
          <cell r="A50">
            <v>30003532</v>
          </cell>
          <cell r="B50" t="str">
            <v>한울)유채나물무침(원)</v>
          </cell>
          <cell r="C50">
            <v>16.463000000000001</v>
          </cell>
          <cell r="D50" t="str">
            <v>봉 (팩)</v>
          </cell>
        </row>
        <row r="51">
          <cell r="A51">
            <v>30003558</v>
          </cell>
          <cell r="B51" t="str">
            <v>대상)고추장돈육전지불고기(원)</v>
          </cell>
          <cell r="C51">
            <v>67.694000000000003</v>
          </cell>
          <cell r="D51" t="str">
            <v>봉 (팩)</v>
          </cell>
        </row>
        <row r="52">
          <cell r="A52">
            <v>20001849</v>
          </cell>
          <cell r="B52" t="str">
            <v>게맛살(원)</v>
          </cell>
          <cell r="C52">
            <v>82.016999999999996</v>
          </cell>
          <cell r="D52" t="str">
            <v>봉 (팩)</v>
          </cell>
        </row>
        <row r="53">
          <cell r="A53">
            <v>30000091</v>
          </cell>
          <cell r="B53" t="str">
            <v>파프리카소스(원)</v>
          </cell>
          <cell r="C53">
            <v>3.2759999999999998</v>
          </cell>
          <cell r="D53" t="str">
            <v>봉 (팩)</v>
          </cell>
        </row>
        <row r="54">
          <cell r="A54">
            <v>30000096</v>
          </cell>
          <cell r="B54" t="str">
            <v>한울)다진맛김치(원)</v>
          </cell>
          <cell r="C54">
            <v>2.964</v>
          </cell>
          <cell r="D54" t="str">
            <v>봉 (팩)</v>
          </cell>
        </row>
        <row r="55">
          <cell r="A55">
            <v>30000376</v>
          </cell>
          <cell r="B55" t="str">
            <v>골드스모크햄세절88(원)</v>
          </cell>
          <cell r="C55">
            <v>44.88</v>
          </cell>
          <cell r="D55" t="str">
            <v>봉 (팩)</v>
          </cell>
        </row>
        <row r="56">
          <cell r="A56">
            <v>30000910</v>
          </cell>
          <cell r="B56" t="str">
            <v>이레팜)야채계란말이(원)</v>
          </cell>
          <cell r="C56">
            <v>31.442</v>
          </cell>
          <cell r="D56" t="str">
            <v>봉 (팩)</v>
          </cell>
        </row>
        <row r="57">
          <cell r="A57">
            <v>30001165</v>
          </cell>
          <cell r="B57" t="str">
            <v>깍두기(원)</v>
          </cell>
          <cell r="C57">
            <v>2.891</v>
          </cell>
          <cell r="D57" t="str">
            <v>박스</v>
          </cell>
        </row>
        <row r="58">
          <cell r="A58">
            <v>30002007</v>
          </cell>
          <cell r="B58" t="str">
            <v>이레팜)계란구이(세절)(원)</v>
          </cell>
          <cell r="C58">
            <v>12.629</v>
          </cell>
          <cell r="D58" t="str">
            <v>봉 (팩)</v>
          </cell>
        </row>
        <row r="59">
          <cell r="A59">
            <v>30002355</v>
          </cell>
          <cell r="B59" t="str">
            <v>아워홈)부산어묵볼(150개)(원)</v>
          </cell>
          <cell r="C59">
            <v>27.7</v>
          </cell>
          <cell r="D59" t="str">
            <v>봉 (팩)</v>
          </cell>
        </row>
        <row r="60">
          <cell r="A60">
            <v>30002431</v>
          </cell>
          <cell r="B60" t="str">
            <v>크레잇)칼집비엔나(50개)(원)</v>
          </cell>
          <cell r="C60">
            <v>46.715000000000003</v>
          </cell>
          <cell r="D60" t="str">
            <v>봉 (팩)</v>
          </cell>
        </row>
        <row r="61">
          <cell r="A61">
            <v>30002457</v>
          </cell>
          <cell r="B61" t="str">
            <v>제니코_체다슬라치즈(82개)(원)</v>
          </cell>
          <cell r="C61">
            <v>66.057000000000002</v>
          </cell>
          <cell r="D61" t="str">
            <v>봉 (팩)</v>
          </cell>
        </row>
        <row r="62">
          <cell r="A62">
            <v>30002467</v>
          </cell>
          <cell r="B62" t="str">
            <v>미트뱅크)매콤불고기양념육(원)</v>
          </cell>
          <cell r="C62">
            <v>8.4510000000000005</v>
          </cell>
          <cell r="D62" t="str">
            <v>봉 (팩)</v>
          </cell>
        </row>
        <row r="63">
          <cell r="A63">
            <v>30002488</v>
          </cell>
          <cell r="B63" t="str">
            <v>사조오양)쵸핑스모크햄(원)</v>
          </cell>
          <cell r="C63">
            <v>2.0230000000000001</v>
          </cell>
          <cell r="D63" t="str">
            <v>봉 (팩)</v>
          </cell>
        </row>
        <row r="64">
          <cell r="A64">
            <v>30002555</v>
          </cell>
          <cell r="B64" t="str">
            <v>MDS)햄마카로니샐러드G(원)</v>
          </cell>
          <cell r="C64">
            <v>50.893000000000001</v>
          </cell>
          <cell r="D64" t="str">
            <v>봉 (팩)</v>
          </cell>
        </row>
        <row r="65">
          <cell r="A65">
            <v>30002593</v>
          </cell>
          <cell r="B65" t="str">
            <v>MDS)콘버터G(원)</v>
          </cell>
          <cell r="C65">
            <v>27.43</v>
          </cell>
          <cell r="D65" t="str">
            <v>봉 (팩)</v>
          </cell>
        </row>
        <row r="66">
          <cell r="A66">
            <v>30002614</v>
          </cell>
          <cell r="B66" t="str">
            <v>동원)비엔나소세지_110개(원)</v>
          </cell>
          <cell r="C66">
            <v>62.954999999999998</v>
          </cell>
          <cell r="D66" t="str">
            <v>봉 (팩)</v>
          </cell>
        </row>
        <row r="67">
          <cell r="A67">
            <v>30002846</v>
          </cell>
          <cell r="B67" t="str">
            <v>대상)비빔밥용고추장소스A(원)</v>
          </cell>
          <cell r="C67">
            <v>2.145</v>
          </cell>
          <cell r="D67" t="str">
            <v>봉 (팩)</v>
          </cell>
        </row>
        <row r="68">
          <cell r="A68">
            <v>30002896</v>
          </cell>
          <cell r="B68" t="str">
            <v>동방)통통쏘야소스(원)</v>
          </cell>
          <cell r="C68">
            <v>3.7690000000000001</v>
          </cell>
          <cell r="D68" t="str">
            <v>봉 (팩)</v>
          </cell>
        </row>
        <row r="69">
          <cell r="A69">
            <v>30002902</v>
          </cell>
          <cell r="B69" t="str">
            <v>베지가든)토마토파스타소스(원)</v>
          </cell>
          <cell r="C69">
            <v>13.622999999999999</v>
          </cell>
          <cell r="D69" t="str">
            <v>봉 (팩)</v>
          </cell>
        </row>
        <row r="70">
          <cell r="A70">
            <v>30002903</v>
          </cell>
          <cell r="B70" t="str">
            <v>선진)치즈콕콕소시지(14개)(원)</v>
          </cell>
          <cell r="C70">
            <v>157.5</v>
          </cell>
          <cell r="D70" t="str">
            <v>봉 (팩)</v>
          </cell>
        </row>
        <row r="71">
          <cell r="A71">
            <v>30002904</v>
          </cell>
          <cell r="B71" t="str">
            <v>다미)할라피뇨칠리소스(원)</v>
          </cell>
          <cell r="C71">
            <v>6.37</v>
          </cell>
          <cell r="D71" t="str">
            <v>봉 (팩)</v>
          </cell>
        </row>
        <row r="72">
          <cell r="A72">
            <v>30002992</v>
          </cell>
          <cell r="B72" t="str">
            <v>FS)경양식돈까스소스H(소포장(원</v>
          </cell>
          <cell r="C72">
            <v>1003</v>
          </cell>
          <cell r="D72" t="str">
            <v>개</v>
          </cell>
        </row>
        <row r="73">
          <cell r="A73">
            <v>30003070</v>
          </cell>
          <cell r="B73" t="str">
            <v>한성)숯불구이맛김밥햄(원)</v>
          </cell>
          <cell r="C73">
            <v>12.29</v>
          </cell>
          <cell r="D73" t="str">
            <v>봉 (팩)</v>
          </cell>
        </row>
        <row r="74">
          <cell r="A74">
            <v>30003074</v>
          </cell>
          <cell r="B74" t="str">
            <v>조흥)숙성체다치즈소스(원)</v>
          </cell>
          <cell r="C74">
            <v>0.74099999999999999</v>
          </cell>
          <cell r="D74" t="str">
            <v>봉 (팩)</v>
          </cell>
        </row>
        <row r="75">
          <cell r="A75">
            <v>30003311</v>
          </cell>
          <cell r="B75" t="str">
            <v>풍림)계란후라이(패티/냉장)(원)</v>
          </cell>
          <cell r="C75">
            <v>39.1</v>
          </cell>
          <cell r="D75" t="str">
            <v>봉 (팩)</v>
          </cell>
        </row>
        <row r="76">
          <cell r="A76">
            <v>30003344</v>
          </cell>
          <cell r="B76" t="str">
            <v>대상)청양고추머스타드소스(원)</v>
          </cell>
          <cell r="C76">
            <v>1.177</v>
          </cell>
          <cell r="D76" t="str">
            <v>봉 (팩)</v>
          </cell>
        </row>
        <row r="77">
          <cell r="A77">
            <v>30003352</v>
          </cell>
          <cell r="B77" t="str">
            <v>일미)새콤한코올슬로우(원)</v>
          </cell>
          <cell r="C77">
            <v>26.829000000000001</v>
          </cell>
          <cell r="D77" t="str">
            <v>봉 (팩)</v>
          </cell>
        </row>
        <row r="78">
          <cell r="A78">
            <v>30003459</v>
          </cell>
          <cell r="B78" t="str">
            <v>미트뱅크)볶음제육양념육(원)</v>
          </cell>
          <cell r="C78">
            <v>8.1340000000000003</v>
          </cell>
          <cell r="D78" t="str">
            <v>봉 (팩)</v>
          </cell>
        </row>
        <row r="79">
          <cell r="A79">
            <v>30003465</v>
          </cell>
          <cell r="B79" t="str">
            <v>다미)닭갈비소스(원)</v>
          </cell>
          <cell r="C79">
            <v>1.8280000000000001</v>
          </cell>
          <cell r="D79" t="str">
            <v>봉 (팩)</v>
          </cell>
        </row>
        <row r="80">
          <cell r="A80">
            <v>30003467</v>
          </cell>
          <cell r="B80" t="str">
            <v>동방)자메이카핫치킨소스(원)</v>
          </cell>
          <cell r="C80">
            <v>0.89900000000000002</v>
          </cell>
          <cell r="D80" t="str">
            <v>봉 (팩)</v>
          </cell>
        </row>
        <row r="81">
          <cell r="A81">
            <v>30003468</v>
          </cell>
          <cell r="B81" t="str">
            <v>동방)시크릿양념치킨소스(원)</v>
          </cell>
          <cell r="C81">
            <v>2.226</v>
          </cell>
          <cell r="D81" t="str">
            <v>봉 (팩)</v>
          </cell>
        </row>
        <row r="82">
          <cell r="A82">
            <v>30003510</v>
          </cell>
          <cell r="B82" t="str">
            <v>이레팜)더커진계란구이(원)</v>
          </cell>
          <cell r="C82">
            <v>149.47900000000001</v>
          </cell>
          <cell r="D82" t="str">
            <v>봉 (팩)</v>
          </cell>
        </row>
        <row r="83">
          <cell r="A83">
            <v>30003511</v>
          </cell>
          <cell r="B83" t="str">
            <v>아워홈)김밥용어묵슬라이스(원)</v>
          </cell>
          <cell r="C83">
            <v>61.908000000000001</v>
          </cell>
          <cell r="D83" t="str">
            <v>봉 (팩)</v>
          </cell>
        </row>
        <row r="84">
          <cell r="A84">
            <v>30003555</v>
          </cell>
          <cell r="B84" t="str">
            <v>다미)마파두부소스(원)</v>
          </cell>
          <cell r="C84">
            <v>0.84599999999999997</v>
          </cell>
          <cell r="D84" t="str">
            <v>봉 (팩)</v>
          </cell>
        </row>
        <row r="85">
          <cell r="A85">
            <v>30003556</v>
          </cell>
          <cell r="B85" t="str">
            <v>태원)마라상궈소스(원)</v>
          </cell>
          <cell r="C85">
            <v>6.4000000000000001E-2</v>
          </cell>
          <cell r="D85" t="str">
            <v>봉 (팩)</v>
          </cell>
        </row>
        <row r="86">
          <cell r="A86">
            <v>30003557</v>
          </cell>
          <cell r="B86" t="str">
            <v>조리편한조각두부(찌개용)(원)</v>
          </cell>
          <cell r="C86">
            <v>3.1379999999999999</v>
          </cell>
          <cell r="D86" t="str">
            <v>봉 (팩)</v>
          </cell>
        </row>
        <row r="87">
          <cell r="A87">
            <v>20001846</v>
          </cell>
          <cell r="B87" t="str">
            <v>전처리당근채(3mm)(원)</v>
          </cell>
          <cell r="C87">
            <v>58.42</v>
          </cell>
          <cell r="D87" t="str">
            <v>봉 (팩)</v>
          </cell>
        </row>
        <row r="88">
          <cell r="A88">
            <v>30000065</v>
          </cell>
          <cell r="B88" t="str">
            <v>FS)고추장불고기소스(원)</v>
          </cell>
          <cell r="C88">
            <v>23.68</v>
          </cell>
          <cell r="D88" t="str">
            <v>봉 (팩)</v>
          </cell>
        </row>
        <row r="89">
          <cell r="A89">
            <v>30000081</v>
          </cell>
          <cell r="B89" t="str">
            <v>부림)깐당근(원)</v>
          </cell>
          <cell r="C89">
            <v>0.60899999999999999</v>
          </cell>
          <cell r="D89" t="str">
            <v>박스</v>
          </cell>
        </row>
        <row r="90">
          <cell r="A90">
            <v>30000086</v>
          </cell>
          <cell r="B90" t="str">
            <v>콩나물(원)</v>
          </cell>
          <cell r="C90">
            <v>11.097</v>
          </cell>
          <cell r="D90" t="str">
            <v>박스</v>
          </cell>
        </row>
        <row r="91">
          <cell r="A91">
            <v>30000094</v>
          </cell>
          <cell r="B91" t="str">
            <v>FS)볶음김치밥용소스-엠(원)</v>
          </cell>
          <cell r="C91">
            <v>4.8440000000000003</v>
          </cell>
          <cell r="D91" t="str">
            <v>봉 (팩)</v>
          </cell>
        </row>
        <row r="92">
          <cell r="A92">
            <v>30000121</v>
          </cell>
          <cell r="B92" t="str">
            <v>한울)볶음김치골드(원)</v>
          </cell>
          <cell r="C92">
            <v>45.566000000000003</v>
          </cell>
          <cell r="D92" t="str">
            <v>봉 (팩)</v>
          </cell>
        </row>
        <row r="93">
          <cell r="A93">
            <v>30000124</v>
          </cell>
          <cell r="B93" t="str">
            <v>깐쪽파(원재료)</v>
          </cell>
          <cell r="C93">
            <v>5.7119999999999997</v>
          </cell>
          <cell r="D93" t="str">
            <v>봉 (팩)</v>
          </cell>
        </row>
        <row r="94">
          <cell r="A94">
            <v>30000709</v>
          </cell>
          <cell r="B94" t="str">
            <v>FS)김치볶음밥용소스(원)</v>
          </cell>
          <cell r="C94">
            <v>38.706000000000003</v>
          </cell>
          <cell r="D94" t="str">
            <v>봉 (팩)</v>
          </cell>
        </row>
        <row r="95">
          <cell r="A95">
            <v>30000746</v>
          </cell>
          <cell r="B95" t="str">
            <v>동방)어묵볶음용소스-FS(원)</v>
          </cell>
          <cell r="C95">
            <v>1.9470000000000001</v>
          </cell>
          <cell r="D95" t="str">
            <v>봉 (팩)</v>
          </cell>
        </row>
        <row r="96">
          <cell r="A96">
            <v>30001057</v>
          </cell>
          <cell r="B96" t="str">
            <v>FS)간장소스-케이(원)</v>
          </cell>
          <cell r="C96">
            <v>4.5179999999999998</v>
          </cell>
          <cell r="D96" t="str">
            <v>봉 (팩)</v>
          </cell>
        </row>
        <row r="97">
          <cell r="A97">
            <v>30001126</v>
          </cell>
          <cell r="B97" t="str">
            <v>부림)양배추(원)</v>
          </cell>
          <cell r="C97">
            <v>26.117999999999999</v>
          </cell>
          <cell r="D97" t="str">
            <v>박스</v>
          </cell>
        </row>
        <row r="98">
          <cell r="A98">
            <v>30001136</v>
          </cell>
          <cell r="B98" t="str">
            <v>부림)깻잎(원)</v>
          </cell>
          <cell r="C98">
            <v>4.6500000000000004</v>
          </cell>
          <cell r="D98" t="str">
            <v>박스</v>
          </cell>
        </row>
        <row r="99">
          <cell r="A99">
            <v>30001166</v>
          </cell>
          <cell r="B99" t="str">
            <v>부림)깐도라지채(원)</v>
          </cell>
          <cell r="C99">
            <v>10.715999999999999</v>
          </cell>
          <cell r="D99" t="str">
            <v>봉 (팩)</v>
          </cell>
        </row>
        <row r="100">
          <cell r="A100">
            <v>30001823</v>
          </cell>
          <cell r="B100" t="str">
            <v>부추(원)</v>
          </cell>
          <cell r="C100">
            <v>0.64700000000000002</v>
          </cell>
          <cell r="D100" t="str">
            <v>박스</v>
          </cell>
        </row>
        <row r="101">
          <cell r="A101">
            <v>30002077</v>
          </cell>
          <cell r="B101" t="str">
            <v>FS)매콤닭강정소스(원)</v>
          </cell>
          <cell r="C101">
            <v>6.0410000000000004</v>
          </cell>
          <cell r="D101" t="str">
            <v>봉 (팩)</v>
          </cell>
        </row>
        <row r="102">
          <cell r="A102">
            <v>30002092</v>
          </cell>
          <cell r="B102" t="str">
            <v>한울)진미채견과볶음(원)</v>
          </cell>
          <cell r="C102">
            <v>21.523</v>
          </cell>
          <cell r="D102" t="str">
            <v>봉 (팩)</v>
          </cell>
        </row>
        <row r="103">
          <cell r="A103">
            <v>30002096</v>
          </cell>
          <cell r="B103" t="str">
            <v>FS)돈까스소스-FS(원)</v>
          </cell>
          <cell r="C103">
            <v>6.9249999999999998</v>
          </cell>
          <cell r="D103" t="str">
            <v>봉 (팩)</v>
          </cell>
        </row>
        <row r="104">
          <cell r="A104">
            <v>30002195</v>
          </cell>
          <cell r="B104" t="str">
            <v>FS)뉴비빔밥용고추장소스(원)</v>
          </cell>
          <cell r="C104">
            <v>37.927999999999997</v>
          </cell>
          <cell r="D104" t="str">
            <v>봉 (팩)</v>
          </cell>
        </row>
        <row r="105">
          <cell r="A105">
            <v>30002298</v>
          </cell>
          <cell r="B105" t="str">
            <v>부림)깐양파(원)</v>
          </cell>
          <cell r="C105">
            <v>6.032</v>
          </cell>
          <cell r="D105" t="str">
            <v>봉 (팩)</v>
          </cell>
        </row>
        <row r="106">
          <cell r="A106">
            <v>30002363</v>
          </cell>
          <cell r="B106" t="str">
            <v>FS)너비아니양념소스J(원)</v>
          </cell>
          <cell r="C106">
            <v>0.91100000000000003</v>
          </cell>
          <cell r="D106" t="str">
            <v>봉 (팩)</v>
          </cell>
        </row>
        <row r="107">
          <cell r="A107">
            <v>30002442</v>
          </cell>
          <cell r="B107" t="str">
            <v>반찬단지우엉조림(원)</v>
          </cell>
          <cell r="C107">
            <v>33.262999999999998</v>
          </cell>
          <cell r="D107" t="str">
            <v>봉 (팩)</v>
          </cell>
        </row>
        <row r="108">
          <cell r="A108">
            <v>30002523</v>
          </cell>
          <cell r="B108" t="str">
            <v>풋고추(원)</v>
          </cell>
          <cell r="C108">
            <v>4.5049999999999999</v>
          </cell>
          <cell r="D108" t="str">
            <v>봉 (팩)</v>
          </cell>
        </row>
        <row r="109">
          <cell r="A109">
            <v>30002585</v>
          </cell>
          <cell r="B109" t="str">
            <v>FS)삼각치킨조미소스(원)</v>
          </cell>
          <cell r="C109">
            <v>16.236999999999998</v>
          </cell>
          <cell r="D109" t="str">
            <v>봉 (팩)</v>
          </cell>
        </row>
        <row r="110">
          <cell r="A110">
            <v>30002599</v>
          </cell>
          <cell r="B110" t="str">
            <v>종가)맛김치(원)</v>
          </cell>
          <cell r="C110">
            <v>16.048999999999999</v>
          </cell>
          <cell r="D110" t="str">
            <v>봉 (팩)</v>
          </cell>
        </row>
        <row r="111">
          <cell r="A111">
            <v>30002650</v>
          </cell>
          <cell r="B111" t="str">
            <v>FS)청양식매운맛간장소스(원)</v>
          </cell>
          <cell r="C111">
            <v>6.6470000000000002</v>
          </cell>
          <cell r="D111" t="str">
            <v>봉 (팩)</v>
          </cell>
        </row>
        <row r="112">
          <cell r="A112">
            <v>30002875</v>
          </cell>
          <cell r="B112" t="str">
            <v>FS)조청닭강정소스(원)</v>
          </cell>
          <cell r="C112">
            <v>8.6630000000000003</v>
          </cell>
          <cell r="D112" t="str">
            <v>봉 (팩)</v>
          </cell>
        </row>
        <row r="113">
          <cell r="A113">
            <v>30003010</v>
          </cell>
          <cell r="B113" t="str">
            <v>FS)조미식초소스(원)</v>
          </cell>
          <cell r="C113">
            <v>29.606999999999999</v>
          </cell>
          <cell r="D113" t="str">
            <v>봉 (팩)</v>
          </cell>
        </row>
        <row r="114">
          <cell r="A114">
            <v>30003011</v>
          </cell>
          <cell r="B114" t="str">
            <v>FS)다시마조미식초소스(원)</v>
          </cell>
          <cell r="C114">
            <v>1.7</v>
          </cell>
          <cell r="D114" t="str">
            <v>봉 (팩)</v>
          </cell>
        </row>
        <row r="115">
          <cell r="A115">
            <v>30003288</v>
          </cell>
          <cell r="B115" t="str">
            <v>송송오이피클(랠리쉬)(원)</v>
          </cell>
          <cell r="C115">
            <v>2.4950000000000001</v>
          </cell>
          <cell r="D115" t="str">
            <v>봉 (팩)</v>
          </cell>
        </row>
        <row r="116">
          <cell r="A116">
            <v>30003299</v>
          </cell>
          <cell r="B116" t="str">
            <v>FS)매운돈까스소스(원)</v>
          </cell>
          <cell r="C116">
            <v>3.1190000000000002</v>
          </cell>
          <cell r="D116" t="str">
            <v>봉 (팩)</v>
          </cell>
        </row>
        <row r="117">
          <cell r="A117">
            <v>30003308</v>
          </cell>
          <cell r="B117" t="str">
            <v>FS)치킨바베큐양념소스(원)</v>
          </cell>
          <cell r="C117">
            <v>1.2390000000000001</v>
          </cell>
          <cell r="D117" t="str">
            <v>봉 (팩)</v>
          </cell>
        </row>
        <row r="118">
          <cell r="A118">
            <v>30003310</v>
          </cell>
          <cell r="B118" t="str">
            <v>FS)츠쿠네소스(원)</v>
          </cell>
          <cell r="C118">
            <v>4.0369999999999999</v>
          </cell>
          <cell r="D118" t="str">
            <v>봉 (팩)</v>
          </cell>
        </row>
        <row r="119">
          <cell r="A119">
            <v>30003376</v>
          </cell>
          <cell r="B119" t="str">
            <v>부림)깐대파(원)</v>
          </cell>
          <cell r="C119">
            <v>9.8059999999999992</v>
          </cell>
          <cell r="D119" t="str">
            <v>박스</v>
          </cell>
        </row>
        <row r="120">
          <cell r="A120">
            <v>30003400</v>
          </cell>
          <cell r="B120" t="str">
            <v>종가)백볶음김치(원)</v>
          </cell>
          <cell r="C120">
            <v>52.646999999999998</v>
          </cell>
          <cell r="D120" t="str">
            <v>봉 (팩)</v>
          </cell>
        </row>
        <row r="121">
          <cell r="A121">
            <v>30003416</v>
          </cell>
          <cell r="B121" t="str">
            <v>부림)청상추(원)</v>
          </cell>
          <cell r="C121">
            <v>1.8240000000000001</v>
          </cell>
          <cell r="D121" t="str">
            <v>박스</v>
          </cell>
        </row>
        <row r="122">
          <cell r="A122">
            <v>30003439</v>
          </cell>
          <cell r="B122" t="str">
            <v>FS)쏘야볶음소스H(원)</v>
          </cell>
          <cell r="C122">
            <v>4.7649999999999997</v>
          </cell>
          <cell r="D122" t="str">
            <v>봉 (팩)</v>
          </cell>
        </row>
        <row r="123">
          <cell r="A123">
            <v>30003443</v>
          </cell>
          <cell r="B123" t="str">
            <v>FS)돈까스소스(소포장)(원)</v>
          </cell>
          <cell r="C123">
            <v>1992</v>
          </cell>
          <cell r="D123" t="str">
            <v>개</v>
          </cell>
        </row>
        <row r="124">
          <cell r="A124">
            <v>30003454</v>
          </cell>
          <cell r="B124" t="str">
            <v>FS)우엉볶음용간장소스(원)</v>
          </cell>
          <cell r="C124">
            <v>4.9349999999999996</v>
          </cell>
          <cell r="D124" t="str">
            <v>봉 (팩)</v>
          </cell>
        </row>
        <row r="125">
          <cell r="A125">
            <v>30003460</v>
          </cell>
          <cell r="B125" t="str">
            <v>종가)실비맛김치(원)</v>
          </cell>
          <cell r="C125">
            <v>0.80300000000000005</v>
          </cell>
          <cell r="D125" t="str">
            <v>봉 (팩)</v>
          </cell>
        </row>
        <row r="126">
          <cell r="A126">
            <v>30003462</v>
          </cell>
          <cell r="B126" t="str">
            <v>FS)매운김치볶음밥용소스(원)</v>
          </cell>
          <cell r="C126">
            <v>5.4269999999999996</v>
          </cell>
          <cell r="D126" t="str">
            <v>봉 (팩)</v>
          </cell>
        </row>
        <row r="127">
          <cell r="A127">
            <v>30003471</v>
          </cell>
          <cell r="B127" t="str">
            <v>FS)쌈장마요소스(원)</v>
          </cell>
          <cell r="C127">
            <v>6.0999999999999999E-2</v>
          </cell>
          <cell r="D127" t="str">
            <v>봉 (팩)</v>
          </cell>
        </row>
        <row r="128">
          <cell r="A128">
            <v>30003473</v>
          </cell>
          <cell r="B128" t="str">
            <v>FS)간장소스KB(원)</v>
          </cell>
          <cell r="C128">
            <v>6.2880000000000003</v>
          </cell>
          <cell r="D128" t="str">
            <v>봉 (팩)</v>
          </cell>
        </row>
        <row r="129">
          <cell r="A129">
            <v>30003508</v>
          </cell>
          <cell r="B129" t="str">
            <v>FS)대파크림소스(원)</v>
          </cell>
          <cell r="C129">
            <v>29.524000000000001</v>
          </cell>
          <cell r="D129" t="str">
            <v>봉 (팩)</v>
          </cell>
        </row>
        <row r="130">
          <cell r="A130">
            <v>30003509</v>
          </cell>
          <cell r="B130" t="str">
            <v>FS)김밥용조미에센스(원)</v>
          </cell>
          <cell r="C130">
            <v>23.925999999999998</v>
          </cell>
          <cell r="D130" t="str">
            <v>봉 (팩)</v>
          </cell>
        </row>
        <row r="131">
          <cell r="A131">
            <v>30003526</v>
          </cell>
          <cell r="B131" t="str">
            <v>FS)김밥용돈까스소스(원)</v>
          </cell>
          <cell r="C131">
            <v>30.613</v>
          </cell>
          <cell r="D131" t="str">
            <v>봉 (팩)</v>
          </cell>
        </row>
        <row r="132">
          <cell r="A132">
            <v>30003531</v>
          </cell>
          <cell r="B132" t="str">
            <v>대상)봄동겉절이(원)</v>
          </cell>
          <cell r="C132">
            <v>14.076000000000001</v>
          </cell>
          <cell r="D132" t="str">
            <v>봉 (팩)</v>
          </cell>
        </row>
        <row r="133">
          <cell r="A133">
            <v>30003543</v>
          </cell>
          <cell r="B133" t="str">
            <v>FS)삼각용다시마취반소스(원)</v>
          </cell>
          <cell r="C133">
            <v>13.093</v>
          </cell>
          <cell r="D133" t="str">
            <v>봉 (팩)</v>
          </cell>
        </row>
        <row r="134">
          <cell r="A134">
            <v>30003548</v>
          </cell>
          <cell r="B134" t="str">
            <v>부림)청경채(원)</v>
          </cell>
          <cell r="C134">
            <v>0.245</v>
          </cell>
          <cell r="D134" t="str">
            <v>박스</v>
          </cell>
        </row>
        <row r="135">
          <cell r="A135">
            <v>30003549</v>
          </cell>
          <cell r="B135" t="str">
            <v>부림)팽이버섯(원)</v>
          </cell>
          <cell r="C135">
            <v>5.42</v>
          </cell>
          <cell r="D135" t="str">
            <v>봉 (팩)</v>
          </cell>
        </row>
        <row r="136">
          <cell r="A136">
            <v>30003559</v>
          </cell>
          <cell r="B136" t="str">
            <v>FS)볶음김치소스-Y(원)</v>
          </cell>
          <cell r="C136">
            <v>11.260999999999999</v>
          </cell>
          <cell r="D136" t="str">
            <v>봉 (팩)</v>
          </cell>
        </row>
        <row r="137">
          <cell r="A137">
            <v>30003080</v>
          </cell>
          <cell r="B137" t="str">
            <v>수축필름16</v>
          </cell>
          <cell r="C137">
            <v>10.596</v>
          </cell>
          <cell r="D137" t="str">
            <v>롤</v>
          </cell>
        </row>
        <row r="138">
          <cell r="A138">
            <v>30003083</v>
          </cell>
          <cell r="B138" t="str">
            <v>에스지앤피)핫도그지함(부)</v>
          </cell>
          <cell r="C138">
            <v>0.23699999999999999</v>
          </cell>
          <cell r="D138" t="str">
            <v>봉 (팩)</v>
          </cell>
        </row>
        <row r="139">
          <cell r="A139">
            <v>30003096</v>
          </cell>
          <cell r="B139" t="str">
            <v>골드)간지(9*9)(부)</v>
          </cell>
          <cell r="C139">
            <v>1.0029999999999999</v>
          </cell>
          <cell r="D139" t="str">
            <v>봉 (팩)</v>
          </cell>
        </row>
        <row r="140">
          <cell r="A140">
            <v>30003097</v>
          </cell>
          <cell r="B140" t="str">
            <v>골드)간지(4.5*150)(부)</v>
          </cell>
          <cell r="C140">
            <v>0.23699999999999999</v>
          </cell>
          <cell r="D140" t="str">
            <v>봉 (팩)</v>
          </cell>
        </row>
        <row r="141">
          <cell r="A141">
            <v>30003098</v>
          </cell>
          <cell r="B141" t="str">
            <v>상지)1탄가성비용기(부)</v>
          </cell>
          <cell r="C141">
            <v>13.85</v>
          </cell>
          <cell r="D141" t="str">
            <v>봉 (팩)</v>
          </cell>
        </row>
        <row r="142">
          <cell r="A142">
            <v>30003099</v>
          </cell>
          <cell r="B142" t="str">
            <v>상지)가성비뚜껑(부)</v>
          </cell>
          <cell r="C142">
            <v>13.85</v>
          </cell>
          <cell r="D142" t="str">
            <v>봉 (팩)</v>
          </cell>
        </row>
        <row r="143">
          <cell r="A143">
            <v>30003107</v>
          </cell>
          <cell r="B143" t="str">
            <v>바코드56*45(김밥)(청색/적색)</v>
          </cell>
          <cell r="C143">
            <v>12565</v>
          </cell>
          <cell r="D143" t="str">
            <v>개</v>
          </cell>
        </row>
        <row r="144">
          <cell r="A144">
            <v>30003108</v>
          </cell>
          <cell r="B144" t="str">
            <v>바코드54*45(삼각)(청색/적색)</v>
          </cell>
          <cell r="C144">
            <v>35008</v>
          </cell>
          <cell r="D144" t="str">
            <v>개</v>
          </cell>
        </row>
        <row r="145">
          <cell r="A145">
            <v>30003109</v>
          </cell>
          <cell r="B145" t="str">
            <v>바코드60*35(도시락)(청색/적색)</v>
          </cell>
          <cell r="C145">
            <v>13039</v>
          </cell>
          <cell r="D145" t="str">
            <v>개</v>
          </cell>
        </row>
        <row r="146">
          <cell r="A146">
            <v>30003117</v>
          </cell>
          <cell r="B146" t="str">
            <v>골드)한돈제육쌈김밥(필)</v>
          </cell>
          <cell r="C146">
            <v>1.19</v>
          </cell>
          <cell r="D146" t="str">
            <v>봉 (팩)</v>
          </cell>
        </row>
        <row r="147">
          <cell r="A147">
            <v>30003152</v>
          </cell>
          <cell r="B147" t="str">
            <v>이프린팅)뭘좋아할지몰라(스)</v>
          </cell>
          <cell r="C147">
            <v>1.385</v>
          </cell>
          <cell r="D147" t="str">
            <v>롤</v>
          </cell>
        </row>
        <row r="148">
          <cell r="A148">
            <v>30003156</v>
          </cell>
          <cell r="B148" t="str">
            <v>애디웹)두번구운김전주비빔(스)</v>
          </cell>
          <cell r="C148">
            <v>0.67800000000000005</v>
          </cell>
          <cell r="D148" t="str">
            <v>롤</v>
          </cell>
        </row>
        <row r="149">
          <cell r="A149">
            <v>30003160</v>
          </cell>
          <cell r="B149" t="str">
            <v>애디웹)삼각)新전주비빔(스)</v>
          </cell>
          <cell r="C149">
            <v>0.68200000000000005</v>
          </cell>
          <cell r="D149" t="str">
            <v>롤</v>
          </cell>
        </row>
        <row r="150">
          <cell r="A150">
            <v>30003165</v>
          </cell>
          <cell r="B150" t="str">
            <v>골드)착한김치김밥(필)</v>
          </cell>
          <cell r="C150">
            <v>0.42799999999999999</v>
          </cell>
          <cell r="D150" t="str">
            <v>봉 (팩)</v>
          </cell>
        </row>
        <row r="151">
          <cell r="A151">
            <v>30003166</v>
          </cell>
          <cell r="B151" t="str">
            <v>골드)착한가격참치마요(필)</v>
          </cell>
          <cell r="C151">
            <v>0.51600000000000001</v>
          </cell>
          <cell r="D151" t="str">
            <v>봉 (팩)</v>
          </cell>
        </row>
        <row r="152">
          <cell r="A152">
            <v>30003185</v>
          </cell>
          <cell r="B152" t="str">
            <v>햄참치마요무스비(필름)</v>
          </cell>
          <cell r="C152">
            <v>583</v>
          </cell>
          <cell r="D152" t="str">
            <v>개</v>
          </cell>
        </row>
        <row r="153">
          <cell r="A153">
            <v>30003206</v>
          </cell>
          <cell r="B153" t="str">
            <v>이프린팅)풀)스팸김치볶음밥(스)</v>
          </cell>
          <cell r="C153">
            <v>1.63</v>
          </cell>
          <cell r="D153" t="str">
            <v>롤</v>
          </cell>
        </row>
        <row r="154">
          <cell r="A154">
            <v>30003207</v>
          </cell>
          <cell r="B154" t="str">
            <v>이프린팅)풀)스팸마요계란볶(스)</v>
          </cell>
          <cell r="C154">
            <v>1.0920000000000001</v>
          </cell>
          <cell r="D154" t="str">
            <v>롤</v>
          </cell>
        </row>
        <row r="155">
          <cell r="A155">
            <v>30003216</v>
          </cell>
          <cell r="B155" t="str">
            <v>두레)바란74*57mm(부)</v>
          </cell>
          <cell r="C155">
            <v>1.0029999999999999</v>
          </cell>
          <cell r="D155" t="str">
            <v>곽</v>
          </cell>
        </row>
        <row r="156">
          <cell r="A156">
            <v>30003227</v>
          </cell>
          <cell r="B156" t="str">
            <v>케미코)5찬도시락용기(부)</v>
          </cell>
          <cell r="C156">
            <v>9.82</v>
          </cell>
          <cell r="D156" t="str">
            <v>봉 (팩)</v>
          </cell>
        </row>
        <row r="157">
          <cell r="A157">
            <v>30003228</v>
          </cell>
          <cell r="B157" t="str">
            <v>케미코)5찬도시락뚜껑A(부)</v>
          </cell>
          <cell r="C157">
            <v>9.82</v>
          </cell>
          <cell r="D157" t="str">
            <v>봉 (팩)</v>
          </cell>
        </row>
        <row r="158">
          <cell r="A158">
            <v>30003230</v>
          </cell>
          <cell r="B158" t="str">
            <v>애디웹)한돈반반제육(스)</v>
          </cell>
          <cell r="C158">
            <v>0.65400000000000003</v>
          </cell>
          <cell r="D158" t="str">
            <v>롤</v>
          </cell>
        </row>
        <row r="159">
          <cell r="A159">
            <v>30003233</v>
          </cell>
          <cell r="B159" t="str">
            <v>상지)등심까스(평)뚜껑(부)</v>
          </cell>
          <cell r="C159">
            <v>10.029999999999999</v>
          </cell>
          <cell r="D159" t="str">
            <v>봉 (팩)</v>
          </cell>
        </row>
        <row r="160">
          <cell r="A160">
            <v>30003234</v>
          </cell>
          <cell r="B160" t="str">
            <v>상지)등심돈까스용기(부)</v>
          </cell>
          <cell r="C160">
            <v>6.6870000000000003</v>
          </cell>
          <cell r="D160" t="str">
            <v>봉 (팩)</v>
          </cell>
        </row>
        <row r="161">
          <cell r="A161">
            <v>30003235</v>
          </cell>
          <cell r="B161" t="str">
            <v>이프린팅)돌아온등심돈까스(스)</v>
          </cell>
          <cell r="C161">
            <v>1.0029999999999999</v>
          </cell>
          <cell r="D161" t="str">
            <v>롤</v>
          </cell>
        </row>
        <row r="162">
          <cell r="A162">
            <v>30003260</v>
          </cell>
          <cell r="B162" t="str">
            <v>애디웹)커플(제육/김치)전면(스)</v>
          </cell>
          <cell r="C162">
            <v>0.43</v>
          </cell>
          <cell r="D162" t="str">
            <v>롤</v>
          </cell>
        </row>
        <row r="163">
          <cell r="A163">
            <v>30003261</v>
          </cell>
          <cell r="B163" t="str">
            <v>애디웹)커플(제육/김치)측면(스)</v>
          </cell>
          <cell r="C163">
            <v>0.43</v>
          </cell>
          <cell r="D163" t="str">
            <v>롤</v>
          </cell>
        </row>
        <row r="164">
          <cell r="A164">
            <v>30003314</v>
          </cell>
          <cell r="B164" t="str">
            <v>상지)명불허전용기(부)</v>
          </cell>
          <cell r="C164">
            <v>5.9340000000000002</v>
          </cell>
          <cell r="D164" t="str">
            <v>봉 (팩)</v>
          </cell>
        </row>
        <row r="165">
          <cell r="A165">
            <v>30003315</v>
          </cell>
          <cell r="B165" t="str">
            <v>상지)명불허전뚜껑(부)</v>
          </cell>
          <cell r="C165">
            <v>8.9</v>
          </cell>
          <cell r="D165" t="str">
            <v>봉 (팩)</v>
          </cell>
        </row>
        <row r="166">
          <cell r="A166">
            <v>30003316</v>
          </cell>
          <cell r="B166" t="str">
            <v>이프린팅)돌아온명불허전(스)</v>
          </cell>
          <cell r="C166">
            <v>0.89</v>
          </cell>
          <cell r="D166" t="str">
            <v>롤</v>
          </cell>
        </row>
        <row r="167">
          <cell r="A167">
            <v>30003325</v>
          </cell>
          <cell r="B167" t="str">
            <v>골드)스팸무스비치즈(필)</v>
          </cell>
          <cell r="C167">
            <v>0.32500000000000001</v>
          </cell>
          <cell r="D167" t="str">
            <v>롤</v>
          </cell>
        </row>
        <row r="168">
          <cell r="A168">
            <v>30003336</v>
          </cell>
          <cell r="B168" t="str">
            <v>골드)착한핫도그오리지널(필)</v>
          </cell>
          <cell r="C168">
            <v>3.4000000000000002E-2</v>
          </cell>
          <cell r="D168" t="str">
            <v>롤</v>
          </cell>
        </row>
        <row r="169">
          <cell r="A169">
            <v>30003337</v>
          </cell>
          <cell r="B169" t="str">
            <v>골드)착한핫도그양배추(필)</v>
          </cell>
          <cell r="C169">
            <v>0.03</v>
          </cell>
          <cell r="D169" t="str">
            <v>롤</v>
          </cell>
        </row>
        <row r="170">
          <cell r="A170">
            <v>30003345</v>
          </cell>
          <cell r="B170" t="str">
            <v>골드)촉촉계란말이김밥(필)</v>
          </cell>
          <cell r="C170">
            <v>0.93200000000000005</v>
          </cell>
          <cell r="D170" t="str">
            <v>봉 (팩)</v>
          </cell>
        </row>
        <row r="171">
          <cell r="A171">
            <v>30003359</v>
          </cell>
          <cell r="B171" t="str">
            <v>상지)6칸공용용기(부)</v>
          </cell>
          <cell r="C171">
            <v>39.869999999999997</v>
          </cell>
          <cell r="D171" t="str">
            <v>봉 (팩)</v>
          </cell>
        </row>
        <row r="172">
          <cell r="A172">
            <v>30003361</v>
          </cell>
          <cell r="B172" t="str">
            <v>이프린팅)직화&amp;오징어(스)</v>
          </cell>
          <cell r="C172">
            <v>1.9950000000000001</v>
          </cell>
          <cell r="D172" t="str">
            <v>롤</v>
          </cell>
        </row>
        <row r="173">
          <cell r="A173">
            <v>30003396</v>
          </cell>
          <cell r="B173" t="str">
            <v>상지)오징어제육용기(부)</v>
          </cell>
          <cell r="C173">
            <v>7.8140000000000001</v>
          </cell>
          <cell r="D173" t="str">
            <v>봉 (팩)</v>
          </cell>
        </row>
        <row r="174">
          <cell r="A174">
            <v>30003397</v>
          </cell>
          <cell r="B174" t="str">
            <v>상지)오징어제육뚜껑(부)</v>
          </cell>
          <cell r="C174">
            <v>11.72</v>
          </cell>
          <cell r="D174" t="str">
            <v>봉 (팩)</v>
          </cell>
        </row>
        <row r="175">
          <cell r="A175">
            <v>30003398</v>
          </cell>
          <cell r="B175" t="str">
            <v>애디웹)백설갈비양념제육(스)</v>
          </cell>
          <cell r="C175">
            <v>0.78200000000000003</v>
          </cell>
          <cell r="D175" t="str">
            <v>롤</v>
          </cell>
        </row>
        <row r="176">
          <cell r="A176">
            <v>30003401</v>
          </cell>
          <cell r="B176" t="str">
            <v>종가)들기름묵은지참치(스)</v>
          </cell>
          <cell r="C176">
            <v>0.81399999999999995</v>
          </cell>
          <cell r="D176" t="str">
            <v>롤</v>
          </cell>
        </row>
        <row r="177">
          <cell r="A177">
            <v>30003422</v>
          </cell>
          <cell r="B177" t="str">
            <v>상지)62파이소스컵(상)(부)</v>
          </cell>
          <cell r="C177">
            <v>8.4700000000000006</v>
          </cell>
          <cell r="D177" t="str">
            <v>봉 (팩)</v>
          </cell>
        </row>
        <row r="178">
          <cell r="A178">
            <v>30003423</v>
          </cell>
          <cell r="B178" t="str">
            <v>이프린팅)착한제육비빔밥(스)</v>
          </cell>
          <cell r="C178">
            <v>6.5000000000000002E-2</v>
          </cell>
          <cell r="D178" t="str">
            <v>롤</v>
          </cell>
        </row>
        <row r="179">
          <cell r="A179">
            <v>30003424</v>
          </cell>
          <cell r="B179" t="str">
            <v>두레)PACK-22-3호소스(뚜껑)(부)</v>
          </cell>
          <cell r="C179">
            <v>0.65</v>
          </cell>
          <cell r="D179" t="str">
            <v>봉 (팩)</v>
          </cell>
        </row>
        <row r="180">
          <cell r="A180">
            <v>30003425</v>
          </cell>
          <cell r="B180" t="str">
            <v>두레)PACK-22-3호(용기)(부)</v>
          </cell>
          <cell r="C180">
            <v>1.3</v>
          </cell>
          <cell r="D180" t="str">
            <v>봉 (팩)</v>
          </cell>
        </row>
        <row r="181">
          <cell r="A181">
            <v>30003426</v>
          </cell>
          <cell r="B181" t="str">
            <v>두레)PACK-22-3호(내피)(부)</v>
          </cell>
          <cell r="C181">
            <v>0.65</v>
          </cell>
          <cell r="D181" t="str">
            <v>봉 (팩)</v>
          </cell>
        </row>
        <row r="182">
          <cell r="A182">
            <v>30003441</v>
          </cell>
          <cell r="B182" t="str">
            <v>정우)5찬도시락뚜껑C(부)</v>
          </cell>
          <cell r="C182">
            <v>39.869999999999997</v>
          </cell>
          <cell r="D182" t="str">
            <v>봉 (팩)</v>
          </cell>
        </row>
        <row r="183">
          <cell r="A183">
            <v>30003444</v>
          </cell>
          <cell r="B183" t="str">
            <v>거성)돈까스고추장제육(스)</v>
          </cell>
          <cell r="C183">
            <v>1.992</v>
          </cell>
          <cell r="D183" t="str">
            <v>롤</v>
          </cell>
        </row>
        <row r="184">
          <cell r="A184">
            <v>30003453</v>
          </cell>
          <cell r="B184" t="str">
            <v>상지)62파이소스컵(하)(부)</v>
          </cell>
          <cell r="C184">
            <v>8.4700000000000006</v>
          </cell>
          <cell r="D184" t="str">
            <v>봉 (팩)</v>
          </cell>
        </row>
        <row r="185">
          <cell r="A185">
            <v>30003458</v>
          </cell>
          <cell r="B185" t="str">
            <v>김치제육듬뿍김밥(필)</v>
          </cell>
          <cell r="C185">
            <v>1.9079999999999999</v>
          </cell>
          <cell r="D185" t="str">
            <v>봉 (팩)</v>
          </cell>
        </row>
        <row r="186">
          <cell r="A186">
            <v>30003463</v>
          </cell>
          <cell r="B186" t="str">
            <v>풀)실비김치볶음밥(스)</v>
          </cell>
          <cell r="C186">
            <v>714</v>
          </cell>
          <cell r="D186" t="str">
            <v>롤</v>
          </cell>
        </row>
        <row r="187">
          <cell r="A187">
            <v>30003477</v>
          </cell>
          <cell r="B187" t="str">
            <v>깐부)마늘간장치킨김밥(필)</v>
          </cell>
          <cell r="C187">
            <v>1.262</v>
          </cell>
          <cell r="D187" t="str">
            <v>봉 (팩)</v>
          </cell>
        </row>
        <row r="188">
          <cell r="A188">
            <v>30003478</v>
          </cell>
          <cell r="B188" t="str">
            <v>상지)에드워드리(용기)(부)</v>
          </cell>
          <cell r="C188">
            <v>236</v>
          </cell>
          <cell r="D188" t="str">
            <v>봉 (팩)</v>
          </cell>
        </row>
        <row r="189">
          <cell r="A189">
            <v>30003479</v>
          </cell>
          <cell r="B189" t="str">
            <v>상지)에드워드리(내피)(부)</v>
          </cell>
          <cell r="C189">
            <v>236</v>
          </cell>
          <cell r="D189" t="str">
            <v>봉 (팩)</v>
          </cell>
        </row>
        <row r="190">
          <cell r="A190">
            <v>30003480</v>
          </cell>
          <cell r="B190" t="str">
            <v>상지)에드워드리(뚜껑)(부)</v>
          </cell>
          <cell r="C190">
            <v>236</v>
          </cell>
          <cell r="D190" t="str">
            <v>봉 (팩)</v>
          </cell>
        </row>
        <row r="191">
          <cell r="A191">
            <v>30003481</v>
          </cell>
          <cell r="B191" t="str">
            <v>에드워드리)통닭다리(스)</v>
          </cell>
          <cell r="C191">
            <v>236</v>
          </cell>
          <cell r="D191" t="str">
            <v>롤</v>
          </cell>
        </row>
        <row r="192">
          <cell r="A192">
            <v>30003482</v>
          </cell>
          <cell r="B192" t="str">
            <v>비닐장갑(소포장)(부)</v>
          </cell>
          <cell r="C192">
            <v>236</v>
          </cell>
          <cell r="D192" t="str">
            <v>박스</v>
          </cell>
        </row>
        <row r="193">
          <cell r="A193">
            <v>30003485</v>
          </cell>
          <cell r="B193" t="str">
            <v>풀)깻잎닭갈비쌈밥(스)</v>
          </cell>
          <cell r="C193">
            <v>0.60299999999999998</v>
          </cell>
          <cell r="D193" t="str">
            <v>롤</v>
          </cell>
        </row>
        <row r="194">
          <cell r="A194">
            <v>30003513</v>
          </cell>
          <cell r="B194" t="str">
            <v>흑백)파파베이컨리조또(스)</v>
          </cell>
          <cell r="C194">
            <v>1.0029999999999999</v>
          </cell>
          <cell r="D194" t="str">
            <v>롤</v>
          </cell>
        </row>
        <row r="195">
          <cell r="A195">
            <v>30003529</v>
          </cell>
          <cell r="B195" t="str">
            <v>골드)THE근본김밥(필)</v>
          </cell>
          <cell r="C195">
            <v>7.5940000000000003</v>
          </cell>
          <cell r="D195" t="str">
            <v>봉 (팩)</v>
          </cell>
        </row>
        <row r="196">
          <cell r="A196">
            <v>30003533</v>
          </cell>
          <cell r="B196" t="str">
            <v>에스지앤피)비빔밥종이용기(부)</v>
          </cell>
          <cell r="C196">
            <v>13.032999999999999</v>
          </cell>
          <cell r="D196" t="str">
            <v>봉 (팩)</v>
          </cell>
        </row>
        <row r="197">
          <cell r="A197">
            <v>30003534</v>
          </cell>
          <cell r="B197" t="str">
            <v>두레)비빔밥뚜껑(부)</v>
          </cell>
          <cell r="C197">
            <v>15.64</v>
          </cell>
          <cell r="D197" t="str">
            <v>봉 (팩)</v>
          </cell>
        </row>
        <row r="198">
          <cell r="A198">
            <v>30003535</v>
          </cell>
          <cell r="B198" t="str">
            <v>두레)비빔밥중간트레이(부)</v>
          </cell>
          <cell r="C198">
            <v>15.64</v>
          </cell>
          <cell r="D198" t="str">
            <v>봉 (팩)</v>
          </cell>
        </row>
        <row r="199">
          <cell r="A199">
            <v>30003536</v>
          </cell>
          <cell r="B199" t="str">
            <v>봄동비빔밥(스)</v>
          </cell>
          <cell r="C199">
            <v>0.78200000000000003</v>
          </cell>
          <cell r="D199" t="str">
            <v>롤</v>
          </cell>
        </row>
        <row r="200">
          <cell r="A200">
            <v>30003537</v>
          </cell>
          <cell r="B200" t="str">
            <v>씨아이텍)고강도스푼</v>
          </cell>
          <cell r="C200">
            <v>7.82</v>
          </cell>
          <cell r="D200" t="str">
            <v>봉 (팩)</v>
          </cell>
        </row>
        <row r="201">
          <cell r="A201">
            <v>30003538</v>
          </cell>
          <cell r="B201" t="str">
            <v>골드)더블치즈소시지김밥(필)</v>
          </cell>
          <cell r="C201">
            <v>6.3</v>
          </cell>
          <cell r="D201" t="str">
            <v>봉 (팩)</v>
          </cell>
        </row>
        <row r="202">
          <cell r="A202">
            <v>30003539</v>
          </cell>
          <cell r="B202" t="str">
            <v>이토추)왕돈까스김밥(필)</v>
          </cell>
          <cell r="C202">
            <v>5</v>
          </cell>
          <cell r="D202" t="str">
            <v>봉 (팩)</v>
          </cell>
        </row>
        <row r="203">
          <cell r="A203">
            <v>30003540</v>
          </cell>
          <cell r="B203" t="str">
            <v>골드)불고기치즈김밥(필)</v>
          </cell>
          <cell r="C203">
            <v>6.7</v>
          </cell>
          <cell r="D203" t="str">
            <v>봉 (팩)</v>
          </cell>
        </row>
        <row r="204">
          <cell r="A204">
            <v>30003542</v>
          </cell>
          <cell r="B204" t="str">
            <v>더큰)리챔참치마요(스)</v>
          </cell>
          <cell r="C204">
            <v>1.0529999999999999</v>
          </cell>
          <cell r="D204" t="str">
            <v>롤</v>
          </cell>
        </row>
        <row r="205">
          <cell r="A205">
            <v>30003551</v>
          </cell>
          <cell r="B205" t="str">
            <v>두레)900ml크라프트무지(부)</v>
          </cell>
          <cell r="C205">
            <v>1.88</v>
          </cell>
          <cell r="D205" t="str">
            <v>봉 (팩)</v>
          </cell>
        </row>
        <row r="206">
          <cell r="A206">
            <v>30003552</v>
          </cell>
          <cell r="B206" t="str">
            <v>두레)DRX-160뚜껑(부)</v>
          </cell>
          <cell r="C206">
            <v>1.88</v>
          </cell>
          <cell r="D206" t="str">
            <v>봉 (팩)</v>
          </cell>
        </row>
        <row r="207">
          <cell r="A207">
            <v>30003553</v>
          </cell>
          <cell r="B207" t="str">
            <v>두레)DRX-160덮밥(찬)(부)</v>
          </cell>
          <cell r="C207">
            <v>1.88</v>
          </cell>
          <cell r="D207" t="str">
            <v>봉 (팩)</v>
          </cell>
        </row>
        <row r="208">
          <cell r="A208">
            <v>30003554</v>
          </cell>
          <cell r="B208" t="str">
            <v>착한)마파두부덮밥(스)</v>
          </cell>
          <cell r="C208">
            <v>3.9E-2</v>
          </cell>
          <cell r="D208" t="str">
            <v>롤</v>
          </cell>
        </row>
        <row r="209">
          <cell r="A209">
            <v>30003560</v>
          </cell>
          <cell r="B209" t="str">
            <v>종가)묵은지김치제육(스)</v>
          </cell>
          <cell r="C209">
            <v>1.673</v>
          </cell>
          <cell r="D209" t="str">
            <v>롤</v>
          </cell>
        </row>
        <row r="210">
          <cell r="A210">
            <v>10301023</v>
          </cell>
          <cell r="B210" t="str">
            <v>참기름(1.8L)(원)</v>
          </cell>
          <cell r="C210">
            <v>27.023</v>
          </cell>
          <cell r="D210" t="str">
            <v>통</v>
          </cell>
        </row>
        <row r="211">
          <cell r="A211">
            <v>30000002</v>
          </cell>
          <cell r="B211" t="str">
            <v>정제수(원)</v>
          </cell>
          <cell r="C211">
            <v>5605.4290000000001</v>
          </cell>
          <cell r="D211" t="str">
            <v>Kg</v>
          </cell>
        </row>
        <row r="212">
          <cell r="A212">
            <v>30000006</v>
          </cell>
          <cell r="B212" t="str">
            <v>볶음참깨(원)</v>
          </cell>
          <cell r="C212">
            <v>34.020000000000003</v>
          </cell>
          <cell r="D212" t="str">
            <v>봉 (팩)</v>
          </cell>
        </row>
        <row r="213">
          <cell r="A213">
            <v>30000007</v>
          </cell>
          <cell r="B213" t="str">
            <v>참기름(16.5Kg)(원)</v>
          </cell>
          <cell r="C213">
            <v>1.145</v>
          </cell>
          <cell r="D213" t="str">
            <v>캔</v>
          </cell>
        </row>
        <row r="214">
          <cell r="A214">
            <v>30000075</v>
          </cell>
          <cell r="B214" t="str">
            <v>NS)혼다시(원)</v>
          </cell>
          <cell r="C214">
            <v>2.1429999999999998</v>
          </cell>
          <cell r="D214" t="str">
            <v>봉 (팩)</v>
          </cell>
        </row>
        <row r="215">
          <cell r="A215">
            <v>30000093</v>
          </cell>
          <cell r="B215" t="str">
            <v>대상)쇠고기실속다시(원)</v>
          </cell>
          <cell r="C215">
            <v>5.5090000000000003</v>
          </cell>
          <cell r="D215" t="str">
            <v>봉 (팩)</v>
          </cell>
        </row>
        <row r="216">
          <cell r="A216">
            <v>30000389</v>
          </cell>
          <cell r="B216" t="str">
            <v>스팸(원)</v>
          </cell>
          <cell r="C216">
            <v>502.12700000000001</v>
          </cell>
          <cell r="D216" t="str">
            <v>캔</v>
          </cell>
        </row>
        <row r="217">
          <cell r="A217">
            <v>30001140</v>
          </cell>
          <cell r="B217" t="str">
            <v>대두유(원재료)</v>
          </cell>
          <cell r="C217">
            <v>13.763</v>
          </cell>
          <cell r="D217" t="str">
            <v>캔</v>
          </cell>
        </row>
        <row r="218">
          <cell r="A218">
            <v>30001141</v>
          </cell>
          <cell r="B218" t="str">
            <v>이우)중국산정제염(원)</v>
          </cell>
          <cell r="C218">
            <v>1.2869999999999999</v>
          </cell>
          <cell r="D218" t="str">
            <v>봉 (팩)</v>
          </cell>
        </row>
        <row r="219">
          <cell r="A219">
            <v>30001164</v>
          </cell>
          <cell r="B219" t="str">
            <v>고춧가루</v>
          </cell>
          <cell r="C219">
            <v>3.081</v>
          </cell>
          <cell r="D219" t="str">
            <v>봉 (팩)</v>
          </cell>
        </row>
        <row r="220">
          <cell r="A220">
            <v>30001169</v>
          </cell>
          <cell r="B220" t="str">
            <v>NS)물엿(원)</v>
          </cell>
          <cell r="C220">
            <v>1.101</v>
          </cell>
          <cell r="D220" t="str">
            <v>통</v>
          </cell>
        </row>
        <row r="221">
          <cell r="A221">
            <v>30001277</v>
          </cell>
          <cell r="B221" t="str">
            <v>흑후추(원)</v>
          </cell>
          <cell r="C221">
            <v>0.155</v>
          </cell>
          <cell r="D221" t="str">
            <v>봉 (팩)</v>
          </cell>
        </row>
        <row r="222">
          <cell r="A222">
            <v>30001284</v>
          </cell>
          <cell r="B222" t="str">
            <v>이우)늘푸른할라피뇨랠리쉬(원)</v>
          </cell>
          <cell r="C222">
            <v>7.4290000000000003</v>
          </cell>
          <cell r="D222" t="str">
            <v>캔</v>
          </cell>
        </row>
        <row r="223">
          <cell r="A223">
            <v>30001285</v>
          </cell>
          <cell r="B223" t="str">
            <v>이우)스위트콘_태국산(원)</v>
          </cell>
          <cell r="C223">
            <v>1.8160000000000001</v>
          </cell>
          <cell r="D223" t="str">
            <v>캔</v>
          </cell>
        </row>
        <row r="224">
          <cell r="A224">
            <v>30001472</v>
          </cell>
          <cell r="B224" t="str">
            <v>삼성웰)모아하우스머스타드(원)</v>
          </cell>
          <cell r="C224">
            <v>2.577</v>
          </cell>
          <cell r="D224" t="str">
            <v>통</v>
          </cell>
        </row>
        <row r="225">
          <cell r="A225">
            <v>30001581</v>
          </cell>
          <cell r="B225" t="str">
            <v>토마토 케찹</v>
          </cell>
          <cell r="C225">
            <v>5.5119999999999996</v>
          </cell>
          <cell r="D225" t="str">
            <v>봉 (팩)</v>
          </cell>
        </row>
        <row r="226">
          <cell r="A226">
            <v>30001710</v>
          </cell>
          <cell r="B226" t="str">
            <v>CJ)하얀설탕(원)</v>
          </cell>
          <cell r="C226">
            <v>8.3390000000000004</v>
          </cell>
          <cell r="D226" t="str">
            <v>봉 (팩)</v>
          </cell>
        </row>
        <row r="227">
          <cell r="A227">
            <v>30001713</v>
          </cell>
          <cell r="B227" t="str">
            <v>아워홈)치킨난방용마요(원)</v>
          </cell>
          <cell r="C227">
            <v>0.77300000000000002</v>
          </cell>
          <cell r="D227" t="str">
            <v>봉 (팩)</v>
          </cell>
        </row>
        <row r="228">
          <cell r="A228">
            <v>30001796</v>
          </cell>
          <cell r="B228" t="str">
            <v>이우)건국연유(원)</v>
          </cell>
          <cell r="C228">
            <v>1.661</v>
          </cell>
          <cell r="D228" t="str">
            <v>봉 (팩)</v>
          </cell>
        </row>
        <row r="229">
          <cell r="A229">
            <v>30001800</v>
          </cell>
          <cell r="B229" t="str">
            <v>다인소재)유니믹스HG(원)</v>
          </cell>
          <cell r="C229">
            <v>0.53500000000000003</v>
          </cell>
          <cell r="D229" t="str">
            <v>봉 (팩)</v>
          </cell>
        </row>
        <row r="230">
          <cell r="A230">
            <v>30001807</v>
          </cell>
          <cell r="B230" t="str">
            <v>이우)미원(원)</v>
          </cell>
          <cell r="C230">
            <v>2.66</v>
          </cell>
          <cell r="D230" t="str">
            <v>봉 (팩)</v>
          </cell>
        </row>
        <row r="231">
          <cell r="A231">
            <v>30001887</v>
          </cell>
          <cell r="B231" t="str">
            <v>NS)맛소금(원)</v>
          </cell>
          <cell r="C231">
            <v>0.20200000000000001</v>
          </cell>
          <cell r="D231" t="str">
            <v>봉 (팩)</v>
          </cell>
        </row>
        <row r="232">
          <cell r="A232">
            <v>30001937</v>
          </cell>
          <cell r="B232" t="str">
            <v>풍림)난황파우더(원)</v>
          </cell>
          <cell r="C232">
            <v>0.01</v>
          </cell>
          <cell r="D232" t="str">
            <v>봉 (팩)</v>
          </cell>
        </row>
        <row r="233">
          <cell r="A233">
            <v>30001938</v>
          </cell>
          <cell r="B233" t="str">
            <v>몽고진간장</v>
          </cell>
          <cell r="C233">
            <v>4.7160000000000002</v>
          </cell>
          <cell r="D233" t="str">
            <v>통</v>
          </cell>
        </row>
        <row r="234">
          <cell r="A234">
            <v>30002439</v>
          </cell>
          <cell r="B234" t="str">
            <v>NS)고추기름(원)</v>
          </cell>
          <cell r="C234">
            <v>2.8180000000000001</v>
          </cell>
          <cell r="D234" t="str">
            <v>통</v>
          </cell>
        </row>
        <row r="235">
          <cell r="A235">
            <v>30002511</v>
          </cell>
          <cell r="B235" t="str">
            <v>한성)고미트햄(원)</v>
          </cell>
          <cell r="C235">
            <v>106.291</v>
          </cell>
          <cell r="D235" t="str">
            <v>캔</v>
          </cell>
        </row>
        <row r="236">
          <cell r="A236">
            <v>30002524</v>
          </cell>
          <cell r="B236" t="str">
            <v>다인소재)유니믹스N2(원)</v>
          </cell>
          <cell r="C236">
            <v>0.58399999999999996</v>
          </cell>
          <cell r="D236" t="str">
            <v>봉 (팩)</v>
          </cell>
        </row>
        <row r="237">
          <cell r="A237">
            <v>30002547</v>
          </cell>
          <cell r="B237" t="str">
            <v>이우)신슈단무지(꼬들)(원)</v>
          </cell>
          <cell r="C237">
            <v>86.034999999999997</v>
          </cell>
          <cell r="D237" t="str">
            <v>봉 (팩)</v>
          </cell>
        </row>
        <row r="238">
          <cell r="A238">
            <v>30002628</v>
          </cell>
          <cell r="B238" t="str">
            <v>크러쉬드레드페퍼(원)</v>
          </cell>
          <cell r="C238">
            <v>1.288</v>
          </cell>
          <cell r="D238" t="str">
            <v>통</v>
          </cell>
        </row>
        <row r="239">
          <cell r="A239">
            <v>30002629</v>
          </cell>
          <cell r="B239" t="str">
            <v>그래도푸드)노란단무지13mm(원)</v>
          </cell>
          <cell r="C239">
            <v>151.68700000000001</v>
          </cell>
          <cell r="D239" t="str">
            <v>봉 (팩)</v>
          </cell>
        </row>
        <row r="240">
          <cell r="A240">
            <v>30002742</v>
          </cell>
          <cell r="B240" t="str">
            <v>롯데웰푸드)GS마요네즈(원)</v>
          </cell>
          <cell r="C240">
            <v>13.574</v>
          </cell>
          <cell r="D240" t="str">
            <v>봉 (팩)</v>
          </cell>
        </row>
        <row r="241">
          <cell r="A241">
            <v>30002759</v>
          </cell>
          <cell r="B241" t="str">
            <v>성경재래도시락김(소포장)(원)</v>
          </cell>
          <cell r="C241">
            <v>398.7</v>
          </cell>
          <cell r="D241" t="str">
            <v>봉 (팩)</v>
          </cell>
        </row>
        <row r="242">
          <cell r="A242">
            <v>30002766</v>
          </cell>
          <cell r="B242" t="str">
            <v>일가집)채단무지(원)</v>
          </cell>
          <cell r="C242">
            <v>23.437999999999999</v>
          </cell>
          <cell r="D242" t="str">
            <v>봉 (팩)</v>
          </cell>
        </row>
        <row r="243">
          <cell r="A243">
            <v>30002769</v>
          </cell>
          <cell r="B243" t="str">
            <v>푸드머스)바릴라스파게티(원)</v>
          </cell>
          <cell r="C243">
            <v>3.8479999999999999</v>
          </cell>
          <cell r="D243" t="str">
            <v>봉 (팩)</v>
          </cell>
        </row>
        <row r="244">
          <cell r="A244">
            <v>30002793</v>
          </cell>
          <cell r="B244" t="str">
            <v>NS)리챔오리지널(원)</v>
          </cell>
          <cell r="C244">
            <v>175.375</v>
          </cell>
          <cell r="D244" t="str">
            <v>캔</v>
          </cell>
        </row>
        <row r="245">
          <cell r="A245">
            <v>30002883</v>
          </cell>
          <cell r="B245" t="str">
            <v>청학)볶음흑임자(원)</v>
          </cell>
          <cell r="C245">
            <v>0.1</v>
          </cell>
          <cell r="D245" t="str">
            <v>봉 (팩)</v>
          </cell>
        </row>
        <row r="246">
          <cell r="A246">
            <v>30002970</v>
          </cell>
          <cell r="B246" t="str">
            <v>청정원)돼지불고기양념(원)</v>
          </cell>
          <cell r="C246">
            <v>16.960999999999999</v>
          </cell>
          <cell r="D246" t="str">
            <v>통</v>
          </cell>
        </row>
        <row r="247">
          <cell r="A247">
            <v>30003006</v>
          </cell>
          <cell r="B247" t="str">
            <v>이엔)알밥단무지(원)</v>
          </cell>
          <cell r="C247">
            <v>3.5419999999999998</v>
          </cell>
          <cell r="D247" t="str">
            <v>봉 (팩)</v>
          </cell>
        </row>
        <row r="248">
          <cell r="A248">
            <v>30003009</v>
          </cell>
          <cell r="B248" t="str">
            <v>평화)햅쌀(500kg/포)</v>
          </cell>
          <cell r="C248">
            <v>3880.5059999999999</v>
          </cell>
          <cell r="D248" t="str">
            <v>Kg</v>
          </cell>
        </row>
        <row r="249">
          <cell r="A249">
            <v>30003061</v>
          </cell>
          <cell r="B249" t="str">
            <v>성경자반(원)</v>
          </cell>
          <cell r="C249">
            <v>14.528</v>
          </cell>
          <cell r="D249" t="str">
            <v>봉 (팩)</v>
          </cell>
        </row>
        <row r="250">
          <cell r="A250">
            <v>30003066</v>
          </cell>
          <cell r="B250" t="str">
            <v>이우)카라멜소스(원)</v>
          </cell>
          <cell r="C250">
            <v>0.73499999999999999</v>
          </cell>
          <cell r="D250" t="str">
            <v>통</v>
          </cell>
        </row>
        <row r="251">
          <cell r="A251">
            <v>30003115</v>
          </cell>
          <cell r="B251" t="str">
            <v>더원씨푸드)점보롤김</v>
          </cell>
          <cell r="C251">
            <v>22.888000000000002</v>
          </cell>
          <cell r="D251" t="str">
            <v>롤</v>
          </cell>
        </row>
        <row r="252">
          <cell r="A252">
            <v>30003137</v>
          </cell>
          <cell r="B252" t="str">
            <v>풀]솔리드 투명 삼각김(원)</v>
          </cell>
          <cell r="C252">
            <v>65.543999999999997</v>
          </cell>
          <cell r="D252" t="str">
            <v>봉 (팩)</v>
          </cell>
        </row>
        <row r="253">
          <cell r="A253">
            <v>30003148</v>
          </cell>
          <cell r="B253" t="str">
            <v>삼각김밥용김 2절 100매</v>
          </cell>
          <cell r="C253">
            <v>44.899000000000001</v>
          </cell>
          <cell r="D253" t="str">
            <v>봉 (팩)</v>
          </cell>
        </row>
        <row r="254">
          <cell r="A254">
            <v>30003155</v>
          </cell>
          <cell r="B254" t="str">
            <v>삼각김(무조미/100매)</v>
          </cell>
          <cell r="C254">
            <v>27.384</v>
          </cell>
          <cell r="D254" t="str">
            <v>봉 (팩)</v>
          </cell>
        </row>
        <row r="255">
          <cell r="A255">
            <v>30003168</v>
          </cell>
          <cell r="B255" t="str">
            <v>만전식품)3절김(원)</v>
          </cell>
          <cell r="C255">
            <v>3.677</v>
          </cell>
          <cell r="D255" t="str">
            <v>봉 (팩)</v>
          </cell>
        </row>
        <row r="256">
          <cell r="A256">
            <v>30003202</v>
          </cell>
          <cell r="B256" t="str">
            <v>풀]솔리드 레드 삼각김(원)</v>
          </cell>
          <cell r="C256">
            <v>49.383000000000003</v>
          </cell>
          <cell r="D256" t="str">
            <v>봉 (팩)</v>
          </cell>
        </row>
        <row r="257">
          <cell r="A257">
            <v>30003203</v>
          </cell>
          <cell r="B257" t="str">
            <v>진양)점보삼각김[옐로우]</v>
          </cell>
          <cell r="C257">
            <v>40.313000000000002</v>
          </cell>
          <cell r="D257" t="str">
            <v>봉 (팩)</v>
          </cell>
        </row>
        <row r="258">
          <cell r="A258">
            <v>30003264</v>
          </cell>
          <cell r="B258" t="str">
            <v>더원씨푸드)롤김</v>
          </cell>
          <cell r="C258">
            <v>1.2589999999999999</v>
          </cell>
          <cell r="D258" t="str">
            <v>롤</v>
          </cell>
        </row>
        <row r="259">
          <cell r="A259">
            <v>30003276</v>
          </cell>
          <cell r="B259" t="str">
            <v>오뚜기)이금기치킨파우더(원)</v>
          </cell>
          <cell r="C259">
            <v>0.127</v>
          </cell>
          <cell r="D259" t="str">
            <v>봉 (팩)</v>
          </cell>
        </row>
        <row r="260">
          <cell r="A260">
            <v>30003296</v>
          </cell>
          <cell r="B260" t="str">
            <v>오뚜기)허니머스타드드레싱(원)</v>
          </cell>
          <cell r="C260">
            <v>2.5379999999999998</v>
          </cell>
          <cell r="D260" t="str">
            <v>봉 (팩)</v>
          </cell>
        </row>
        <row r="261">
          <cell r="A261">
            <v>30003322</v>
          </cell>
          <cell r="B261" t="str">
            <v>이우)크리스피어니언(원)</v>
          </cell>
          <cell r="C261">
            <v>1.18</v>
          </cell>
          <cell r="D261" t="str">
            <v>봉 (팩)</v>
          </cell>
        </row>
        <row r="262">
          <cell r="A262">
            <v>30003323</v>
          </cell>
          <cell r="B262" t="str">
            <v>이우)선인)단풍당시럽(원)</v>
          </cell>
          <cell r="C262">
            <v>2.5019999999999998</v>
          </cell>
          <cell r="D262" t="str">
            <v>봉 (팩)</v>
          </cell>
        </row>
        <row r="263">
          <cell r="A263">
            <v>30003340</v>
          </cell>
          <cell r="B263" t="str">
            <v>청정원)매운갈비양념(원)</v>
          </cell>
          <cell r="C263">
            <v>7.7610000000000001</v>
          </cell>
          <cell r="D263" t="str">
            <v>통</v>
          </cell>
        </row>
        <row r="264">
          <cell r="A264">
            <v>30003365</v>
          </cell>
          <cell r="B264" t="str">
            <v>오뚜기)이금기팬더굴소스(원)</v>
          </cell>
          <cell r="C264">
            <v>0.51900000000000002</v>
          </cell>
          <cell r="D264" t="str">
            <v>봉 (팩)</v>
          </cell>
        </row>
        <row r="265">
          <cell r="A265">
            <v>30003392</v>
          </cell>
          <cell r="B265" t="str">
            <v>CJ)백설돼지갈비양념(원)</v>
          </cell>
          <cell r="C265">
            <v>1.159</v>
          </cell>
          <cell r="D265" t="str">
            <v>통</v>
          </cell>
        </row>
        <row r="266">
          <cell r="A266">
            <v>30003399</v>
          </cell>
          <cell r="B266" t="str">
            <v>청학)들기름(원)</v>
          </cell>
          <cell r="C266">
            <v>2.4489999999999998</v>
          </cell>
          <cell r="D266" t="str">
            <v>통</v>
          </cell>
        </row>
        <row r="267">
          <cell r="A267">
            <v>30003414</v>
          </cell>
          <cell r="B267" t="str">
            <v>농가참기름골드(소포장)(원)</v>
          </cell>
          <cell r="C267">
            <v>65</v>
          </cell>
          <cell r="D267" t="str">
            <v>개</v>
          </cell>
        </row>
        <row r="268">
          <cell r="A268">
            <v>30003419</v>
          </cell>
          <cell r="B268" t="str">
            <v>사조참치(원)</v>
          </cell>
          <cell r="C268">
            <v>64.378</v>
          </cell>
          <cell r="D268" t="str">
            <v>봉 (팩)</v>
          </cell>
        </row>
        <row r="269">
          <cell r="A269">
            <v>30003421</v>
          </cell>
          <cell r="B269" t="str">
            <v>구운김밥용김(반절김)</v>
          </cell>
          <cell r="C269">
            <v>41.636000000000003</v>
          </cell>
          <cell r="D269" t="str">
            <v>봉 (팩)</v>
          </cell>
        </row>
        <row r="270">
          <cell r="A270">
            <v>30003474</v>
          </cell>
          <cell r="B270" t="str">
            <v>동방)캡시컴스파이스로얄(원)</v>
          </cell>
          <cell r="C270">
            <v>0.121</v>
          </cell>
          <cell r="D270" t="str">
            <v>봉 (팩)</v>
          </cell>
        </row>
        <row r="271">
          <cell r="A271">
            <v>30003475</v>
          </cell>
          <cell r="B271" t="str">
            <v>대상)리치마요네즈(원)</v>
          </cell>
          <cell r="C271">
            <v>3.7559999999999998</v>
          </cell>
          <cell r="D271" t="str">
            <v>봉 (팩)</v>
          </cell>
        </row>
        <row r="272">
          <cell r="A272">
            <v>30003476</v>
          </cell>
          <cell r="B272" t="str">
            <v>이너피스)표고버섯캔(원)</v>
          </cell>
          <cell r="C272">
            <v>8.8290000000000006</v>
          </cell>
          <cell r="D272" t="str">
            <v>캔</v>
          </cell>
        </row>
        <row r="273">
          <cell r="A273">
            <v>30003541</v>
          </cell>
          <cell r="B273" t="str">
            <v>진양)점보삼각김밥김(투명)</v>
          </cell>
          <cell r="C273">
            <v>141.53</v>
          </cell>
          <cell r="D273" t="str">
            <v>봉 (팩)</v>
          </cell>
        </row>
        <row r="274">
          <cell r="A274">
            <v>30003544</v>
          </cell>
          <cell r="B274" t="str">
            <v>오뚜기)GS마요네즈(원)</v>
          </cell>
          <cell r="C274">
            <v>5.4240000000000004</v>
          </cell>
          <cell r="D274" t="str">
            <v>봉 (팩)</v>
          </cell>
        </row>
        <row r="275">
          <cell r="A275">
            <v>30003545</v>
          </cell>
          <cell r="B275" t="str">
            <v>동원)참치다시(원)</v>
          </cell>
          <cell r="C275">
            <v>0.39300000000000002</v>
          </cell>
          <cell r="D275" t="str">
            <v>봉 (팩)</v>
          </cell>
        </row>
        <row r="276">
          <cell r="A276">
            <v>30003546</v>
          </cell>
          <cell r="B276" t="str">
            <v>감자전분(원)</v>
          </cell>
          <cell r="C276">
            <v>0.33400000000000002</v>
          </cell>
          <cell r="D276" t="str">
            <v>봉 (팩)</v>
          </cell>
        </row>
        <row r="277">
          <cell r="A277">
            <v>30003547</v>
          </cell>
          <cell r="B277" t="str">
            <v>이너피스)양송이버섯캔(원)</v>
          </cell>
          <cell r="C277">
            <v>0.39600000000000002</v>
          </cell>
          <cell r="D277" t="str">
            <v>캔</v>
          </cell>
        </row>
        <row r="278">
          <cell r="A278">
            <v>30002327</v>
          </cell>
          <cell r="B278" t="str">
            <v>흑미</v>
          </cell>
          <cell r="C278">
            <v>2.738</v>
          </cell>
          <cell r="D278" t="str">
            <v>봉 (팩)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34"/>
  <sheetViews>
    <sheetView showGridLines="0" view="pageBreakPreview" zoomScale="70" zoomScaleNormal="70" zoomScaleSheetLayoutView="70" workbookViewId="0">
      <pane ySplit="4" topLeftCell="A121" activePane="bottomLeft" state="frozen"/>
      <selection activeCell="H62" sqref="H62:I92"/>
      <selection pane="bottomLeft" activeCell="H78" sqref="H78:I129"/>
    </sheetView>
  </sheetViews>
  <sheetFormatPr defaultRowHeight="17.25"/>
  <cols>
    <col min="1" max="1" width="6.75" style="21" customWidth="1"/>
    <col min="2" max="2" width="21.125" style="52" customWidth="1"/>
    <col min="3" max="3" width="12.375" style="21" customWidth="1"/>
    <col min="4" max="4" width="51.125" style="21" bestFit="1" customWidth="1"/>
    <col min="5" max="5" width="10.125" style="24" customWidth="1"/>
    <col min="6" max="6" width="12.625" style="25" customWidth="1"/>
    <col min="7" max="7" width="14.5" style="24" customWidth="1"/>
    <col min="8" max="9" width="14.625" style="24" customWidth="1"/>
    <col min="10" max="10" width="13.625" style="21" customWidth="1"/>
    <col min="11" max="11" width="13.625" style="24" customWidth="1"/>
    <col min="12" max="12" width="13.625" style="21" customWidth="1"/>
    <col min="13" max="13" width="12.625" style="138" bestFit="1" customWidth="1"/>
    <col min="14" max="14" width="21.875" style="138" bestFit="1" customWidth="1"/>
    <col min="15" max="16" width="9" style="21"/>
    <col min="17" max="18" width="10.625" style="21" bestFit="1" customWidth="1"/>
    <col min="19" max="16384" width="9" style="21"/>
  </cols>
  <sheetData>
    <row r="1" spans="1:18" ht="27" customHeight="1">
      <c r="A1" s="257" t="s">
        <v>545</v>
      </c>
      <c r="B1" s="258"/>
      <c r="C1" s="77"/>
      <c r="D1" s="261">
        <f ca="1">TODAY()</f>
        <v>46324</v>
      </c>
      <c r="E1" s="262"/>
      <c r="F1" s="262"/>
      <c r="G1" s="262"/>
      <c r="H1" s="262"/>
      <c r="I1" s="263"/>
      <c r="J1" s="64" t="s">
        <v>280</v>
      </c>
      <c r="K1" s="64" t="s">
        <v>281</v>
      </c>
      <c r="L1" s="64" t="s">
        <v>282</v>
      </c>
    </row>
    <row r="2" spans="1:18" ht="57.75" customHeight="1">
      <c r="A2" s="259"/>
      <c r="B2" s="260"/>
      <c r="C2" s="78"/>
      <c r="D2" s="264"/>
      <c r="E2" s="265"/>
      <c r="F2" s="265"/>
      <c r="G2" s="265"/>
      <c r="H2" s="265"/>
      <c r="I2" s="266"/>
      <c r="J2" s="65"/>
      <c r="K2" s="65"/>
      <c r="L2" s="65"/>
      <c r="Q2" s="195"/>
      <c r="R2" s="195"/>
    </row>
    <row r="3" spans="1:18" ht="27" customHeight="1">
      <c r="A3" s="88" t="s">
        <v>227</v>
      </c>
      <c r="B3" s="89"/>
      <c r="C3" s="79"/>
      <c r="D3" s="75"/>
      <c r="E3" s="75"/>
      <c r="F3" s="132" t="s">
        <v>826</v>
      </c>
      <c r="G3" s="73"/>
      <c r="H3" s="65" t="s">
        <v>228</v>
      </c>
      <c r="I3" s="65"/>
      <c r="J3" s="74"/>
      <c r="K3" s="75"/>
      <c r="L3" s="76"/>
    </row>
    <row r="4" spans="1:18" s="24" customFormat="1" ht="26.25" customHeight="1">
      <c r="A4" s="92" t="s">
        <v>0</v>
      </c>
      <c r="B4" s="92" t="s">
        <v>1</v>
      </c>
      <c r="C4" s="92" t="s">
        <v>358</v>
      </c>
      <c r="D4" s="92" t="s">
        <v>2</v>
      </c>
      <c r="E4" s="92" t="s">
        <v>9</v>
      </c>
      <c r="F4" s="162" t="s">
        <v>537</v>
      </c>
      <c r="G4" s="92" t="s">
        <v>751</v>
      </c>
      <c r="H4" s="92" t="s">
        <v>3</v>
      </c>
      <c r="I4" s="92" t="s">
        <v>811</v>
      </c>
      <c r="J4" s="92" t="s">
        <v>19</v>
      </c>
      <c r="K4" s="92" t="s">
        <v>16</v>
      </c>
      <c r="L4" s="92" t="s">
        <v>799</v>
      </c>
      <c r="M4" s="145" t="s">
        <v>469</v>
      </c>
      <c r="N4" s="145" t="s">
        <v>470</v>
      </c>
    </row>
    <row r="5" spans="1:18" ht="30" customHeight="1">
      <c r="A5" s="26">
        <v>1</v>
      </c>
      <c r="B5" s="5" t="s">
        <v>748</v>
      </c>
      <c r="C5" s="81"/>
      <c r="D5" s="199" t="s">
        <v>759</v>
      </c>
      <c r="E5" s="5" t="s">
        <v>14</v>
      </c>
      <c r="F5" s="100" t="str">
        <f>IFERROR(VLOOKUP(C5,[1]Sheet1!$A$1:$D$65536,3,0)/K5,"")</f>
        <v/>
      </c>
      <c r="G5" s="5" t="s">
        <v>577</v>
      </c>
      <c r="H5" s="10"/>
      <c r="I5" s="10"/>
      <c r="J5" s="56">
        <f t="shared" ref="J5:J15" si="0">H5*K5+I5</f>
        <v>0</v>
      </c>
      <c r="K5" s="5">
        <v>20</v>
      </c>
      <c r="L5" s="11"/>
      <c r="M5" s="146"/>
      <c r="N5" s="147">
        <f t="shared" ref="N5:N27" si="1">M5*J5</f>
        <v>0</v>
      </c>
    </row>
    <row r="6" spans="1:18" ht="30" customHeight="1">
      <c r="A6" s="26">
        <v>2</v>
      </c>
      <c r="B6" s="5" t="s">
        <v>748</v>
      </c>
      <c r="C6" s="81"/>
      <c r="D6" s="224" t="s">
        <v>758</v>
      </c>
      <c r="E6" s="47" t="s">
        <v>14</v>
      </c>
      <c r="F6" s="98" t="str">
        <f>IFERROR(VLOOKUP(C6,[1]Sheet1!$A$1:$D$65536,3,0)/K6,"")</f>
        <v/>
      </c>
      <c r="G6" s="47" t="s">
        <v>577</v>
      </c>
      <c r="H6" s="10"/>
      <c r="I6" s="10"/>
      <c r="J6" s="56">
        <f t="shared" si="0"/>
        <v>0</v>
      </c>
      <c r="K6" s="5">
        <v>20</v>
      </c>
      <c r="L6" s="11"/>
      <c r="M6" s="146"/>
      <c r="N6" s="147">
        <f t="shared" si="1"/>
        <v>0</v>
      </c>
    </row>
    <row r="7" spans="1:18" ht="30" customHeight="1">
      <c r="A7" s="26">
        <v>3</v>
      </c>
      <c r="B7" s="5" t="s">
        <v>748</v>
      </c>
      <c r="C7" s="81"/>
      <c r="D7" s="199" t="s">
        <v>757</v>
      </c>
      <c r="E7" s="5" t="s">
        <v>14</v>
      </c>
      <c r="F7" s="100" t="str">
        <f>IFERROR(VLOOKUP(C7,[1]Sheet1!$A$1:$D$65536,3,0)/K7,"")</f>
        <v/>
      </c>
      <c r="G7" s="5" t="s">
        <v>577</v>
      </c>
      <c r="H7" s="10"/>
      <c r="I7" s="10"/>
      <c r="J7" s="56">
        <f t="shared" si="0"/>
        <v>0</v>
      </c>
      <c r="K7" s="5">
        <v>20</v>
      </c>
      <c r="L7" s="11"/>
      <c r="M7" s="146"/>
      <c r="N7" s="147">
        <f t="shared" si="1"/>
        <v>0</v>
      </c>
    </row>
    <row r="8" spans="1:18" ht="30" customHeight="1">
      <c r="A8" s="26">
        <v>4</v>
      </c>
      <c r="B8" s="5" t="s">
        <v>748</v>
      </c>
      <c r="C8" s="81"/>
      <c r="D8" s="224" t="s">
        <v>756</v>
      </c>
      <c r="E8" s="5" t="s">
        <v>14</v>
      </c>
      <c r="F8" s="98" t="str">
        <f>IFERROR(VLOOKUP(C8,[1]Sheet1!$A$1:$D$65536,3,0)/K8,"")</f>
        <v/>
      </c>
      <c r="G8" s="5" t="s">
        <v>577</v>
      </c>
      <c r="H8" s="10"/>
      <c r="I8" s="10"/>
      <c r="J8" s="56">
        <f t="shared" si="0"/>
        <v>0</v>
      </c>
      <c r="K8" s="5">
        <v>20</v>
      </c>
      <c r="L8" s="11"/>
      <c r="M8" s="146"/>
      <c r="N8" s="147">
        <f t="shared" si="1"/>
        <v>0</v>
      </c>
    </row>
    <row r="9" spans="1:18" ht="30" customHeight="1">
      <c r="A9" s="26">
        <v>5</v>
      </c>
      <c r="B9" s="5" t="s">
        <v>748</v>
      </c>
      <c r="C9" s="81"/>
      <c r="D9" s="199" t="s">
        <v>755</v>
      </c>
      <c r="E9" s="5" t="s">
        <v>14</v>
      </c>
      <c r="F9" s="98" t="str">
        <f>IFERROR(VLOOKUP(C9,[1]Sheet1!$A$1:$D$65536,3,0)/K9,"")</f>
        <v/>
      </c>
      <c r="G9" s="5" t="s">
        <v>577</v>
      </c>
      <c r="H9" s="10"/>
      <c r="I9" s="10"/>
      <c r="J9" s="56">
        <f t="shared" si="0"/>
        <v>0</v>
      </c>
      <c r="K9" s="5">
        <v>20</v>
      </c>
      <c r="L9" s="11"/>
      <c r="M9" s="146"/>
      <c r="N9" s="147">
        <f t="shared" si="1"/>
        <v>0</v>
      </c>
    </row>
    <row r="10" spans="1:18" ht="30" customHeight="1">
      <c r="A10" s="26">
        <v>6</v>
      </c>
      <c r="B10" s="5" t="s">
        <v>748</v>
      </c>
      <c r="C10" s="81"/>
      <c r="D10" s="225" t="s">
        <v>754</v>
      </c>
      <c r="E10" s="5" t="s">
        <v>12</v>
      </c>
      <c r="F10" s="100" t="str">
        <f>IFERROR(VLOOKUP(C10,[1]Sheet1!$A$1:$D$65536,3,0)/K10,"")</f>
        <v/>
      </c>
      <c r="G10" s="5" t="s">
        <v>577</v>
      </c>
      <c r="H10" s="10"/>
      <c r="I10" s="10"/>
      <c r="J10" s="56">
        <f t="shared" si="0"/>
        <v>0</v>
      </c>
      <c r="K10" s="5">
        <v>20</v>
      </c>
      <c r="L10" s="11"/>
      <c r="M10" s="146"/>
      <c r="N10" s="147">
        <f t="shared" si="1"/>
        <v>0</v>
      </c>
    </row>
    <row r="11" spans="1:18" ht="30" customHeight="1">
      <c r="A11" s="26">
        <v>7</v>
      </c>
      <c r="B11" s="5" t="s">
        <v>752</v>
      </c>
      <c r="C11" s="81"/>
      <c r="D11" s="1" t="s">
        <v>753</v>
      </c>
      <c r="E11" s="5" t="s">
        <v>14</v>
      </c>
      <c r="F11" s="100" t="str">
        <f>IFERROR(VLOOKUP(C11,[1]Sheet1!$A$1:$D$65536,3,0)/K11,"")</f>
        <v/>
      </c>
      <c r="G11" s="5" t="s">
        <v>576</v>
      </c>
      <c r="H11" s="10"/>
      <c r="I11" s="171"/>
      <c r="J11" s="56">
        <f t="shared" si="0"/>
        <v>0</v>
      </c>
      <c r="K11" s="5">
        <v>1</v>
      </c>
      <c r="L11" s="11"/>
      <c r="M11" s="191"/>
      <c r="N11" s="147">
        <f t="shared" si="1"/>
        <v>0</v>
      </c>
    </row>
    <row r="12" spans="1:18" ht="30" customHeight="1">
      <c r="A12" s="26">
        <v>8</v>
      </c>
      <c r="B12" s="5" t="s">
        <v>760</v>
      </c>
      <c r="C12" s="81"/>
      <c r="D12" s="1" t="s">
        <v>761</v>
      </c>
      <c r="E12" s="5" t="s">
        <v>683</v>
      </c>
      <c r="F12" s="100" t="str">
        <f>IFERROR(VLOOKUP(C12,[1]Sheet1!$A$1:$D$65536,3,0)/K12,"")</f>
        <v/>
      </c>
      <c r="G12" s="5" t="s">
        <v>15</v>
      </c>
      <c r="H12" s="10"/>
      <c r="I12" s="10"/>
      <c r="J12" s="56">
        <f t="shared" si="0"/>
        <v>0</v>
      </c>
      <c r="K12" s="5">
        <v>40</v>
      </c>
      <c r="L12" s="11"/>
      <c r="M12" s="191"/>
      <c r="N12" s="147">
        <f t="shared" si="1"/>
        <v>0</v>
      </c>
    </row>
    <row r="13" spans="1:18" s="22" customFormat="1" ht="30" customHeight="1">
      <c r="A13" s="26">
        <v>9</v>
      </c>
      <c r="B13" s="12" t="s">
        <v>762</v>
      </c>
      <c r="C13" s="82"/>
      <c r="D13" s="1" t="s">
        <v>395</v>
      </c>
      <c r="E13" s="5" t="s">
        <v>14</v>
      </c>
      <c r="F13" s="100" t="str">
        <f>IFERROR(VLOOKUP(C13,[1]Sheet1!$A$1:$D$65536,3,0)/K13,"")</f>
        <v/>
      </c>
      <c r="G13" s="5" t="s">
        <v>15</v>
      </c>
      <c r="H13" s="10"/>
      <c r="I13" s="171"/>
      <c r="J13" s="56">
        <f t="shared" si="0"/>
        <v>0</v>
      </c>
      <c r="K13" s="5">
        <v>1</v>
      </c>
      <c r="L13" s="11"/>
      <c r="M13" s="146"/>
      <c r="N13" s="147">
        <f t="shared" si="1"/>
        <v>0</v>
      </c>
    </row>
    <row r="14" spans="1:18" s="22" customFormat="1" ht="30" customHeight="1">
      <c r="A14" s="26">
        <v>10</v>
      </c>
      <c r="B14" s="12" t="s">
        <v>762</v>
      </c>
      <c r="C14" s="82"/>
      <c r="D14" s="225" t="s">
        <v>396</v>
      </c>
      <c r="E14" s="5" t="s">
        <v>14</v>
      </c>
      <c r="F14" s="100" t="str">
        <f>IFERROR(VLOOKUP(C14,[1]Sheet1!$A$1:$D$65536,3,0)/K14,"")</f>
        <v/>
      </c>
      <c r="G14" s="5" t="s">
        <v>15</v>
      </c>
      <c r="H14" s="10"/>
      <c r="I14" s="171"/>
      <c r="J14" s="56">
        <f t="shared" si="0"/>
        <v>0</v>
      </c>
      <c r="K14" s="5">
        <v>1</v>
      </c>
      <c r="L14" s="11"/>
      <c r="M14" s="191"/>
      <c r="N14" s="147">
        <f t="shared" si="1"/>
        <v>0</v>
      </c>
    </row>
    <row r="15" spans="1:18" ht="30" customHeight="1">
      <c r="A15" s="26">
        <v>11</v>
      </c>
      <c r="B15" s="5" t="s">
        <v>762</v>
      </c>
      <c r="C15" s="81"/>
      <c r="D15" s="199" t="s">
        <v>65</v>
      </c>
      <c r="E15" s="5" t="s">
        <v>14</v>
      </c>
      <c r="F15" s="100" t="str">
        <f>IFERROR(VLOOKUP(C15,[1]Sheet1!$A$1:$D$65536,3,0)/K15,"")</f>
        <v/>
      </c>
      <c r="G15" s="5" t="s">
        <v>15</v>
      </c>
      <c r="H15" s="10"/>
      <c r="I15" s="171"/>
      <c r="J15" s="56">
        <f t="shared" si="0"/>
        <v>0</v>
      </c>
      <c r="K15" s="5">
        <v>1</v>
      </c>
      <c r="L15" s="11"/>
      <c r="M15" s="146"/>
      <c r="N15" s="147">
        <f t="shared" si="1"/>
        <v>0</v>
      </c>
    </row>
    <row r="16" spans="1:18" ht="30" customHeight="1">
      <c r="A16" s="26">
        <v>12</v>
      </c>
      <c r="B16" s="5" t="s">
        <v>762</v>
      </c>
      <c r="C16" s="81"/>
      <c r="D16" s="225" t="s">
        <v>66</v>
      </c>
      <c r="E16" s="5" t="s">
        <v>14</v>
      </c>
      <c r="F16" s="100" t="str">
        <f>IFERROR(VLOOKUP(C16,[1]Sheet1!$A$1:$D$65536,3,0)/K16,"")</f>
        <v/>
      </c>
      <c r="G16" s="5" t="s">
        <v>15</v>
      </c>
      <c r="H16" s="10"/>
      <c r="I16" s="171"/>
      <c r="J16" s="56">
        <f>H16*K16+I16</f>
        <v>0</v>
      </c>
      <c r="K16" s="5">
        <v>1</v>
      </c>
      <c r="L16" s="11"/>
      <c r="M16" s="191"/>
      <c r="N16" s="147">
        <f t="shared" si="1"/>
        <v>0</v>
      </c>
    </row>
    <row r="17" spans="1:14" ht="30" customHeight="1">
      <c r="A17" s="26">
        <v>13</v>
      </c>
      <c r="B17" s="5" t="s">
        <v>762</v>
      </c>
      <c r="C17" s="81"/>
      <c r="D17" s="199" t="s">
        <v>67</v>
      </c>
      <c r="E17" s="5" t="s">
        <v>14</v>
      </c>
      <c r="F17" s="100" t="str">
        <f>IFERROR(VLOOKUP(C17,[1]Sheet1!$A$1:$D$65536,3,0)/K17,"")</f>
        <v/>
      </c>
      <c r="G17" s="5" t="s">
        <v>15</v>
      </c>
      <c r="H17" s="10"/>
      <c r="I17" s="171"/>
      <c r="J17" s="56">
        <f>H17*K17+I17</f>
        <v>0</v>
      </c>
      <c r="K17" s="5">
        <v>1</v>
      </c>
      <c r="L17" s="11"/>
      <c r="M17" s="191"/>
      <c r="N17" s="147">
        <f t="shared" si="1"/>
        <v>0</v>
      </c>
    </row>
    <row r="18" spans="1:14" ht="30" customHeight="1">
      <c r="A18" s="26">
        <v>14</v>
      </c>
      <c r="B18" s="5" t="s">
        <v>763</v>
      </c>
      <c r="C18" s="81"/>
      <c r="D18" s="225" t="s">
        <v>764</v>
      </c>
      <c r="E18" s="5" t="s">
        <v>14</v>
      </c>
      <c r="F18" s="100" t="str">
        <f>IFERROR(VLOOKUP(C18,[1]Sheet1!$A$1:$D$65536,3,0)/K18,"")</f>
        <v/>
      </c>
      <c r="G18" s="5" t="s">
        <v>15</v>
      </c>
      <c r="H18" s="10"/>
      <c r="I18" s="171"/>
      <c r="J18" s="56">
        <f>H18*K18+I18</f>
        <v>0</v>
      </c>
      <c r="K18" s="5">
        <v>1</v>
      </c>
      <c r="L18" s="11"/>
      <c r="M18" s="146"/>
      <c r="N18" s="147">
        <f t="shared" si="1"/>
        <v>0</v>
      </c>
    </row>
    <row r="19" spans="1:14" ht="30" customHeight="1">
      <c r="A19" s="26">
        <v>15</v>
      </c>
      <c r="B19" s="5" t="s">
        <v>763</v>
      </c>
      <c r="C19" s="81"/>
      <c r="D19" s="199" t="s">
        <v>765</v>
      </c>
      <c r="E19" s="5" t="s">
        <v>14</v>
      </c>
      <c r="F19" s="100" t="str">
        <f>IFERROR(VLOOKUP(C19,[1]Sheet1!$A$1:$D$65536,3,0)/K19,"")</f>
        <v/>
      </c>
      <c r="G19" s="5" t="s">
        <v>15</v>
      </c>
      <c r="H19" s="10"/>
      <c r="I19" s="170"/>
      <c r="J19" s="56">
        <f t="shared" ref="J19:J91" si="2">H19*K19+I19</f>
        <v>0</v>
      </c>
      <c r="K19" s="5">
        <v>1</v>
      </c>
      <c r="L19" s="11"/>
      <c r="M19" s="146"/>
      <c r="N19" s="147">
        <f t="shared" si="1"/>
        <v>0</v>
      </c>
    </row>
    <row r="20" spans="1:14" ht="30" customHeight="1">
      <c r="A20" s="26">
        <v>16</v>
      </c>
      <c r="B20" s="5" t="s">
        <v>763</v>
      </c>
      <c r="C20" s="81"/>
      <c r="D20" s="225" t="s">
        <v>766</v>
      </c>
      <c r="E20" s="5" t="s">
        <v>14</v>
      </c>
      <c r="F20" s="100" t="str">
        <f>IFERROR(VLOOKUP(C20,[1]Sheet1!$A$1:$D$65536,3,0)/K20,"")</f>
        <v/>
      </c>
      <c r="G20" s="5" t="s">
        <v>15</v>
      </c>
      <c r="H20" s="10"/>
      <c r="I20" s="171"/>
      <c r="J20" s="56">
        <f t="shared" si="2"/>
        <v>0</v>
      </c>
      <c r="K20" s="5">
        <v>1</v>
      </c>
      <c r="L20" s="11"/>
      <c r="M20" s="146"/>
      <c r="N20" s="147">
        <f t="shared" si="1"/>
        <v>0</v>
      </c>
    </row>
    <row r="21" spans="1:14" s="22" customFormat="1" ht="30" customHeight="1">
      <c r="A21" s="26">
        <v>17</v>
      </c>
      <c r="B21" s="12" t="s">
        <v>763</v>
      </c>
      <c r="C21" s="127"/>
      <c r="D21" s="199" t="s">
        <v>767</v>
      </c>
      <c r="E21" s="5" t="s">
        <v>14</v>
      </c>
      <c r="F21" s="100" t="str">
        <f>IFERROR(VLOOKUP(C21,[1]Sheet1!$A$1:$D$65536,3,0)/K21,"")</f>
        <v/>
      </c>
      <c r="G21" s="5" t="s">
        <v>15</v>
      </c>
      <c r="H21" s="10"/>
      <c r="I21" s="171"/>
      <c r="J21" s="56">
        <f t="shared" si="2"/>
        <v>0</v>
      </c>
      <c r="K21" s="5">
        <v>1</v>
      </c>
      <c r="L21" s="11"/>
      <c r="M21" s="146"/>
      <c r="N21" s="147">
        <f t="shared" si="1"/>
        <v>0</v>
      </c>
    </row>
    <row r="22" spans="1:14" s="22" customFormat="1" ht="30" hidden="1" customHeight="1">
      <c r="A22" s="26">
        <v>18</v>
      </c>
      <c r="B22" s="12" t="s">
        <v>768</v>
      </c>
      <c r="C22" s="82">
        <v>30003484</v>
      </c>
      <c r="D22" s="51" t="s">
        <v>852</v>
      </c>
      <c r="E22" s="5" t="s">
        <v>14</v>
      </c>
      <c r="F22" s="239" t="str">
        <f>IFERROR(VLOOKUP(C22,[1]Sheet1!$A$1:$D$65536,3,0),"")</f>
        <v/>
      </c>
      <c r="G22" s="5" t="s">
        <v>853</v>
      </c>
      <c r="H22" s="10"/>
      <c r="I22" s="10"/>
      <c r="J22" s="56">
        <f>H22*K22+I22</f>
        <v>0</v>
      </c>
      <c r="K22" s="5">
        <v>1</v>
      </c>
      <c r="L22" s="11" t="s">
        <v>854</v>
      </c>
      <c r="M22" s="193"/>
      <c r="N22" s="147">
        <f>M22*J22</f>
        <v>0</v>
      </c>
    </row>
    <row r="23" spans="1:14" s="22" customFormat="1" ht="30" hidden="1" customHeight="1">
      <c r="A23" s="26">
        <v>19</v>
      </c>
      <c r="B23" s="12" t="s">
        <v>768</v>
      </c>
      <c r="C23" s="19">
        <v>30003483</v>
      </c>
      <c r="D23" s="51" t="s">
        <v>858</v>
      </c>
      <c r="E23" s="5" t="s">
        <v>14</v>
      </c>
      <c r="F23" s="239" t="str">
        <f>IFERROR(VLOOKUP(C23,[1]Sheet1!$A$1:$D$65536,3,0),"")</f>
        <v/>
      </c>
      <c r="G23" s="5" t="s">
        <v>210</v>
      </c>
      <c r="H23" s="10"/>
      <c r="I23" s="10"/>
      <c r="J23" s="56">
        <f t="shared" ref="J23" si="3">H23*K23+I23</f>
        <v>0</v>
      </c>
      <c r="K23" s="5">
        <v>20</v>
      </c>
      <c r="L23" s="11" t="s">
        <v>854</v>
      </c>
      <c r="M23" s="233"/>
      <c r="N23" s="147">
        <f t="shared" ref="N23" si="4">M23*J23</f>
        <v>0</v>
      </c>
    </row>
    <row r="24" spans="1:14" s="22" customFormat="1" ht="30" customHeight="1">
      <c r="A24" s="26">
        <v>18</v>
      </c>
      <c r="B24" s="12" t="s">
        <v>768</v>
      </c>
      <c r="C24" s="82">
        <v>30003539</v>
      </c>
      <c r="D24" s="1" t="s">
        <v>770</v>
      </c>
      <c r="E24" s="5" t="s">
        <v>14</v>
      </c>
      <c r="F24" s="239">
        <f>IFERROR(VLOOKUP(C24,[1]Sheet1!$A$1:$D$65536,3,0),"")</f>
        <v>3.6819999999999999</v>
      </c>
      <c r="G24" s="5" t="s">
        <v>210</v>
      </c>
      <c r="H24" s="10"/>
      <c r="I24" s="10"/>
      <c r="J24" s="56">
        <f>H24*K24+I24</f>
        <v>0</v>
      </c>
      <c r="K24" s="5">
        <v>12</v>
      </c>
      <c r="L24" s="11"/>
      <c r="M24" s="193"/>
      <c r="N24" s="147">
        <f>M24*J24</f>
        <v>0</v>
      </c>
    </row>
    <row r="25" spans="1:14" s="22" customFormat="1" ht="30" customHeight="1">
      <c r="A25" s="26">
        <v>19</v>
      </c>
      <c r="B25" s="12" t="s">
        <v>768</v>
      </c>
      <c r="C25" s="19">
        <v>30003574</v>
      </c>
      <c r="D25" s="1" t="s">
        <v>769</v>
      </c>
      <c r="E25" s="5" t="s">
        <v>14</v>
      </c>
      <c r="F25" s="239">
        <f>IFERROR(VLOOKUP(C25,[1]Sheet1!$A$1:$D$65536,3,0),"")</f>
        <v>2.29</v>
      </c>
      <c r="G25" s="5" t="s">
        <v>210</v>
      </c>
      <c r="H25" s="10"/>
      <c r="I25" s="10"/>
      <c r="J25" s="56">
        <f t="shared" ref="J25:J26" si="5">H25*K25+I25</f>
        <v>0</v>
      </c>
      <c r="K25" s="5">
        <v>12</v>
      </c>
      <c r="L25" s="11"/>
      <c r="M25" s="233"/>
      <c r="N25" s="147">
        <f t="shared" ref="N25:N26" si="6">M25*J25</f>
        <v>0</v>
      </c>
    </row>
    <row r="26" spans="1:14" s="22" customFormat="1" ht="30" customHeight="1">
      <c r="A26" s="26">
        <v>19</v>
      </c>
      <c r="B26" s="12" t="s">
        <v>768</v>
      </c>
      <c r="C26" s="255">
        <v>30003646</v>
      </c>
      <c r="D26" s="51" t="s">
        <v>863</v>
      </c>
      <c r="E26" s="5" t="s">
        <v>14</v>
      </c>
      <c r="F26" s="239"/>
      <c r="G26" s="5" t="s">
        <v>210</v>
      </c>
      <c r="H26" s="10"/>
      <c r="I26" s="10"/>
      <c r="J26" s="56">
        <f t="shared" si="5"/>
        <v>0</v>
      </c>
      <c r="K26" s="5">
        <v>12</v>
      </c>
      <c r="L26" s="11"/>
      <c r="M26" s="233"/>
      <c r="N26" s="147">
        <f t="shared" si="6"/>
        <v>0</v>
      </c>
    </row>
    <row r="27" spans="1:14" s="22" customFormat="1" ht="30" customHeight="1">
      <c r="A27" s="26">
        <v>19</v>
      </c>
      <c r="B27" s="12" t="s">
        <v>768</v>
      </c>
      <c r="C27" s="255">
        <v>30003682</v>
      </c>
      <c r="D27" s="2" t="s">
        <v>923</v>
      </c>
      <c r="E27" s="5" t="s">
        <v>14</v>
      </c>
      <c r="F27" s="239"/>
      <c r="G27" s="5" t="s">
        <v>210</v>
      </c>
      <c r="H27" s="10"/>
      <c r="I27" s="10"/>
      <c r="J27" s="56">
        <f t="shared" si="2"/>
        <v>0</v>
      </c>
      <c r="K27" s="5">
        <v>12</v>
      </c>
      <c r="L27" s="11"/>
      <c r="M27" s="233"/>
      <c r="N27" s="147">
        <f t="shared" si="1"/>
        <v>0</v>
      </c>
    </row>
    <row r="28" spans="1:14" ht="30" customHeight="1">
      <c r="A28" s="26">
        <v>20</v>
      </c>
      <c r="B28" s="5" t="s">
        <v>780</v>
      </c>
      <c r="C28" s="81">
        <v>30003097</v>
      </c>
      <c r="D28" s="235" t="s">
        <v>779</v>
      </c>
      <c r="E28" s="5" t="s">
        <v>14</v>
      </c>
      <c r="F28" s="239">
        <f>IFERROR(VLOOKUP(C28,[1]Sheet1!$A$1:$D$65536,3,0),"")</f>
        <v>0.20300000000000001</v>
      </c>
      <c r="G28" s="5" t="s">
        <v>15</v>
      </c>
      <c r="H28" s="10"/>
      <c r="I28" s="171"/>
      <c r="J28" s="56">
        <f t="shared" ref="J28:J34" si="7">H28*K28+I28</f>
        <v>0</v>
      </c>
      <c r="K28" s="5">
        <v>1</v>
      </c>
      <c r="L28" s="230" t="s">
        <v>801</v>
      </c>
      <c r="M28" s="146"/>
      <c r="N28" s="147">
        <f>M28*J28</f>
        <v>0</v>
      </c>
    </row>
    <row r="29" spans="1:14" s="43" customFormat="1" ht="30" customHeight="1">
      <c r="A29" s="26">
        <v>21</v>
      </c>
      <c r="B29" s="5" t="s">
        <v>780</v>
      </c>
      <c r="C29" s="81">
        <v>30003096</v>
      </c>
      <c r="D29" s="155" t="s">
        <v>778</v>
      </c>
      <c r="E29" s="5" t="s">
        <v>14</v>
      </c>
      <c r="F29" s="239">
        <f>IFERROR(VLOOKUP(C29,[1]Sheet1!$A$1:$D$65536,3,0),"")</f>
        <v>0.88400000000000001</v>
      </c>
      <c r="G29" s="5" t="s">
        <v>15</v>
      </c>
      <c r="H29" s="10"/>
      <c r="I29" s="171"/>
      <c r="J29" s="56">
        <f t="shared" ref="J29" si="8">H29*K29+I29</f>
        <v>0</v>
      </c>
      <c r="K29" s="5">
        <v>1</v>
      </c>
      <c r="L29" s="230" t="s">
        <v>800</v>
      </c>
      <c r="M29" s="146"/>
      <c r="N29" s="147">
        <f>M29*J29</f>
        <v>0</v>
      </c>
    </row>
    <row r="30" spans="1:14" s="43" customFormat="1" ht="30" customHeight="1">
      <c r="A30" s="26">
        <v>21</v>
      </c>
      <c r="B30" s="5" t="s">
        <v>780</v>
      </c>
      <c r="C30" s="81">
        <v>30003096</v>
      </c>
      <c r="D30" s="155" t="s">
        <v>994</v>
      </c>
      <c r="E30" s="5" t="s">
        <v>14</v>
      </c>
      <c r="F30" s="239">
        <f>IFERROR(VLOOKUP(C30,[1]Sheet1!$A$1:$D$65536,3,0),"")</f>
        <v>0.88400000000000001</v>
      </c>
      <c r="G30" s="5" t="s">
        <v>15</v>
      </c>
      <c r="H30" s="10"/>
      <c r="I30" s="171"/>
      <c r="J30" s="56">
        <f t="shared" si="7"/>
        <v>0</v>
      </c>
      <c r="K30" s="5">
        <v>1</v>
      </c>
      <c r="L30" s="230"/>
      <c r="M30" s="146"/>
      <c r="N30" s="147">
        <f>M30*J30</f>
        <v>0</v>
      </c>
    </row>
    <row r="31" spans="1:14" s="22" customFormat="1" ht="30" customHeight="1">
      <c r="A31" s="26">
        <v>22</v>
      </c>
      <c r="B31" s="5" t="s">
        <v>780</v>
      </c>
      <c r="C31" s="81">
        <v>30003529</v>
      </c>
      <c r="D31" s="155" t="s">
        <v>772</v>
      </c>
      <c r="E31" s="5" t="s">
        <v>14</v>
      </c>
      <c r="F31" s="239">
        <f>IFERROR(VLOOKUP(C31,[1]Sheet1!$A$1:$D$65536,3,0),"")</f>
        <v>5.8719999999999999</v>
      </c>
      <c r="G31" s="5" t="s">
        <v>210</v>
      </c>
      <c r="H31" s="10"/>
      <c r="I31" s="10"/>
      <c r="J31" s="56">
        <f t="shared" si="7"/>
        <v>0</v>
      </c>
      <c r="K31" s="5">
        <v>20</v>
      </c>
      <c r="L31" s="11"/>
      <c r="M31" s="146"/>
      <c r="N31" s="147">
        <f>M31*J31</f>
        <v>0</v>
      </c>
    </row>
    <row r="32" spans="1:14" s="22" customFormat="1" ht="30" customHeight="1">
      <c r="A32" s="26">
        <v>23</v>
      </c>
      <c r="B32" s="5" t="s">
        <v>780</v>
      </c>
      <c r="C32" s="81">
        <v>30003538</v>
      </c>
      <c r="D32" s="155" t="s">
        <v>773</v>
      </c>
      <c r="E32" s="5" t="s">
        <v>14</v>
      </c>
      <c r="F32" s="239">
        <f>IFERROR(VLOOKUP(C32,[1]Sheet1!$A$1:$D$65536,3,0),"")</f>
        <v>3.024</v>
      </c>
      <c r="G32" s="5" t="s">
        <v>210</v>
      </c>
      <c r="H32" s="10"/>
      <c r="I32" s="10"/>
      <c r="J32" s="56">
        <f t="shared" si="7"/>
        <v>0</v>
      </c>
      <c r="K32" s="5">
        <v>20</v>
      </c>
      <c r="L32" s="11"/>
      <c r="M32" s="146"/>
      <c r="N32" s="147">
        <f>M32*J32</f>
        <v>0</v>
      </c>
    </row>
    <row r="33" spans="1:14" s="22" customFormat="1" ht="30" customHeight="1">
      <c r="A33" s="26">
        <v>24</v>
      </c>
      <c r="B33" s="5" t="s">
        <v>780</v>
      </c>
      <c r="C33" s="81">
        <v>30003540</v>
      </c>
      <c r="D33" s="155" t="s">
        <v>774</v>
      </c>
      <c r="E33" s="5" t="s">
        <v>14</v>
      </c>
      <c r="F33" s="239">
        <f>IFERROR(VLOOKUP(C33,[1]Sheet1!$A$1:$D$65536,3,0),"")</f>
        <v>3.0920000000000001</v>
      </c>
      <c r="G33" s="5" t="s">
        <v>210</v>
      </c>
      <c r="H33" s="10"/>
      <c r="I33" s="10"/>
      <c r="J33" s="56">
        <f t="shared" si="7"/>
        <v>0</v>
      </c>
      <c r="K33" s="5">
        <v>20</v>
      </c>
      <c r="L33" s="11"/>
      <c r="M33" s="146"/>
      <c r="N33" s="147">
        <f t="shared" ref="N33" si="9">M33*J33</f>
        <v>0</v>
      </c>
    </row>
    <row r="34" spans="1:14" s="22" customFormat="1" ht="30" customHeight="1">
      <c r="A34" s="26">
        <v>25</v>
      </c>
      <c r="B34" s="5" t="s">
        <v>780</v>
      </c>
      <c r="C34" s="81">
        <v>30003618</v>
      </c>
      <c r="D34" s="155" t="s">
        <v>827</v>
      </c>
      <c r="E34" s="5" t="s">
        <v>14</v>
      </c>
      <c r="F34" s="239" t="str">
        <f>IFERROR(VLOOKUP(C34,[1]Sheet1!$A$1:$D$65536,3,0),"")</f>
        <v/>
      </c>
      <c r="G34" s="5" t="s">
        <v>210</v>
      </c>
      <c r="H34" s="10"/>
      <c r="I34" s="10"/>
      <c r="J34" s="56">
        <f t="shared" si="7"/>
        <v>0</v>
      </c>
      <c r="K34" s="5">
        <v>20</v>
      </c>
      <c r="L34" s="11"/>
      <c r="M34" s="146"/>
      <c r="N34" s="147">
        <f t="shared" ref="N34" si="10">M34*J34</f>
        <v>0</v>
      </c>
    </row>
    <row r="35" spans="1:14" s="22" customFormat="1" ht="30" customHeight="1">
      <c r="A35" s="26">
        <v>26</v>
      </c>
      <c r="B35" s="5" t="s">
        <v>780</v>
      </c>
      <c r="C35" s="81">
        <v>30003598</v>
      </c>
      <c r="D35" s="155" t="s">
        <v>771</v>
      </c>
      <c r="E35" s="5" t="s">
        <v>14</v>
      </c>
      <c r="F35" s="239">
        <f>IFERROR(VLOOKUP(C35,[1]Sheet1!$A$1:$D$65536,3,0),"")</f>
        <v>6.77</v>
      </c>
      <c r="G35" s="5" t="s">
        <v>210</v>
      </c>
      <c r="H35" s="10"/>
      <c r="I35" s="10"/>
      <c r="J35" s="56">
        <f t="shared" si="2"/>
        <v>0</v>
      </c>
      <c r="K35" s="5">
        <v>20</v>
      </c>
      <c r="L35" s="11"/>
      <c r="M35" s="146"/>
      <c r="N35" s="147">
        <f t="shared" ref="N35:N37" si="11">M35*J35</f>
        <v>0</v>
      </c>
    </row>
    <row r="36" spans="1:14" s="22" customFormat="1" ht="30" customHeight="1">
      <c r="A36" s="26">
        <v>27</v>
      </c>
      <c r="B36" s="5" t="s">
        <v>780</v>
      </c>
      <c r="C36" s="81">
        <v>30003165</v>
      </c>
      <c r="D36" s="155" t="s">
        <v>394</v>
      </c>
      <c r="E36" s="5" t="s">
        <v>14</v>
      </c>
      <c r="F36" s="239">
        <f>IFERROR(VLOOKUP(C36,[1]Sheet1!$A$1:$D$65536,3,0),"")</f>
        <v>0.41799999999999998</v>
      </c>
      <c r="G36" s="5" t="s">
        <v>210</v>
      </c>
      <c r="H36" s="10"/>
      <c r="I36" s="10"/>
      <c r="J36" s="56">
        <f>H36*K36+I36</f>
        <v>0</v>
      </c>
      <c r="K36" s="5">
        <v>20</v>
      </c>
      <c r="L36" s="11"/>
      <c r="M36" s="146"/>
      <c r="N36" s="147">
        <f>M36*J36</f>
        <v>0</v>
      </c>
    </row>
    <row r="37" spans="1:14" s="22" customFormat="1" ht="30" customHeight="1">
      <c r="A37" s="26">
        <v>28</v>
      </c>
      <c r="B37" s="5" t="s">
        <v>780</v>
      </c>
      <c r="C37" s="81">
        <v>30003166</v>
      </c>
      <c r="D37" s="155" t="s">
        <v>393</v>
      </c>
      <c r="E37" s="5" t="s">
        <v>14</v>
      </c>
      <c r="F37" s="239">
        <f>IFERROR(VLOOKUP(C37,[1]Sheet1!$A$1:$D$65536,3,0),"")</f>
        <v>0.52</v>
      </c>
      <c r="G37" s="5" t="s">
        <v>210</v>
      </c>
      <c r="H37" s="10"/>
      <c r="I37" s="10"/>
      <c r="J37" s="56">
        <f t="shared" si="2"/>
        <v>0</v>
      </c>
      <c r="K37" s="5">
        <v>20</v>
      </c>
      <c r="L37" s="11"/>
      <c r="M37" s="146"/>
      <c r="N37" s="147">
        <f t="shared" si="11"/>
        <v>0</v>
      </c>
    </row>
    <row r="38" spans="1:14" s="22" customFormat="1" ht="30" customHeight="1">
      <c r="A38" s="26">
        <v>29</v>
      </c>
      <c r="B38" s="5" t="s">
        <v>780</v>
      </c>
      <c r="C38" s="81">
        <v>30003325</v>
      </c>
      <c r="D38" s="1" t="s">
        <v>775</v>
      </c>
      <c r="E38" s="5" t="s">
        <v>14</v>
      </c>
      <c r="F38" s="239">
        <f>IFERROR(VLOOKUP(C38,[1]Sheet1!$A$1:$D$65536,3,0),"")</f>
        <v>0.41299999999999998</v>
      </c>
      <c r="G38" s="5" t="s">
        <v>210</v>
      </c>
      <c r="H38" s="10"/>
      <c r="I38" s="171"/>
      <c r="J38" s="56">
        <f t="shared" si="2"/>
        <v>0</v>
      </c>
      <c r="K38" s="5">
        <v>1</v>
      </c>
      <c r="L38" s="11"/>
      <c r="M38" s="146"/>
      <c r="N38" s="147">
        <f>M38*J38</f>
        <v>0</v>
      </c>
    </row>
    <row r="39" spans="1:14" s="43" customFormat="1" ht="30" customHeight="1">
      <c r="A39" s="26">
        <v>30</v>
      </c>
      <c r="B39" s="5" t="s">
        <v>780</v>
      </c>
      <c r="C39" s="81">
        <v>30003337</v>
      </c>
      <c r="D39" s="1" t="s">
        <v>777</v>
      </c>
      <c r="E39" s="5" t="s">
        <v>14</v>
      </c>
      <c r="F39" s="239">
        <f>IFERROR(VLOOKUP(C39,[1]Sheet1!$A$1:$D$65536,3,0),"")</f>
        <v>2.4E-2</v>
      </c>
      <c r="G39" s="5" t="s">
        <v>210</v>
      </c>
      <c r="H39" s="10"/>
      <c r="I39" s="171"/>
      <c r="J39" s="56">
        <f>H39*K39+I39</f>
        <v>0</v>
      </c>
      <c r="K39" s="5">
        <v>1</v>
      </c>
      <c r="L39" s="11"/>
      <c r="M39" s="146"/>
      <c r="N39" s="147">
        <f>M39*J39</f>
        <v>0</v>
      </c>
    </row>
    <row r="40" spans="1:14" s="43" customFormat="1" ht="30" customHeight="1">
      <c r="A40" s="26">
        <v>31</v>
      </c>
      <c r="B40" s="5" t="s">
        <v>780</v>
      </c>
      <c r="C40" s="81">
        <v>30003336</v>
      </c>
      <c r="D40" s="1" t="s">
        <v>776</v>
      </c>
      <c r="E40" s="5" t="s">
        <v>14</v>
      </c>
      <c r="F40" s="239">
        <f>IFERROR(VLOOKUP(C40,[1]Sheet1!$A$1:$D$65536,3,0),"")</f>
        <v>3.1E-2</v>
      </c>
      <c r="G40" s="5" t="s">
        <v>210</v>
      </c>
      <c r="H40" s="10"/>
      <c r="I40" s="171"/>
      <c r="J40" s="56">
        <f t="shared" si="2"/>
        <v>0</v>
      </c>
      <c r="K40" s="5">
        <v>1</v>
      </c>
      <c r="L40" s="11"/>
      <c r="M40" s="146"/>
      <c r="N40" s="147">
        <f>M40*J40</f>
        <v>0</v>
      </c>
    </row>
    <row r="41" spans="1:14" s="43" customFormat="1" ht="30" customHeight="1">
      <c r="A41" s="26">
        <v>32</v>
      </c>
      <c r="B41" s="5" t="s">
        <v>780</v>
      </c>
      <c r="C41" s="255">
        <v>30003655</v>
      </c>
      <c r="D41" s="1" t="s">
        <v>890</v>
      </c>
      <c r="E41" s="5" t="s">
        <v>14</v>
      </c>
      <c r="F41" s="239" t="str">
        <f>IFERROR(VLOOKUP(C41,[1]Sheet1!$A$1:$D$65536,3,0),"")</f>
        <v/>
      </c>
      <c r="G41" s="5" t="s">
        <v>210</v>
      </c>
      <c r="H41" s="10"/>
      <c r="I41" s="171"/>
      <c r="J41" s="56">
        <f t="shared" ref="J41:J42" si="12">H41*K41+I41</f>
        <v>0</v>
      </c>
      <c r="K41" s="5">
        <v>1</v>
      </c>
      <c r="L41" s="11"/>
      <c r="M41" s="146"/>
      <c r="N41" s="147">
        <f t="shared" ref="N41:N42" si="13">M41*J41</f>
        <v>0</v>
      </c>
    </row>
    <row r="42" spans="1:14" s="43" customFormat="1" ht="30" customHeight="1">
      <c r="A42" s="26">
        <v>32</v>
      </c>
      <c r="B42" s="5" t="s">
        <v>780</v>
      </c>
      <c r="C42" s="255">
        <v>30003654</v>
      </c>
      <c r="D42" s="51" t="s">
        <v>891</v>
      </c>
      <c r="E42" s="5" t="s">
        <v>14</v>
      </c>
      <c r="F42" s="239" t="str">
        <f>IFERROR(VLOOKUP(C42,[1]Sheet1!$A$1:$D$65536,3,0),"")</f>
        <v/>
      </c>
      <c r="G42" s="5" t="s">
        <v>210</v>
      </c>
      <c r="H42" s="10"/>
      <c r="I42" s="171"/>
      <c r="J42" s="56">
        <f t="shared" si="12"/>
        <v>0</v>
      </c>
      <c r="K42" s="5">
        <v>1</v>
      </c>
      <c r="L42" s="11"/>
      <c r="M42" s="146"/>
      <c r="N42" s="147">
        <f t="shared" si="13"/>
        <v>0</v>
      </c>
    </row>
    <row r="43" spans="1:14" ht="30" hidden="1" customHeight="1">
      <c r="A43" s="26">
        <v>33</v>
      </c>
      <c r="B43" s="226" t="s">
        <v>529</v>
      </c>
      <c r="C43" s="237">
        <v>30003444</v>
      </c>
      <c r="D43" s="227" t="s">
        <v>781</v>
      </c>
      <c r="E43" s="226" t="s">
        <v>14</v>
      </c>
      <c r="F43" s="228">
        <f>IFERROR(VLOOKUP(C43,[1]Sheet1!$A$1:$D$65536,3,0),"")</f>
        <v>1.89</v>
      </c>
      <c r="G43" s="226" t="s">
        <v>397</v>
      </c>
      <c r="H43" s="15"/>
      <c r="I43" s="234"/>
      <c r="J43" s="229">
        <f t="shared" si="2"/>
        <v>0</v>
      </c>
      <c r="K43" s="226">
        <v>1</v>
      </c>
      <c r="L43" s="232"/>
      <c r="M43" s="146"/>
      <c r="N43" s="147">
        <f t="shared" ref="N43:N53" si="14">M43*J43</f>
        <v>0</v>
      </c>
    </row>
    <row r="44" spans="1:14" s="23" customFormat="1" ht="30" hidden="1" customHeight="1">
      <c r="A44" s="26">
        <v>53</v>
      </c>
      <c r="B44" s="5" t="s">
        <v>529</v>
      </c>
      <c r="C44" s="194">
        <v>30003633</v>
      </c>
      <c r="D44" s="155" t="s">
        <v>840</v>
      </c>
      <c r="E44" s="5" t="s">
        <v>14</v>
      </c>
      <c r="F44" s="100" t="str">
        <f>IFERROR(VLOOKUP(C44,[1]Sheet1!$A$1:$D$65536,3,0),"")</f>
        <v/>
      </c>
      <c r="G44" s="5" t="s">
        <v>397</v>
      </c>
      <c r="H44" s="10"/>
      <c r="I44" s="171"/>
      <c r="J44" s="57">
        <f t="shared" ref="J44:J49" si="15">H44*K44+I44</f>
        <v>0</v>
      </c>
      <c r="K44" s="5">
        <v>1</v>
      </c>
      <c r="L44" s="11"/>
      <c r="M44" s="169"/>
      <c r="N44" s="147">
        <f t="shared" si="14"/>
        <v>0</v>
      </c>
    </row>
    <row r="45" spans="1:14" s="23" customFormat="1" ht="30" hidden="1" customHeight="1">
      <c r="A45" s="26">
        <v>53</v>
      </c>
      <c r="B45" s="5" t="s">
        <v>529</v>
      </c>
      <c r="C45" s="194">
        <v>30003633</v>
      </c>
      <c r="D45" s="155" t="s">
        <v>870</v>
      </c>
      <c r="E45" s="5" t="s">
        <v>14</v>
      </c>
      <c r="F45" s="100" t="str">
        <f>IFERROR(VLOOKUP(C45,[1]Sheet1!$A$1:$D$65536,3,0),"")</f>
        <v/>
      </c>
      <c r="G45" s="5" t="s">
        <v>397</v>
      </c>
      <c r="H45" s="10"/>
      <c r="I45" s="171"/>
      <c r="J45" s="57">
        <f t="shared" si="15"/>
        <v>0</v>
      </c>
      <c r="K45" s="5">
        <v>1</v>
      </c>
      <c r="L45" s="11"/>
      <c r="M45" s="169"/>
      <c r="N45" s="147">
        <f t="shared" ref="N45" si="16">M45*J45</f>
        <v>0</v>
      </c>
    </row>
    <row r="46" spans="1:14" ht="30" hidden="1" customHeight="1">
      <c r="A46" s="26">
        <v>34</v>
      </c>
      <c r="B46" s="5" t="s">
        <v>575</v>
      </c>
      <c r="C46" s="238">
        <v>30003578</v>
      </c>
      <c r="D46" s="1" t="s">
        <v>787</v>
      </c>
      <c r="E46" s="5" t="s">
        <v>14</v>
      </c>
      <c r="F46" s="100">
        <f>IFERROR(VLOOKUP(C46,[1]Sheet1!$A$1:$D$65536,3,0),"")</f>
        <v>0.48499999999999999</v>
      </c>
      <c r="G46" s="5" t="s">
        <v>397</v>
      </c>
      <c r="H46" s="10"/>
      <c r="I46" s="171"/>
      <c r="J46" s="56">
        <f t="shared" si="15"/>
        <v>0</v>
      </c>
      <c r="K46" s="5">
        <v>1</v>
      </c>
      <c r="L46" s="11"/>
      <c r="M46" s="146"/>
      <c r="N46" s="147">
        <f t="shared" ref="N46" si="17">M46*J46</f>
        <v>0</v>
      </c>
    </row>
    <row r="47" spans="1:14" ht="30" customHeight="1">
      <c r="A47" s="26">
        <v>35</v>
      </c>
      <c r="B47" s="5" t="s">
        <v>1197</v>
      </c>
      <c r="C47" s="238">
        <v>30003542</v>
      </c>
      <c r="D47" s="1" t="s">
        <v>784</v>
      </c>
      <c r="E47" s="5" t="s">
        <v>14</v>
      </c>
      <c r="F47" s="100">
        <f>IFERROR(VLOOKUP(C47,[1]Sheet1!$A$1:$D$65536,3,0),"")</f>
        <v>0.85699999999999998</v>
      </c>
      <c r="G47" s="5" t="s">
        <v>397</v>
      </c>
      <c r="H47" s="10"/>
      <c r="I47" s="171"/>
      <c r="J47" s="56">
        <f t="shared" si="15"/>
        <v>0</v>
      </c>
      <c r="K47" s="5">
        <v>1</v>
      </c>
      <c r="L47" s="11"/>
      <c r="M47" s="146"/>
      <c r="N47" s="147">
        <f>M47*J47</f>
        <v>0</v>
      </c>
    </row>
    <row r="48" spans="1:14" ht="30" customHeight="1">
      <c r="A48" s="26">
        <v>36</v>
      </c>
      <c r="B48" s="5" t="s">
        <v>575</v>
      </c>
      <c r="C48" s="238">
        <v>30003577</v>
      </c>
      <c r="D48" s="1" t="s">
        <v>786</v>
      </c>
      <c r="E48" s="5" t="s">
        <v>14</v>
      </c>
      <c r="F48" s="100">
        <f>IFERROR(VLOOKUP(C48,[1]Sheet1!$A$1:$D$65536,3,0),"")</f>
        <v>0.96099999999999997</v>
      </c>
      <c r="G48" s="5" t="s">
        <v>397</v>
      </c>
      <c r="H48" s="10"/>
      <c r="I48" s="171"/>
      <c r="J48" s="56">
        <f t="shared" si="15"/>
        <v>0</v>
      </c>
      <c r="K48" s="5">
        <v>1</v>
      </c>
      <c r="L48" s="11"/>
      <c r="M48" s="146"/>
      <c r="N48" s="147">
        <f>M48*J48</f>
        <v>0</v>
      </c>
    </row>
    <row r="49" spans="1:14" ht="30" customHeight="1">
      <c r="A49" s="26">
        <v>37</v>
      </c>
      <c r="B49" s="5" t="s">
        <v>575</v>
      </c>
      <c r="C49" s="238">
        <v>30003561</v>
      </c>
      <c r="D49" s="1" t="s">
        <v>785</v>
      </c>
      <c r="E49" s="5" t="s">
        <v>14</v>
      </c>
      <c r="F49" s="100">
        <f>IFERROR(VLOOKUP(C49,[1]Sheet1!$A$1:$D$65536,3,0),"")</f>
        <v>1.4259999999999999</v>
      </c>
      <c r="G49" s="5" t="s">
        <v>397</v>
      </c>
      <c r="H49" s="10"/>
      <c r="I49" s="171"/>
      <c r="J49" s="56">
        <f t="shared" si="15"/>
        <v>0</v>
      </c>
      <c r="K49" s="5">
        <v>1</v>
      </c>
      <c r="L49" s="11"/>
      <c r="M49" s="146"/>
      <c r="N49" s="147">
        <f>M49*J49</f>
        <v>0</v>
      </c>
    </row>
    <row r="50" spans="1:14" ht="30" customHeight="1">
      <c r="A50" s="26">
        <v>38</v>
      </c>
      <c r="B50" s="5" t="s">
        <v>575</v>
      </c>
      <c r="C50" s="238">
        <v>30003152</v>
      </c>
      <c r="D50" s="1" t="s">
        <v>468</v>
      </c>
      <c r="E50" s="5" t="s">
        <v>14</v>
      </c>
      <c r="F50" s="100">
        <f>IFERROR(VLOOKUP(C50,[1]Sheet1!$A$1:$D$65536,3,0),"")</f>
        <v>1.3129999999999999</v>
      </c>
      <c r="G50" s="5" t="s">
        <v>397</v>
      </c>
      <c r="H50" s="10"/>
      <c r="I50" s="171"/>
      <c r="J50" s="56">
        <f t="shared" ref="J50" si="18">H50*K50+I50</f>
        <v>0</v>
      </c>
      <c r="K50" s="5">
        <v>1</v>
      </c>
      <c r="L50" s="11"/>
      <c r="M50" s="146"/>
      <c r="N50" s="147">
        <f>M50*J50</f>
        <v>0</v>
      </c>
    </row>
    <row r="51" spans="1:14" ht="30" customHeight="1">
      <c r="A51" s="26">
        <v>40</v>
      </c>
      <c r="B51" s="5" t="s">
        <v>575</v>
      </c>
      <c r="C51" s="194">
        <v>30003604</v>
      </c>
      <c r="D51" s="1" t="s">
        <v>782</v>
      </c>
      <c r="E51" s="5" t="s">
        <v>14</v>
      </c>
      <c r="F51" s="100">
        <f>IFERROR(VLOOKUP(C51,[1]Sheet1!$A$1:$D$65536,3,0),"")</f>
        <v>1.014</v>
      </c>
      <c r="G51" s="5" t="s">
        <v>397</v>
      </c>
      <c r="H51" s="10"/>
      <c r="I51" s="171"/>
      <c r="J51" s="56">
        <f t="shared" si="2"/>
        <v>0</v>
      </c>
      <c r="K51" s="5">
        <v>1</v>
      </c>
      <c r="L51" s="11"/>
      <c r="M51" s="146"/>
      <c r="N51" s="147">
        <f t="shared" si="14"/>
        <v>0</v>
      </c>
    </row>
    <row r="52" spans="1:14" ht="30" hidden="1" customHeight="1">
      <c r="A52" s="26">
        <v>41</v>
      </c>
      <c r="B52" s="5" t="s">
        <v>575</v>
      </c>
      <c r="C52" s="194">
        <v>30003615</v>
      </c>
      <c r="D52" s="199" t="s">
        <v>792</v>
      </c>
      <c r="E52" s="5" t="s">
        <v>14</v>
      </c>
      <c r="F52" s="100">
        <f>IFERROR(VLOOKUP(C52,[1]Sheet1!$A$1:$D$65536,3,0),"")/1500</f>
        <v>0.74399999999999999</v>
      </c>
      <c r="G52" s="5" t="s">
        <v>397</v>
      </c>
      <c r="H52" s="10"/>
      <c r="I52" s="171"/>
      <c r="J52" s="56">
        <f>H52*K52+I52</f>
        <v>0</v>
      </c>
      <c r="K52" s="5">
        <v>1</v>
      </c>
      <c r="L52" s="11"/>
      <c r="M52" s="146"/>
      <c r="N52" s="147">
        <f>M52*J52</f>
        <v>0</v>
      </c>
    </row>
    <row r="53" spans="1:14" ht="30" customHeight="1">
      <c r="A53" s="26">
        <v>42</v>
      </c>
      <c r="B53" s="5" t="s">
        <v>575</v>
      </c>
      <c r="C53" s="194">
        <v>30003718</v>
      </c>
      <c r="D53" s="1" t="s">
        <v>783</v>
      </c>
      <c r="E53" s="5" t="s">
        <v>14</v>
      </c>
      <c r="F53" s="100" t="str">
        <f>IFERROR(VLOOKUP(C53,[1]Sheet1!$A$1:$D$65536,3,0),"")</f>
        <v/>
      </c>
      <c r="G53" s="5" t="s">
        <v>397</v>
      </c>
      <c r="H53" s="10"/>
      <c r="I53" s="171"/>
      <c r="J53" s="56">
        <f t="shared" si="2"/>
        <v>0</v>
      </c>
      <c r="K53" s="5">
        <v>1</v>
      </c>
      <c r="L53" s="11"/>
      <c r="M53" s="146"/>
      <c r="N53" s="147">
        <f t="shared" si="14"/>
        <v>0</v>
      </c>
    </row>
    <row r="54" spans="1:14" ht="30" customHeight="1">
      <c r="A54" s="26">
        <v>44</v>
      </c>
      <c r="B54" s="5" t="s">
        <v>575</v>
      </c>
      <c r="C54" s="194">
        <v>30003554</v>
      </c>
      <c r="D54" s="1" t="s">
        <v>788</v>
      </c>
      <c r="E54" s="5" t="s">
        <v>14</v>
      </c>
      <c r="F54" s="20">
        <f>IFERROR(VLOOKUP(C54,[1]Sheet1!$A$1:$D$65536,3,0),"")</f>
        <v>2.3E-2</v>
      </c>
      <c r="G54" s="5" t="s">
        <v>397</v>
      </c>
      <c r="H54" s="153"/>
      <c r="I54" s="170"/>
      <c r="J54" s="56">
        <f>H54*K54+I54</f>
        <v>0</v>
      </c>
      <c r="K54" s="5">
        <v>1</v>
      </c>
      <c r="L54" s="11"/>
      <c r="M54" s="191"/>
      <c r="N54" s="147">
        <f>M54*J54</f>
        <v>0</v>
      </c>
    </row>
    <row r="55" spans="1:14" s="23" customFormat="1" ht="30" customHeight="1">
      <c r="A55" s="26">
        <v>45</v>
      </c>
      <c r="B55" s="5" t="s">
        <v>575</v>
      </c>
      <c r="C55" s="194">
        <v>30003576</v>
      </c>
      <c r="D55" s="155" t="s">
        <v>789</v>
      </c>
      <c r="E55" s="5" t="s">
        <v>14</v>
      </c>
      <c r="F55" s="20">
        <f>IFERROR(VLOOKUP(C55,[1]Sheet1!$A$1:$D$65536,3,0),"")</f>
        <v>2.5000000000000001E-2</v>
      </c>
      <c r="G55" s="5" t="s">
        <v>397</v>
      </c>
      <c r="H55" s="153"/>
      <c r="I55" s="231"/>
      <c r="J55" s="57">
        <f>H55*K55+I55</f>
        <v>0</v>
      </c>
      <c r="K55" s="5">
        <v>1</v>
      </c>
      <c r="L55" s="11"/>
      <c r="M55" s="209"/>
      <c r="N55" s="147">
        <f>M55*J55</f>
        <v>0</v>
      </c>
    </row>
    <row r="56" spans="1:14" ht="30" customHeight="1">
      <c r="A56" s="26">
        <v>46</v>
      </c>
      <c r="B56" s="5" t="s">
        <v>575</v>
      </c>
      <c r="C56" s="194">
        <v>30003423</v>
      </c>
      <c r="D56" s="1" t="s">
        <v>466</v>
      </c>
      <c r="E56" s="5" t="s">
        <v>14</v>
      </c>
      <c r="F56" s="100">
        <f>IFERROR(VLOOKUP(C56,[1]Sheet1!$A$1:$D$65536,3,0),"")</f>
        <v>6.7000000000000004E-2</v>
      </c>
      <c r="G56" s="5" t="s">
        <v>397</v>
      </c>
      <c r="H56" s="10"/>
      <c r="I56" s="171"/>
      <c r="J56" s="56">
        <f>H56*K56+I56</f>
        <v>0</v>
      </c>
      <c r="K56" s="5">
        <v>1</v>
      </c>
      <c r="L56" s="11"/>
      <c r="M56" s="191"/>
      <c r="N56" s="147">
        <f t="shared" ref="N56" si="19">M56*J56</f>
        <v>0</v>
      </c>
    </row>
    <row r="57" spans="1:14" ht="30" customHeight="1">
      <c r="A57" s="26">
        <v>47</v>
      </c>
      <c r="B57" s="5" t="s">
        <v>575</v>
      </c>
      <c r="C57" s="194">
        <v>30003651</v>
      </c>
      <c r="D57" s="1" t="s">
        <v>867</v>
      </c>
      <c r="E57" s="5" t="s">
        <v>14</v>
      </c>
      <c r="F57" s="100" t="str">
        <f>IFERROR(VLOOKUP(C57,[1]Sheet1!$A$1:$D$65536,3,0),"")</f>
        <v/>
      </c>
      <c r="G57" s="5" t="s">
        <v>397</v>
      </c>
      <c r="H57" s="10"/>
      <c r="I57" s="171"/>
      <c r="J57" s="56">
        <f t="shared" ref="J57:J59" si="20">H57*K57+I57</f>
        <v>0</v>
      </c>
      <c r="K57" s="5">
        <v>1</v>
      </c>
      <c r="L57" s="11"/>
      <c r="M57" s="146"/>
      <c r="N57" s="147">
        <f>M57*J57</f>
        <v>0</v>
      </c>
    </row>
    <row r="58" spans="1:14" s="23" customFormat="1" ht="30" customHeight="1">
      <c r="A58" s="26">
        <v>48</v>
      </c>
      <c r="B58" s="5" t="s">
        <v>575</v>
      </c>
      <c r="C58" s="194">
        <v>30003235</v>
      </c>
      <c r="D58" s="155" t="s">
        <v>467</v>
      </c>
      <c r="E58" s="5" t="s">
        <v>14</v>
      </c>
      <c r="F58" s="100">
        <f>IFERROR(VLOOKUP(C58,[1]Sheet1!$A$1:$D$65536,3,0),"")</f>
        <v>0.88400000000000001</v>
      </c>
      <c r="G58" s="5" t="s">
        <v>397</v>
      </c>
      <c r="H58" s="10"/>
      <c r="I58" s="231"/>
      <c r="J58" s="57">
        <f>H58*K58+I58</f>
        <v>0</v>
      </c>
      <c r="K58" s="5">
        <v>1</v>
      </c>
      <c r="L58" s="11"/>
      <c r="M58" s="169"/>
      <c r="N58" s="147">
        <f>M58*J58</f>
        <v>0</v>
      </c>
    </row>
    <row r="59" spans="1:14" ht="30" customHeight="1">
      <c r="A59" s="26">
        <v>49</v>
      </c>
      <c r="B59" s="5" t="s">
        <v>575</v>
      </c>
      <c r="C59" s="194">
        <v>30003316</v>
      </c>
      <c r="D59" s="1" t="s">
        <v>465</v>
      </c>
      <c r="E59" s="5" t="s">
        <v>14</v>
      </c>
      <c r="F59" s="100">
        <f>IFERROR(VLOOKUP(C59,[1]Sheet1!$A$1:$D$65536,3,0),"")</f>
        <v>0.82799999999999996</v>
      </c>
      <c r="G59" s="5" t="s">
        <v>397</v>
      </c>
      <c r="H59" s="10"/>
      <c r="I59" s="171"/>
      <c r="J59" s="56">
        <f t="shared" si="20"/>
        <v>0</v>
      </c>
      <c r="K59" s="5">
        <v>1</v>
      </c>
      <c r="L59" s="11"/>
      <c r="M59" s="191"/>
      <c r="N59" s="147">
        <f>M59*J59</f>
        <v>0</v>
      </c>
    </row>
    <row r="60" spans="1:14" ht="30" customHeight="1">
      <c r="A60" s="26">
        <v>50</v>
      </c>
      <c r="B60" s="5" t="s">
        <v>575</v>
      </c>
      <c r="C60" s="194">
        <v>30003398</v>
      </c>
      <c r="D60" s="1" t="s">
        <v>791</v>
      </c>
      <c r="E60" s="5" t="s">
        <v>14</v>
      </c>
      <c r="F60" s="100">
        <f>IFERROR(VLOOKUP(C60,[1]Sheet1!$A$1:$D$65536,3,0),"")</f>
        <v>0.72099999999999997</v>
      </c>
      <c r="G60" s="5" t="s">
        <v>397</v>
      </c>
      <c r="H60" s="10"/>
      <c r="I60" s="171"/>
      <c r="J60" s="56">
        <f t="shared" ref="J60:J77" si="21">H60*K60+I60</f>
        <v>0</v>
      </c>
      <c r="K60" s="5">
        <v>1</v>
      </c>
      <c r="L60" s="11"/>
      <c r="M60" s="146"/>
      <c r="N60" s="147">
        <f>M60*J60</f>
        <v>0</v>
      </c>
    </row>
    <row r="61" spans="1:14" s="23" customFormat="1" ht="30" customHeight="1">
      <c r="A61" s="26">
        <v>51</v>
      </c>
      <c r="B61" s="5" t="s">
        <v>575</v>
      </c>
      <c r="C61" s="194">
        <v>30003361</v>
      </c>
      <c r="D61" s="155" t="s">
        <v>790</v>
      </c>
      <c r="E61" s="5" t="s">
        <v>14</v>
      </c>
      <c r="F61" s="100">
        <f>IFERROR(VLOOKUP(C61,[1]Sheet1!$A$1:$D$65536,3,0),"")</f>
        <v>1.9410000000000001</v>
      </c>
      <c r="G61" s="5" t="s">
        <v>397</v>
      </c>
      <c r="H61" s="10"/>
      <c r="I61" s="171"/>
      <c r="J61" s="57">
        <f t="shared" si="21"/>
        <v>0</v>
      </c>
      <c r="K61" s="5">
        <v>1</v>
      </c>
      <c r="L61" s="11"/>
      <c r="M61" s="169"/>
      <c r="N61" s="147">
        <f t="shared" ref="N61:N72" si="22">M61*J61</f>
        <v>0</v>
      </c>
    </row>
    <row r="62" spans="1:14" s="23" customFormat="1" ht="30" hidden="1" customHeight="1">
      <c r="A62" s="26">
        <v>52</v>
      </c>
      <c r="B62" s="5" t="s">
        <v>575</v>
      </c>
      <c r="C62" s="194">
        <v>30003630</v>
      </c>
      <c r="D62" s="155" t="s">
        <v>934</v>
      </c>
      <c r="E62" s="5" t="s">
        <v>14</v>
      </c>
      <c r="F62" s="100" t="str">
        <f>IFERROR(VLOOKUP(C62,[1]Sheet1!$A$1:$D$65536,3,0),"")</f>
        <v/>
      </c>
      <c r="G62" s="5" t="s">
        <v>397</v>
      </c>
      <c r="H62" s="10"/>
      <c r="I62" s="171"/>
      <c r="J62" s="57">
        <f t="shared" si="21"/>
        <v>0</v>
      </c>
      <c r="K62" s="5">
        <v>1</v>
      </c>
      <c r="L62" s="11"/>
      <c r="M62" s="169"/>
      <c r="N62" s="147">
        <f t="shared" si="22"/>
        <v>0</v>
      </c>
    </row>
    <row r="63" spans="1:14" s="23" customFormat="1" ht="30" customHeight="1">
      <c r="A63" s="26">
        <v>52</v>
      </c>
      <c r="B63" s="5" t="s">
        <v>575</v>
      </c>
      <c r="C63" s="194">
        <v>30003595</v>
      </c>
      <c r="D63" s="158" t="s">
        <v>907</v>
      </c>
      <c r="E63" s="5" t="s">
        <v>14</v>
      </c>
      <c r="F63" s="100" t="str">
        <f>IFERROR(VLOOKUP(C63,[1]Sheet1!$A$1:$D$65536,3,0),"")</f>
        <v/>
      </c>
      <c r="G63" s="5" t="s">
        <v>397</v>
      </c>
      <c r="H63" s="10"/>
      <c r="I63" s="171"/>
      <c r="J63" s="57">
        <f t="shared" si="21"/>
        <v>0</v>
      </c>
      <c r="K63" s="5">
        <v>1</v>
      </c>
      <c r="L63" s="11"/>
      <c r="M63" s="169"/>
      <c r="N63" s="147">
        <f t="shared" ref="N63:N69" si="23">M63*J63</f>
        <v>0</v>
      </c>
    </row>
    <row r="64" spans="1:14" s="23" customFormat="1" ht="30" hidden="1" customHeight="1">
      <c r="A64" s="26">
        <v>52</v>
      </c>
      <c r="B64" s="5" t="s">
        <v>575</v>
      </c>
      <c r="C64" s="194">
        <v>30003644</v>
      </c>
      <c r="D64" s="158" t="s">
        <v>908</v>
      </c>
      <c r="E64" s="5" t="s">
        <v>14</v>
      </c>
      <c r="F64" s="100" t="str">
        <f>IFERROR(VLOOKUP(C64,[1]Sheet1!$A$1:$D$65536,3,0),"")</f>
        <v/>
      </c>
      <c r="G64" s="5" t="s">
        <v>397</v>
      </c>
      <c r="H64" s="10"/>
      <c r="I64" s="171"/>
      <c r="J64" s="57">
        <f t="shared" si="21"/>
        <v>0</v>
      </c>
      <c r="K64" s="5">
        <v>1</v>
      </c>
      <c r="L64" s="11"/>
      <c r="M64" s="169"/>
      <c r="N64" s="147">
        <f t="shared" si="23"/>
        <v>0</v>
      </c>
    </row>
    <row r="65" spans="1:14" s="23" customFormat="1" ht="30" hidden="1" customHeight="1">
      <c r="A65" s="26">
        <v>52</v>
      </c>
      <c r="B65" s="5" t="s">
        <v>575</v>
      </c>
      <c r="C65" s="194">
        <v>30003644</v>
      </c>
      <c r="D65" s="158" t="s">
        <v>922</v>
      </c>
      <c r="E65" s="5" t="s">
        <v>14</v>
      </c>
      <c r="F65" s="100" t="str">
        <f>IFERROR(VLOOKUP(C65,[1]Sheet1!$A$1:$D$65536,3,0),"")</f>
        <v/>
      </c>
      <c r="G65" s="5" t="s">
        <v>397</v>
      </c>
      <c r="H65" s="10"/>
      <c r="I65" s="171"/>
      <c r="J65" s="57">
        <f t="shared" ref="J65:J67" si="24">H65*K65+I65</f>
        <v>0</v>
      </c>
      <c r="K65" s="5">
        <v>1</v>
      </c>
      <c r="L65" s="11"/>
      <c r="M65" s="169"/>
      <c r="N65" s="147">
        <f t="shared" ref="N65:N67" si="25">M65*J65</f>
        <v>0</v>
      </c>
    </row>
    <row r="66" spans="1:14" s="23" customFormat="1" ht="30" hidden="1" customHeight="1">
      <c r="A66" s="26">
        <v>52</v>
      </c>
      <c r="B66" s="5" t="s">
        <v>575</v>
      </c>
      <c r="C66" s="194">
        <v>30003644</v>
      </c>
      <c r="D66" s="158" t="s">
        <v>869</v>
      </c>
      <c r="E66" s="5" t="s">
        <v>14</v>
      </c>
      <c r="F66" s="100" t="str">
        <f>IFERROR(VLOOKUP(C66,[1]Sheet1!$A$1:$D$65536,3,0),"")</f>
        <v/>
      </c>
      <c r="G66" s="5" t="s">
        <v>397</v>
      </c>
      <c r="H66" s="10"/>
      <c r="I66" s="171"/>
      <c r="J66" s="57">
        <f t="shared" si="24"/>
        <v>0</v>
      </c>
      <c r="K66" s="5">
        <v>1</v>
      </c>
      <c r="L66" s="11"/>
      <c r="M66" s="169"/>
      <c r="N66" s="147">
        <f t="shared" si="25"/>
        <v>0</v>
      </c>
    </row>
    <row r="67" spans="1:14" s="23" customFormat="1" ht="30" customHeight="1">
      <c r="A67" s="26">
        <v>52</v>
      </c>
      <c r="B67" s="5" t="s">
        <v>575</v>
      </c>
      <c r="C67" s="194">
        <v>30003636</v>
      </c>
      <c r="D67" s="158" t="s">
        <v>855</v>
      </c>
      <c r="E67" s="5" t="s">
        <v>14</v>
      </c>
      <c r="F67" s="100" t="str">
        <f>IFERROR(VLOOKUP(C67,[1]Sheet1!$A$1:$D$65536,3,0),"")</f>
        <v/>
      </c>
      <c r="G67" s="5" t="s">
        <v>397</v>
      </c>
      <c r="H67" s="10"/>
      <c r="I67" s="171"/>
      <c r="J67" s="57">
        <f t="shared" si="24"/>
        <v>0</v>
      </c>
      <c r="K67" s="5">
        <v>1</v>
      </c>
      <c r="L67" s="11"/>
      <c r="M67" s="169"/>
      <c r="N67" s="147">
        <f t="shared" si="25"/>
        <v>0</v>
      </c>
    </row>
    <row r="68" spans="1:14" s="23" customFormat="1" ht="30" customHeight="1">
      <c r="A68" s="26">
        <v>52</v>
      </c>
      <c r="B68" s="5" t="s">
        <v>575</v>
      </c>
      <c r="C68" s="194">
        <v>30003644</v>
      </c>
      <c r="D68" s="158" t="s">
        <v>946</v>
      </c>
      <c r="E68" s="5" t="s">
        <v>14</v>
      </c>
      <c r="F68" s="100" t="str">
        <f>IFERROR(VLOOKUP(C68,[1]Sheet1!$A$1:$D$65536,3,0),"")</f>
        <v/>
      </c>
      <c r="G68" s="5" t="s">
        <v>397</v>
      </c>
      <c r="H68" s="10"/>
      <c r="I68" s="171"/>
      <c r="J68" s="57">
        <f t="shared" si="21"/>
        <v>0</v>
      </c>
      <c r="K68" s="5">
        <v>1</v>
      </c>
      <c r="L68" s="11"/>
      <c r="M68" s="169"/>
      <c r="N68" s="147">
        <f t="shared" si="23"/>
        <v>0</v>
      </c>
    </row>
    <row r="69" spans="1:14" s="23" customFormat="1" ht="30" customHeight="1">
      <c r="A69" s="26">
        <v>52</v>
      </c>
      <c r="B69" s="5" t="s">
        <v>575</v>
      </c>
      <c r="C69" s="194">
        <v>30003636</v>
      </c>
      <c r="D69" s="158" t="s">
        <v>962</v>
      </c>
      <c r="E69" s="5" t="s">
        <v>14</v>
      </c>
      <c r="F69" s="100" t="str">
        <f>IFERROR(VLOOKUP(C69,[1]Sheet1!$A$1:$D$65536,3,0),"")</f>
        <v/>
      </c>
      <c r="G69" s="5" t="s">
        <v>397</v>
      </c>
      <c r="H69" s="10"/>
      <c r="I69" s="171"/>
      <c r="J69" s="57">
        <f t="shared" ref="J69" si="26">H69*K69+I69</f>
        <v>0</v>
      </c>
      <c r="K69" s="5">
        <v>1</v>
      </c>
      <c r="L69" s="11"/>
      <c r="M69" s="169"/>
      <c r="N69" s="147">
        <f t="shared" si="23"/>
        <v>0</v>
      </c>
    </row>
    <row r="70" spans="1:14" s="23" customFormat="1" ht="30" customHeight="1">
      <c r="A70" s="26">
        <v>52</v>
      </c>
      <c r="B70" s="5" t="s">
        <v>575</v>
      </c>
      <c r="C70" s="194"/>
      <c r="D70" s="158" t="s">
        <v>1027</v>
      </c>
      <c r="E70" s="5" t="s">
        <v>14</v>
      </c>
      <c r="F70" s="100" t="str">
        <f>IFERROR(VLOOKUP(C70,[1]Sheet1!$A$1:$D$65536,3,0),"")</f>
        <v/>
      </c>
      <c r="G70" s="5" t="s">
        <v>397</v>
      </c>
      <c r="H70" s="10"/>
      <c r="I70" s="171"/>
      <c r="J70" s="57">
        <f t="shared" si="21"/>
        <v>0</v>
      </c>
      <c r="K70" s="5">
        <v>1</v>
      </c>
      <c r="L70" s="11"/>
      <c r="M70" s="169"/>
      <c r="N70" s="147">
        <f t="shared" si="22"/>
        <v>0</v>
      </c>
    </row>
    <row r="71" spans="1:14" s="23" customFormat="1" ht="30" customHeight="1">
      <c r="A71" s="26">
        <v>52</v>
      </c>
      <c r="B71" s="5" t="s">
        <v>969</v>
      </c>
      <c r="C71" s="194">
        <v>30003636</v>
      </c>
      <c r="D71" s="158" t="s">
        <v>970</v>
      </c>
      <c r="E71" s="5" t="s">
        <v>14</v>
      </c>
      <c r="F71" s="100" t="str">
        <f>IFERROR(VLOOKUP(C71,[1]Sheet1!$A$1:$D$65536,3,0),"")</f>
        <v/>
      </c>
      <c r="G71" s="5" t="s">
        <v>397</v>
      </c>
      <c r="H71" s="10"/>
      <c r="I71" s="171"/>
      <c r="J71" s="57">
        <f t="shared" ref="J71" si="27">H71*K71+I71</f>
        <v>0</v>
      </c>
      <c r="K71" s="5">
        <v>1</v>
      </c>
      <c r="L71" s="11"/>
      <c r="M71" s="169"/>
      <c r="N71" s="147">
        <f t="shared" ref="N71" si="28">M71*J71</f>
        <v>0</v>
      </c>
    </row>
    <row r="72" spans="1:14" s="23" customFormat="1" ht="30" customHeight="1">
      <c r="A72" s="26">
        <v>52</v>
      </c>
      <c r="B72" s="5" t="s">
        <v>969</v>
      </c>
      <c r="C72" s="194">
        <v>30003636</v>
      </c>
      <c r="D72" s="217" t="s">
        <v>997</v>
      </c>
      <c r="E72" s="5" t="s">
        <v>14</v>
      </c>
      <c r="F72" s="100" t="str">
        <f>IFERROR(VLOOKUP(C72,[1]Sheet1!$A$1:$D$65536,3,0),"")</f>
        <v/>
      </c>
      <c r="G72" s="5" t="s">
        <v>971</v>
      </c>
      <c r="H72" s="10"/>
      <c r="I72" s="171"/>
      <c r="J72" s="57">
        <f t="shared" si="21"/>
        <v>0</v>
      </c>
      <c r="K72" s="5">
        <v>1</v>
      </c>
      <c r="L72" s="11"/>
      <c r="M72" s="169"/>
      <c r="N72" s="147">
        <f t="shared" si="22"/>
        <v>0</v>
      </c>
    </row>
    <row r="73" spans="1:14" ht="30" customHeight="1">
      <c r="A73" s="26">
        <v>54</v>
      </c>
      <c r="B73" s="18" t="s">
        <v>1028</v>
      </c>
      <c r="C73" s="81"/>
      <c r="D73" s="1"/>
      <c r="E73" s="5" t="s">
        <v>14</v>
      </c>
      <c r="F73" s="20" t="str">
        <f>IFERROR(VLOOKUP(C73,[1]Sheet1!$A$1:$D$65536,3,0),"")</f>
        <v/>
      </c>
      <c r="G73" s="5" t="s">
        <v>1031</v>
      </c>
      <c r="H73" s="10"/>
      <c r="I73" s="10"/>
      <c r="J73" s="56">
        <f t="shared" si="21"/>
        <v>0</v>
      </c>
      <c r="K73" s="5">
        <v>10</v>
      </c>
      <c r="L73" s="230" t="s">
        <v>801</v>
      </c>
      <c r="M73" s="233"/>
      <c r="N73" s="236">
        <f t="shared" ref="N73:N79" si="29">M73*J73</f>
        <v>0</v>
      </c>
    </row>
    <row r="74" spans="1:14" ht="30" customHeight="1">
      <c r="A74" s="26">
        <v>54</v>
      </c>
      <c r="B74" s="18" t="s">
        <v>1028</v>
      </c>
      <c r="C74" s="81"/>
      <c r="D74" s="1" t="s">
        <v>1029</v>
      </c>
      <c r="E74" s="5" t="s">
        <v>14</v>
      </c>
      <c r="F74" s="20" t="str">
        <f>IFERROR(VLOOKUP(C74,[1]Sheet1!$A$1:$D$65536,3,0),"")</f>
        <v/>
      </c>
      <c r="G74" s="5" t="s">
        <v>1031</v>
      </c>
      <c r="H74" s="10"/>
      <c r="I74" s="10"/>
      <c r="J74" s="56">
        <f t="shared" ref="J74" si="30">H74*K74+I74</f>
        <v>0</v>
      </c>
      <c r="K74" s="5">
        <v>10</v>
      </c>
      <c r="L74" s="230"/>
      <c r="M74" s="233"/>
      <c r="N74" s="236">
        <f t="shared" si="29"/>
        <v>0</v>
      </c>
    </row>
    <row r="75" spans="1:14" ht="30" customHeight="1">
      <c r="A75" s="26">
        <v>54</v>
      </c>
      <c r="B75" s="18" t="s">
        <v>1028</v>
      </c>
      <c r="C75" s="81"/>
      <c r="D75" s="1" t="s">
        <v>1030</v>
      </c>
      <c r="E75" s="5" t="s">
        <v>14</v>
      </c>
      <c r="F75" s="20" t="str">
        <f>IFERROR(VLOOKUP(C75,[1]Sheet1!$A$1:$D$65536,3,0),"")</f>
        <v/>
      </c>
      <c r="G75" s="5" t="s">
        <v>1031</v>
      </c>
      <c r="H75" s="10"/>
      <c r="I75" s="10"/>
      <c r="J75" s="56">
        <f t="shared" si="21"/>
        <v>0</v>
      </c>
      <c r="K75" s="5">
        <v>10</v>
      </c>
      <c r="L75" s="230"/>
      <c r="M75" s="233"/>
      <c r="N75" s="236">
        <f t="shared" si="29"/>
        <v>0</v>
      </c>
    </row>
    <row r="76" spans="1:14" ht="30" customHeight="1">
      <c r="A76" s="26">
        <v>54</v>
      </c>
      <c r="B76" s="18" t="s">
        <v>1028</v>
      </c>
      <c r="C76" s="81"/>
      <c r="D76" s="1"/>
      <c r="E76" s="5" t="s">
        <v>14</v>
      </c>
      <c r="F76" s="20" t="str">
        <f>IFERROR(VLOOKUP(C76,[1]Sheet1!$A$1:$D$65536,3,0),"")</f>
        <v/>
      </c>
      <c r="G76" s="5" t="s">
        <v>1031</v>
      </c>
      <c r="H76" s="10"/>
      <c r="I76" s="10"/>
      <c r="J76" s="56">
        <f t="shared" ref="J76" si="31">H76*K76+I76</f>
        <v>0</v>
      </c>
      <c r="K76" s="5">
        <v>10</v>
      </c>
      <c r="L76" s="230"/>
      <c r="M76" s="233"/>
      <c r="N76" s="236">
        <f t="shared" si="29"/>
        <v>0</v>
      </c>
    </row>
    <row r="77" spans="1:14" ht="30" customHeight="1">
      <c r="A77" s="26">
        <v>54</v>
      </c>
      <c r="B77" s="18" t="s">
        <v>574</v>
      </c>
      <c r="C77" s="81">
        <v>30003083</v>
      </c>
      <c r="D77" s="1" t="s">
        <v>793</v>
      </c>
      <c r="E77" s="5" t="s">
        <v>14</v>
      </c>
      <c r="F77" s="20">
        <f>IFERROR(VLOOKUP(C77,[1]Sheet1!$A$1:$D$65536,3,0),"")</f>
        <v>0.20300000000000001</v>
      </c>
      <c r="G77" s="5" t="s">
        <v>747</v>
      </c>
      <c r="H77" s="10"/>
      <c r="I77" s="10"/>
      <c r="J77" s="56">
        <f t="shared" si="21"/>
        <v>0</v>
      </c>
      <c r="K77" s="5">
        <v>10</v>
      </c>
      <c r="L77" s="230" t="s">
        <v>801</v>
      </c>
      <c r="M77" s="233"/>
      <c r="N77" s="236">
        <f t="shared" si="29"/>
        <v>0</v>
      </c>
    </row>
    <row r="78" spans="1:14" ht="30" customHeight="1">
      <c r="A78" s="26">
        <v>54</v>
      </c>
      <c r="B78" s="18" t="s">
        <v>941</v>
      </c>
      <c r="C78" s="81">
        <v>30003083</v>
      </c>
      <c r="D78" s="1" t="s">
        <v>942</v>
      </c>
      <c r="E78" s="5" t="s">
        <v>14</v>
      </c>
      <c r="F78" s="20">
        <f>IFERROR(VLOOKUP(C78,[1]Sheet1!$A$1:$D$65536,3,0),"")</f>
        <v>0.20300000000000001</v>
      </c>
      <c r="G78" s="5"/>
      <c r="H78" s="10"/>
      <c r="I78" s="10"/>
      <c r="J78" s="56">
        <f t="shared" si="2"/>
        <v>0</v>
      </c>
      <c r="K78" s="5">
        <v>50</v>
      </c>
      <c r="L78" s="230" t="s">
        <v>801</v>
      </c>
      <c r="M78" s="233"/>
      <c r="N78" s="236">
        <f t="shared" si="29"/>
        <v>0</v>
      </c>
    </row>
    <row r="79" spans="1:14" ht="30" customHeight="1">
      <c r="A79" s="26">
        <v>55</v>
      </c>
      <c r="B79" s="5" t="s">
        <v>701</v>
      </c>
      <c r="C79" s="238">
        <v>30003233</v>
      </c>
      <c r="D79" s="1" t="s">
        <v>810</v>
      </c>
      <c r="E79" s="5" t="s">
        <v>14</v>
      </c>
      <c r="F79" s="20">
        <f>IFERROR(VLOOKUP(C79,[1]Sheet1!$A$1:$D$65536,3,0)/K79,"")</f>
        <v>1.4733333333333334</v>
      </c>
      <c r="G79" s="5" t="s">
        <v>798</v>
      </c>
      <c r="H79" s="153"/>
      <c r="I79" s="153"/>
      <c r="J79" s="56">
        <f t="shared" ref="J79:J84" si="32">H79*K79+I79</f>
        <v>0</v>
      </c>
      <c r="K79" s="5">
        <v>6</v>
      </c>
      <c r="L79" s="230" t="s">
        <v>800</v>
      </c>
      <c r="M79" s="146"/>
      <c r="N79" s="147">
        <f t="shared" si="29"/>
        <v>0</v>
      </c>
    </row>
    <row r="80" spans="1:14" ht="30" customHeight="1">
      <c r="A80" s="26">
        <v>56</v>
      </c>
      <c r="B80" s="5" t="s">
        <v>701</v>
      </c>
      <c r="C80" s="238">
        <v>30003397</v>
      </c>
      <c r="D80" s="1" t="s">
        <v>809</v>
      </c>
      <c r="E80" s="5" t="s">
        <v>14</v>
      </c>
      <c r="F80" s="20">
        <f>IFERROR(VLOOKUP(C80,[1]Sheet1!$A$1:$D$65536,3,0)/K80,"")</f>
        <v>1.8033333333333335</v>
      </c>
      <c r="G80" s="5" t="s">
        <v>798</v>
      </c>
      <c r="H80" s="153"/>
      <c r="I80" s="153"/>
      <c r="J80" s="56">
        <f t="shared" si="32"/>
        <v>0</v>
      </c>
      <c r="K80" s="5">
        <v>6</v>
      </c>
      <c r="L80" s="230" t="s">
        <v>803</v>
      </c>
      <c r="M80" s="146"/>
      <c r="N80" s="147">
        <f t="shared" ref="N80" si="33">M80*J80</f>
        <v>0</v>
      </c>
    </row>
    <row r="81" spans="1:14" ht="30" customHeight="1">
      <c r="A81" s="26">
        <v>55</v>
      </c>
      <c r="B81" s="5" t="s">
        <v>701</v>
      </c>
      <c r="C81" s="238">
        <v>30003233</v>
      </c>
      <c r="D81" s="1" t="s">
        <v>995</v>
      </c>
      <c r="E81" s="5" t="s">
        <v>14</v>
      </c>
      <c r="F81" s="20">
        <f>IFERROR(VLOOKUP(C81,[1]Sheet1!$A$1:$D$65536,3,0)/K81,"")</f>
        <v>8.84</v>
      </c>
      <c r="G81" s="5" t="s">
        <v>798</v>
      </c>
      <c r="H81" s="153"/>
      <c r="I81" s="153"/>
      <c r="J81" s="56">
        <f t="shared" si="32"/>
        <v>0</v>
      </c>
      <c r="K81" s="5">
        <v>1</v>
      </c>
      <c r="L81" s="230" t="s">
        <v>800</v>
      </c>
      <c r="M81" s="146"/>
      <c r="N81" s="147">
        <f>M81*J81</f>
        <v>0</v>
      </c>
    </row>
    <row r="82" spans="1:14" ht="30" customHeight="1">
      <c r="A82" s="26">
        <v>56</v>
      </c>
      <c r="B82" s="5" t="s">
        <v>701</v>
      </c>
      <c r="C82" s="238">
        <v>30003397</v>
      </c>
      <c r="D82" s="1" t="s">
        <v>996</v>
      </c>
      <c r="E82" s="5" t="s">
        <v>14</v>
      </c>
      <c r="F82" s="20">
        <f>IFERROR(VLOOKUP(C82,[1]Sheet1!$A$1:$D$65536,3,0)/K82,"")</f>
        <v>10.82</v>
      </c>
      <c r="G82" s="5" t="s">
        <v>798</v>
      </c>
      <c r="H82" s="153"/>
      <c r="I82" s="153"/>
      <c r="J82" s="56">
        <f t="shared" si="32"/>
        <v>0</v>
      </c>
      <c r="K82" s="5">
        <v>1</v>
      </c>
      <c r="L82" s="230" t="s">
        <v>803</v>
      </c>
      <c r="M82" s="146"/>
      <c r="N82" s="147">
        <f t="shared" ref="N82" si="34">M82*J82</f>
        <v>0</v>
      </c>
    </row>
    <row r="83" spans="1:14" ht="30" customHeight="1">
      <c r="A83" s="26">
        <v>55</v>
      </c>
      <c r="B83" s="5" t="s">
        <v>701</v>
      </c>
      <c r="C83" s="238">
        <v>30003233</v>
      </c>
      <c r="D83" s="2" t="s">
        <v>1016</v>
      </c>
      <c r="E83" s="5" t="s">
        <v>14</v>
      </c>
      <c r="F83" s="20">
        <f>IFERROR(VLOOKUP(C83,[1]Sheet1!$A$1:$D$65536,3,0)/K83,"")</f>
        <v>8.84</v>
      </c>
      <c r="G83" s="5" t="s">
        <v>1018</v>
      </c>
      <c r="H83" s="153"/>
      <c r="I83" s="153"/>
      <c r="J83" s="56">
        <f t="shared" si="32"/>
        <v>0</v>
      </c>
      <c r="K83" s="5">
        <v>1</v>
      </c>
      <c r="L83" s="230" t="s">
        <v>1019</v>
      </c>
      <c r="M83" s="146"/>
      <c r="N83" s="147">
        <f>M83*J83</f>
        <v>0</v>
      </c>
    </row>
    <row r="84" spans="1:14" ht="30" customHeight="1">
      <c r="A84" s="26">
        <v>56</v>
      </c>
      <c r="B84" s="5" t="s">
        <v>701</v>
      </c>
      <c r="C84" s="238">
        <v>30003397</v>
      </c>
      <c r="D84" s="2" t="s">
        <v>1017</v>
      </c>
      <c r="E84" s="5" t="s">
        <v>14</v>
      </c>
      <c r="F84" s="20">
        <f>IFERROR(VLOOKUP(C84,[1]Sheet1!$A$1:$D$65536,3,0)/K84,"")</f>
        <v>10.82</v>
      </c>
      <c r="G84" s="5" t="s">
        <v>798</v>
      </c>
      <c r="H84" s="153"/>
      <c r="I84" s="153"/>
      <c r="J84" s="56">
        <f t="shared" si="32"/>
        <v>0</v>
      </c>
      <c r="K84" s="5">
        <v>1</v>
      </c>
      <c r="L84" s="230" t="s">
        <v>1020</v>
      </c>
      <c r="M84" s="146"/>
      <c r="N84" s="147">
        <f t="shared" ref="N84" si="35">M84*J84</f>
        <v>0</v>
      </c>
    </row>
    <row r="85" spans="1:14" ht="30" customHeight="1">
      <c r="A85" s="26">
        <v>57</v>
      </c>
      <c r="B85" s="18" t="s">
        <v>573</v>
      </c>
      <c r="C85" s="238">
        <v>30003227</v>
      </c>
      <c r="D85" s="1" t="s">
        <v>838</v>
      </c>
      <c r="E85" s="5" t="s">
        <v>14</v>
      </c>
      <c r="F85" s="20">
        <f>IFERROR(VLOOKUP(C85,[1]Sheet1!$A$1:$D$65536,3,0)/K85,"")</f>
        <v>2.6025</v>
      </c>
      <c r="G85" s="5" t="s">
        <v>408</v>
      </c>
      <c r="H85" s="10"/>
      <c r="I85" s="10"/>
      <c r="J85" s="56">
        <f t="shared" ref="J85" si="36">H85*K85+I85</f>
        <v>0</v>
      </c>
      <c r="K85" s="5">
        <v>4</v>
      </c>
      <c r="L85" s="230" t="s">
        <v>839</v>
      </c>
      <c r="M85" s="146"/>
      <c r="N85" s="147">
        <f>M85*J85</f>
        <v>0</v>
      </c>
    </row>
    <row r="86" spans="1:14" ht="30" hidden="1" customHeight="1">
      <c r="A86" s="26">
        <v>58</v>
      </c>
      <c r="B86" s="18" t="s">
        <v>572</v>
      </c>
      <c r="C86" s="238">
        <v>30003228</v>
      </c>
      <c r="D86" s="1" t="s">
        <v>888</v>
      </c>
      <c r="E86" s="5" t="s">
        <v>14</v>
      </c>
      <c r="F86" s="20">
        <v>8.5</v>
      </c>
      <c r="G86" s="5" t="s">
        <v>798</v>
      </c>
      <c r="H86" s="10"/>
      <c r="I86" s="10"/>
      <c r="J86" s="56">
        <f t="shared" ref="J86:J88" si="37">H86*K86+I86</f>
        <v>0</v>
      </c>
      <c r="K86" s="5">
        <v>4</v>
      </c>
      <c r="L86" s="230" t="s">
        <v>839</v>
      </c>
      <c r="M86" s="146"/>
      <c r="N86" s="147">
        <f>M86*J86</f>
        <v>0</v>
      </c>
    </row>
    <row r="87" spans="1:14" ht="30" customHeight="1">
      <c r="A87" s="26">
        <v>59</v>
      </c>
      <c r="B87" s="18" t="s">
        <v>572</v>
      </c>
      <c r="C87" s="238">
        <v>30003441</v>
      </c>
      <c r="D87" s="1" t="s">
        <v>889</v>
      </c>
      <c r="E87" s="5" t="s">
        <v>11</v>
      </c>
      <c r="F87" s="20"/>
      <c r="G87" s="5" t="s">
        <v>798</v>
      </c>
      <c r="H87" s="10"/>
      <c r="I87" s="10"/>
      <c r="J87" s="56">
        <f t="shared" si="37"/>
        <v>0</v>
      </c>
      <c r="K87" s="5">
        <v>4</v>
      </c>
      <c r="L87" s="230" t="s">
        <v>804</v>
      </c>
      <c r="M87" s="146"/>
      <c r="N87" s="147">
        <f>M87*J87</f>
        <v>0</v>
      </c>
    </row>
    <row r="88" spans="1:14" ht="30" hidden="1" customHeight="1">
      <c r="A88" s="26">
        <v>59</v>
      </c>
      <c r="B88" s="18" t="s">
        <v>572</v>
      </c>
      <c r="C88" s="238">
        <v>30003441</v>
      </c>
      <c r="D88" s="2" t="s">
        <v>952</v>
      </c>
      <c r="E88" s="5" t="s">
        <v>10</v>
      </c>
      <c r="F88" s="20"/>
      <c r="G88" s="5" t="s">
        <v>408</v>
      </c>
      <c r="H88" s="10"/>
      <c r="I88" s="10"/>
      <c r="J88" s="56">
        <f t="shared" si="37"/>
        <v>0</v>
      </c>
      <c r="K88" s="5">
        <v>8</v>
      </c>
      <c r="L88" s="230" t="s">
        <v>949</v>
      </c>
      <c r="M88" s="146"/>
      <c r="N88" s="147">
        <f>M88*J88</f>
        <v>0</v>
      </c>
    </row>
    <row r="89" spans="1:14" ht="30" hidden="1" customHeight="1">
      <c r="A89" s="26">
        <v>59</v>
      </c>
      <c r="B89" s="18" t="s">
        <v>572</v>
      </c>
      <c r="C89" s="238">
        <v>30003441</v>
      </c>
      <c r="D89" s="2" t="s">
        <v>1000</v>
      </c>
      <c r="E89" s="5" t="s">
        <v>10</v>
      </c>
      <c r="F89" s="20"/>
      <c r="G89" s="5" t="s">
        <v>408</v>
      </c>
      <c r="H89" s="10"/>
      <c r="I89" s="10"/>
      <c r="J89" s="56">
        <f t="shared" si="2"/>
        <v>0</v>
      </c>
      <c r="K89" s="5">
        <v>8</v>
      </c>
      <c r="L89" s="230" t="s">
        <v>949</v>
      </c>
      <c r="M89" s="146"/>
      <c r="N89" s="147">
        <f>M89*J89</f>
        <v>0</v>
      </c>
    </row>
    <row r="90" spans="1:14" ht="30" customHeight="1">
      <c r="A90" s="26">
        <v>60</v>
      </c>
      <c r="B90" s="18" t="s">
        <v>578</v>
      </c>
      <c r="C90" s="238">
        <v>30003551</v>
      </c>
      <c r="D90" s="1" t="s">
        <v>999</v>
      </c>
      <c r="E90" s="5" t="s">
        <v>14</v>
      </c>
      <c r="F90" s="239">
        <f>IFERROR(VLOOKUP(C90,[1]Sheet1!$A$1:$D$65536,3,0),"")</f>
        <v>1.44</v>
      </c>
      <c r="G90" s="5" t="s">
        <v>408</v>
      </c>
      <c r="H90" s="10"/>
      <c r="I90" s="10"/>
      <c r="J90" s="56">
        <f t="shared" ref="J90" si="38">H90*K90+I90</f>
        <v>0</v>
      </c>
      <c r="K90" s="5">
        <v>40</v>
      </c>
      <c r="L90" s="230" t="s">
        <v>1015</v>
      </c>
      <c r="M90" s="191"/>
      <c r="N90" s="147">
        <f t="shared" ref="N90" si="39">M90*J90</f>
        <v>0</v>
      </c>
    </row>
    <row r="91" spans="1:14" ht="30" customHeight="1">
      <c r="A91" s="26">
        <v>60</v>
      </c>
      <c r="B91" s="18" t="s">
        <v>578</v>
      </c>
      <c r="C91" s="238">
        <v>30003551</v>
      </c>
      <c r="D91" s="1" t="s">
        <v>608</v>
      </c>
      <c r="E91" s="5" t="s">
        <v>14</v>
      </c>
      <c r="F91" s="239">
        <f>IFERROR(VLOOKUP(C91,[1]Sheet1!$A$1:$D$65536,3,0),"")</f>
        <v>1.44</v>
      </c>
      <c r="G91" s="5" t="s">
        <v>408</v>
      </c>
      <c r="H91" s="10"/>
      <c r="I91" s="10"/>
      <c r="J91" s="56">
        <f t="shared" si="2"/>
        <v>0</v>
      </c>
      <c r="K91" s="5">
        <v>6</v>
      </c>
      <c r="L91" s="230" t="s">
        <v>807</v>
      </c>
      <c r="M91" s="191"/>
      <c r="N91" s="147">
        <f t="shared" ref="N91" si="40">M91*J91</f>
        <v>0</v>
      </c>
    </row>
    <row r="92" spans="1:14" ht="30" customHeight="1">
      <c r="A92" s="26">
        <v>61</v>
      </c>
      <c r="B92" s="18" t="s">
        <v>578</v>
      </c>
      <c r="C92" s="238">
        <v>30003553</v>
      </c>
      <c r="D92" s="1" t="s">
        <v>609</v>
      </c>
      <c r="E92" s="5" t="s">
        <v>14</v>
      </c>
      <c r="F92" s="239">
        <f>IFERROR(VLOOKUP(C92,[1]Sheet1!$A$1:$D$65536,3,0),"")</f>
        <v>1.44</v>
      </c>
      <c r="G92" s="5" t="s">
        <v>747</v>
      </c>
      <c r="H92" s="153"/>
      <c r="I92" s="153"/>
      <c r="J92" s="56">
        <f t="shared" ref="J92:J101" si="41">H92*K92+I92</f>
        <v>0</v>
      </c>
      <c r="K92" s="5">
        <v>6</v>
      </c>
      <c r="L92" s="230" t="s">
        <v>807</v>
      </c>
      <c r="M92" s="191"/>
      <c r="N92" s="147">
        <f>M92*J92</f>
        <v>0</v>
      </c>
    </row>
    <row r="93" spans="1:14" s="23" customFormat="1" ht="30" customHeight="1">
      <c r="A93" s="26">
        <v>62</v>
      </c>
      <c r="B93" s="18" t="s">
        <v>578</v>
      </c>
      <c r="C93" s="194">
        <v>30003552</v>
      </c>
      <c r="D93" s="155" t="s">
        <v>610</v>
      </c>
      <c r="E93" s="5" t="s">
        <v>14</v>
      </c>
      <c r="F93" s="239">
        <f>IFERROR(VLOOKUP(C93,[1]Sheet1!$A$1:$D$65536,3,0),"")</f>
        <v>1.44</v>
      </c>
      <c r="G93" s="4" t="s">
        <v>798</v>
      </c>
      <c r="H93" s="153"/>
      <c r="I93" s="200"/>
      <c r="J93" s="57">
        <f t="shared" si="41"/>
        <v>0</v>
      </c>
      <c r="K93" s="5">
        <v>6</v>
      </c>
      <c r="L93" s="230" t="s">
        <v>807</v>
      </c>
      <c r="M93" s="209"/>
      <c r="N93" s="147">
        <f t="shared" ref="N93:N108" si="42">M93*J93</f>
        <v>0</v>
      </c>
    </row>
    <row r="94" spans="1:14" ht="30" hidden="1" customHeight="1">
      <c r="A94" s="26">
        <v>63</v>
      </c>
      <c r="B94" s="18" t="s">
        <v>578</v>
      </c>
      <c r="C94" s="238">
        <v>30003614</v>
      </c>
      <c r="D94" s="199" t="s">
        <v>741</v>
      </c>
      <c r="E94" s="5" t="s">
        <v>14</v>
      </c>
      <c r="F94" s="20">
        <f>IFERROR(VLOOKUP(C94,[1]Sheet1!$A$1:$D$65536,3,0)/K94,"")/50</f>
        <v>5.58</v>
      </c>
      <c r="G94" s="5" t="s">
        <v>798</v>
      </c>
      <c r="H94" s="153"/>
      <c r="I94" s="153"/>
      <c r="J94" s="56">
        <f t="shared" si="41"/>
        <v>0</v>
      </c>
      <c r="K94" s="5">
        <v>4</v>
      </c>
      <c r="L94" s="230" t="s">
        <v>808</v>
      </c>
      <c r="M94" s="146"/>
      <c r="N94" s="147">
        <f t="shared" ref="N94:N107" si="43">M94*J94</f>
        <v>0</v>
      </c>
    </row>
    <row r="95" spans="1:14" ht="30" hidden="1" customHeight="1">
      <c r="A95" s="26">
        <v>64</v>
      </c>
      <c r="B95" s="18" t="s">
        <v>578</v>
      </c>
      <c r="C95" s="238">
        <v>30003613</v>
      </c>
      <c r="D95" s="199" t="s">
        <v>740</v>
      </c>
      <c r="E95" s="5" t="s">
        <v>14</v>
      </c>
      <c r="F95" s="20">
        <f>IFERROR(VLOOKUP(C95,[1]Sheet1!$A$1:$D$65536,3,0)/K95,"")/50</f>
        <v>5.58</v>
      </c>
      <c r="G95" s="5" t="s">
        <v>408</v>
      </c>
      <c r="H95" s="10"/>
      <c r="I95" s="10"/>
      <c r="J95" s="56">
        <f t="shared" si="41"/>
        <v>0</v>
      </c>
      <c r="K95" s="5">
        <v>4</v>
      </c>
      <c r="L95" s="230" t="s">
        <v>808</v>
      </c>
      <c r="M95" s="146"/>
      <c r="N95" s="147">
        <f t="shared" si="43"/>
        <v>0</v>
      </c>
    </row>
    <row r="96" spans="1:14" ht="30" hidden="1" customHeight="1">
      <c r="A96" s="26">
        <v>65</v>
      </c>
      <c r="B96" s="18" t="s">
        <v>578</v>
      </c>
      <c r="C96" s="238">
        <v>30003616</v>
      </c>
      <c r="D96" s="199" t="s">
        <v>742</v>
      </c>
      <c r="E96" s="5" t="s">
        <v>14</v>
      </c>
      <c r="F96" s="239">
        <f>IFERROR(VLOOKUP(C96,[1]Sheet1!$A$1:$D$65536,3,0),"")/250</f>
        <v>4.4640000000000004</v>
      </c>
      <c r="G96" s="5" t="s">
        <v>747</v>
      </c>
      <c r="H96" s="153"/>
      <c r="I96" s="153"/>
      <c r="J96" s="56">
        <f t="shared" si="41"/>
        <v>0</v>
      </c>
      <c r="K96" s="5">
        <v>16</v>
      </c>
      <c r="L96" s="230" t="s">
        <v>808</v>
      </c>
      <c r="M96" s="146"/>
      <c r="N96" s="147">
        <f t="shared" si="43"/>
        <v>0</v>
      </c>
    </row>
    <row r="97" spans="1:14" ht="30" hidden="1" customHeight="1">
      <c r="A97" s="26">
        <v>63</v>
      </c>
      <c r="B97" s="18" t="s">
        <v>578</v>
      </c>
      <c r="C97" s="238">
        <v>30003643</v>
      </c>
      <c r="D97" s="158" t="s">
        <v>848</v>
      </c>
      <c r="E97" s="5" t="s">
        <v>14</v>
      </c>
      <c r="F97" s="20" t="e">
        <f>IFERROR(VLOOKUP(C97,[1]Sheet1!$A$1:$D$65536,3,0)/K97,"")/50</f>
        <v>#VALUE!</v>
      </c>
      <c r="G97" s="5" t="s">
        <v>798</v>
      </c>
      <c r="H97" s="153"/>
      <c r="I97" s="153"/>
      <c r="J97" s="56">
        <f t="shared" ref="J97:J99" si="44">H97*K97+I97</f>
        <v>0</v>
      </c>
      <c r="K97" s="5">
        <v>4</v>
      </c>
      <c r="L97" s="230" t="s">
        <v>851</v>
      </c>
      <c r="M97" s="146"/>
      <c r="N97" s="147">
        <f t="shared" ref="N97:N99" si="45">M97*J97</f>
        <v>0</v>
      </c>
    </row>
    <row r="98" spans="1:14" ht="30" hidden="1" customHeight="1">
      <c r="A98" s="26">
        <v>64</v>
      </c>
      <c r="B98" s="18" t="s">
        <v>578</v>
      </c>
      <c r="C98" s="238">
        <v>30003642</v>
      </c>
      <c r="D98" s="158" t="s">
        <v>849</v>
      </c>
      <c r="E98" s="5" t="s">
        <v>14</v>
      </c>
      <c r="F98" s="20" t="e">
        <f>IFERROR(VLOOKUP(C98,[1]Sheet1!$A$1:$D$65536,3,0)/K98,"")/50</f>
        <v>#VALUE!</v>
      </c>
      <c r="G98" s="5" t="s">
        <v>408</v>
      </c>
      <c r="H98" s="10"/>
      <c r="I98" s="10"/>
      <c r="J98" s="56">
        <f t="shared" si="44"/>
        <v>0</v>
      </c>
      <c r="K98" s="5">
        <v>2</v>
      </c>
      <c r="L98" s="230" t="s">
        <v>851</v>
      </c>
      <c r="M98" s="146"/>
      <c r="N98" s="147">
        <f t="shared" si="45"/>
        <v>0</v>
      </c>
    </row>
    <row r="99" spans="1:14" ht="30" customHeight="1">
      <c r="A99" s="26">
        <v>65</v>
      </c>
      <c r="B99" s="18" t="s">
        <v>578</v>
      </c>
      <c r="C99" s="238">
        <v>30003645</v>
      </c>
      <c r="D99" s="158" t="s">
        <v>850</v>
      </c>
      <c r="E99" s="5" t="s">
        <v>14</v>
      </c>
      <c r="F99" s="239" t="e">
        <f>IFERROR(VLOOKUP(C99,[1]Sheet1!$A$1:$D$65536,3,0),"")/250</f>
        <v>#VALUE!</v>
      </c>
      <c r="G99" s="5" t="s">
        <v>747</v>
      </c>
      <c r="H99" s="153"/>
      <c r="I99" s="153"/>
      <c r="J99" s="56">
        <f t="shared" si="44"/>
        <v>0</v>
      </c>
      <c r="K99" s="5">
        <v>10</v>
      </c>
      <c r="L99" s="230" t="s">
        <v>851</v>
      </c>
      <c r="M99" s="146"/>
      <c r="N99" s="147">
        <f t="shared" si="45"/>
        <v>0</v>
      </c>
    </row>
    <row r="100" spans="1:14" ht="30" customHeight="1">
      <c r="A100" s="26">
        <v>66</v>
      </c>
      <c r="B100" s="18" t="s">
        <v>578</v>
      </c>
      <c r="C100" s="238">
        <v>30003216</v>
      </c>
      <c r="D100" s="1" t="s">
        <v>407</v>
      </c>
      <c r="E100" s="5" t="s">
        <v>14</v>
      </c>
      <c r="F100" s="239">
        <f>IFERROR(VLOOKUP(C100,[1]Sheet1!$A$1:$D$65536,3,0),"")</f>
        <v>0.88400000000000001</v>
      </c>
      <c r="G100" s="5" t="s">
        <v>15</v>
      </c>
      <c r="H100" s="10"/>
      <c r="I100" s="10"/>
      <c r="J100" s="56">
        <f t="shared" si="41"/>
        <v>0</v>
      </c>
      <c r="K100" s="5">
        <v>60</v>
      </c>
      <c r="L100" s="230" t="s">
        <v>800</v>
      </c>
      <c r="M100" s="191"/>
      <c r="N100" s="147">
        <f t="shared" si="43"/>
        <v>0</v>
      </c>
    </row>
    <row r="101" spans="1:14" s="23" customFormat="1" ht="30" customHeight="1">
      <c r="A101" s="26">
        <v>67</v>
      </c>
      <c r="B101" s="18" t="s">
        <v>578</v>
      </c>
      <c r="C101" s="194">
        <v>30003426</v>
      </c>
      <c r="D101" s="155" t="s">
        <v>406</v>
      </c>
      <c r="E101" s="5" t="s">
        <v>14</v>
      </c>
      <c r="F101" s="239">
        <f>IFERROR(VLOOKUP(C101,[1]Sheet1!$A$1:$D$65536,3,0),"")</f>
        <v>0.67</v>
      </c>
      <c r="G101" s="4" t="s">
        <v>747</v>
      </c>
      <c r="H101" s="10"/>
      <c r="I101" s="10"/>
      <c r="J101" s="57">
        <f t="shared" si="41"/>
        <v>0</v>
      </c>
      <c r="K101" s="5">
        <v>4</v>
      </c>
      <c r="L101" s="230" t="s">
        <v>805</v>
      </c>
      <c r="M101" s="169"/>
      <c r="N101" s="147">
        <f t="shared" si="43"/>
        <v>0</v>
      </c>
    </row>
    <row r="102" spans="1:14" ht="30" customHeight="1">
      <c r="A102" s="26">
        <v>68</v>
      </c>
      <c r="B102" s="18" t="s">
        <v>578</v>
      </c>
      <c r="C102" s="238">
        <v>30003424</v>
      </c>
      <c r="D102" s="1" t="s">
        <v>404</v>
      </c>
      <c r="E102" s="5" t="s">
        <v>14</v>
      </c>
      <c r="F102" s="239">
        <f>IFERROR(VLOOKUP(C102,[1]Sheet1!$A$1:$D$65536,3,0),"")</f>
        <v>0.67</v>
      </c>
      <c r="G102" s="5" t="s">
        <v>798</v>
      </c>
      <c r="H102" s="10"/>
      <c r="I102" s="10"/>
      <c r="J102" s="56">
        <f t="shared" ref="J102" si="46">H102*K102+I102</f>
        <v>0</v>
      </c>
      <c r="K102" s="5">
        <v>4</v>
      </c>
      <c r="L102" s="230" t="s">
        <v>805</v>
      </c>
      <c r="M102" s="146"/>
      <c r="N102" s="147">
        <f t="shared" si="43"/>
        <v>0</v>
      </c>
    </row>
    <row r="103" spans="1:14" s="23" customFormat="1" ht="30" customHeight="1">
      <c r="A103" s="26">
        <v>69</v>
      </c>
      <c r="B103" s="18" t="s">
        <v>578</v>
      </c>
      <c r="C103" s="194">
        <v>30003425</v>
      </c>
      <c r="D103" s="155" t="s">
        <v>405</v>
      </c>
      <c r="E103" s="5" t="s">
        <v>14</v>
      </c>
      <c r="F103" s="239">
        <f>IFERROR(VLOOKUP(C103,[1]Sheet1!$A$1:$D$65536,3,0),"")</f>
        <v>1.34</v>
      </c>
      <c r="G103" s="4" t="s">
        <v>408</v>
      </c>
      <c r="H103" s="10"/>
      <c r="I103" s="211"/>
      <c r="J103" s="57">
        <f>H103*K103+I103</f>
        <v>0</v>
      </c>
      <c r="K103" s="5">
        <v>8</v>
      </c>
      <c r="L103" s="230" t="s">
        <v>805</v>
      </c>
      <c r="M103" s="169"/>
      <c r="N103" s="147">
        <f t="shared" ref="N103:N105" si="47">M103*J103</f>
        <v>0</v>
      </c>
    </row>
    <row r="104" spans="1:14" s="23" customFormat="1" ht="30" customHeight="1">
      <c r="A104" s="26">
        <v>69</v>
      </c>
      <c r="B104" s="18" t="s">
        <v>578</v>
      </c>
      <c r="C104" s="194">
        <v>30003425</v>
      </c>
      <c r="D104" s="158" t="s">
        <v>882</v>
      </c>
      <c r="E104" s="5" t="s">
        <v>14</v>
      </c>
      <c r="F104" s="239">
        <f>IFERROR(VLOOKUP(C104,[1]Sheet1!$A$1:$D$65536,3,0),"")</f>
        <v>1.34</v>
      </c>
      <c r="G104" s="4" t="s">
        <v>408</v>
      </c>
      <c r="H104" s="10"/>
      <c r="I104" s="211"/>
      <c r="J104" s="57">
        <f t="shared" ref="J104:J109" si="48">H104*K104+I104</f>
        <v>0</v>
      </c>
      <c r="K104" s="5">
        <v>2</v>
      </c>
      <c r="L104" s="230" t="s">
        <v>805</v>
      </c>
      <c r="M104" s="169"/>
      <c r="N104" s="147">
        <f t="shared" si="47"/>
        <v>0</v>
      </c>
    </row>
    <row r="105" spans="1:14" s="23" customFormat="1" ht="30" customHeight="1">
      <c r="A105" s="26">
        <v>69</v>
      </c>
      <c r="B105" s="18" t="s">
        <v>578</v>
      </c>
      <c r="C105" s="194">
        <v>30003425</v>
      </c>
      <c r="D105" s="158" t="s">
        <v>883</v>
      </c>
      <c r="E105" s="5" t="s">
        <v>14</v>
      </c>
      <c r="F105" s="239">
        <f>IFERROR(VLOOKUP(C105,[1]Sheet1!$A$1:$D$65536,3,0),"")</f>
        <v>1.34</v>
      </c>
      <c r="G105" s="4" t="s">
        <v>408</v>
      </c>
      <c r="H105" s="10"/>
      <c r="I105" s="211"/>
      <c r="J105" s="57">
        <f t="shared" si="48"/>
        <v>0</v>
      </c>
      <c r="K105" s="5">
        <v>1</v>
      </c>
      <c r="L105" s="230" t="s">
        <v>805</v>
      </c>
      <c r="M105" s="169"/>
      <c r="N105" s="147">
        <f t="shared" si="47"/>
        <v>0</v>
      </c>
    </row>
    <row r="106" spans="1:14" s="23" customFormat="1" ht="30" hidden="1" customHeight="1">
      <c r="A106" s="26">
        <v>69</v>
      </c>
      <c r="B106" s="18" t="s">
        <v>578</v>
      </c>
      <c r="C106" s="194">
        <v>30003425</v>
      </c>
      <c r="D106" s="158" t="s">
        <v>895</v>
      </c>
      <c r="E106" s="5" t="s">
        <v>14</v>
      </c>
      <c r="F106" s="239">
        <f>IFERROR(VLOOKUP(C106,[1]Sheet1!$A$1:$D$65536,3,0),"")</f>
        <v>1.34</v>
      </c>
      <c r="G106" s="4" t="s">
        <v>798</v>
      </c>
      <c r="H106" s="10"/>
      <c r="I106" s="211"/>
      <c r="J106" s="57">
        <f t="shared" si="48"/>
        <v>0</v>
      </c>
      <c r="K106" s="5">
        <v>4</v>
      </c>
      <c r="L106" s="230" t="s">
        <v>805</v>
      </c>
      <c r="M106" s="169"/>
      <c r="N106" s="147">
        <f t="shared" si="43"/>
        <v>0</v>
      </c>
    </row>
    <row r="107" spans="1:14" s="23" customFormat="1" ht="30" hidden="1" customHeight="1">
      <c r="A107" s="26">
        <v>69</v>
      </c>
      <c r="B107" s="18" t="s">
        <v>578</v>
      </c>
      <c r="C107" s="194">
        <v>30003425</v>
      </c>
      <c r="D107" s="158" t="s">
        <v>896</v>
      </c>
      <c r="E107" s="5" t="s">
        <v>14</v>
      </c>
      <c r="F107" s="239">
        <f>IFERROR(VLOOKUP(C107,[1]Sheet1!$A$1:$D$65536,3,0),"")</f>
        <v>1.34</v>
      </c>
      <c r="G107" s="4" t="s">
        <v>408</v>
      </c>
      <c r="H107" s="10"/>
      <c r="I107" s="211"/>
      <c r="J107" s="57">
        <f t="shared" ref="J107" si="49">H107*K107+I107</f>
        <v>0</v>
      </c>
      <c r="K107" s="5">
        <v>4</v>
      </c>
      <c r="L107" s="230" t="s">
        <v>805</v>
      </c>
      <c r="M107" s="169"/>
      <c r="N107" s="147">
        <f t="shared" si="43"/>
        <v>0</v>
      </c>
    </row>
    <row r="108" spans="1:14" s="23" customFormat="1" ht="30" hidden="1" customHeight="1">
      <c r="A108" s="26">
        <v>69</v>
      </c>
      <c r="B108" s="18" t="s">
        <v>578</v>
      </c>
      <c r="C108" s="194">
        <v>30003425</v>
      </c>
      <c r="D108" s="158" t="s">
        <v>896</v>
      </c>
      <c r="E108" s="5" t="s">
        <v>14</v>
      </c>
      <c r="F108" s="239">
        <f>IFERROR(VLOOKUP(C108,[1]Sheet1!$A$1:$D$65536,3,0),"")</f>
        <v>1.34</v>
      </c>
      <c r="G108" s="4" t="s">
        <v>408</v>
      </c>
      <c r="H108" s="10"/>
      <c r="I108" s="211"/>
      <c r="J108" s="57">
        <f t="shared" si="48"/>
        <v>0</v>
      </c>
      <c r="K108" s="5">
        <v>4</v>
      </c>
      <c r="L108" s="230" t="s">
        <v>805</v>
      </c>
      <c r="M108" s="169"/>
      <c r="N108" s="147">
        <f t="shared" si="42"/>
        <v>0</v>
      </c>
    </row>
    <row r="109" spans="1:14" ht="30" customHeight="1">
      <c r="A109" s="26">
        <v>70</v>
      </c>
      <c r="B109" s="18" t="s">
        <v>795</v>
      </c>
      <c r="C109" s="238">
        <v>30003422</v>
      </c>
      <c r="D109" s="1" t="s">
        <v>402</v>
      </c>
      <c r="E109" s="5" t="s">
        <v>14</v>
      </c>
      <c r="F109" s="239">
        <f>IFERROR(VLOOKUP(C109,[1]Sheet1!$A$1:$D$65536,3,0),"")</f>
        <v>0.67</v>
      </c>
      <c r="G109" s="5" t="s">
        <v>798</v>
      </c>
      <c r="H109" s="10"/>
      <c r="I109" s="10"/>
      <c r="J109" s="57">
        <f t="shared" si="48"/>
        <v>0</v>
      </c>
      <c r="K109" s="5">
        <v>30</v>
      </c>
      <c r="L109" s="230" t="s">
        <v>805</v>
      </c>
      <c r="M109" s="146"/>
      <c r="N109" s="147">
        <f>M109*J109</f>
        <v>0</v>
      </c>
    </row>
    <row r="110" spans="1:14" ht="30" customHeight="1">
      <c r="A110" s="26">
        <v>71</v>
      </c>
      <c r="B110" s="18" t="s">
        <v>795</v>
      </c>
      <c r="C110" s="238">
        <v>30003453</v>
      </c>
      <c r="D110" s="1" t="s">
        <v>403</v>
      </c>
      <c r="E110" s="5" t="s">
        <v>14</v>
      </c>
      <c r="F110" s="239">
        <f>IFERROR(VLOOKUP(C110,[1]Sheet1!$A$1:$D$65536,3,0),"")</f>
        <v>0.67</v>
      </c>
      <c r="G110" s="5" t="s">
        <v>408</v>
      </c>
      <c r="H110" s="10"/>
      <c r="I110" s="10"/>
      <c r="J110" s="56">
        <f t="shared" ref="J110:J128" si="50">H110*K110+I110</f>
        <v>0</v>
      </c>
      <c r="K110" s="5">
        <v>30</v>
      </c>
      <c r="L110" s="230" t="s">
        <v>805</v>
      </c>
      <c r="M110" s="146"/>
      <c r="N110" s="147">
        <f>M110*J110</f>
        <v>0</v>
      </c>
    </row>
    <row r="111" spans="1:14" s="23" customFormat="1" ht="30" customHeight="1">
      <c r="A111" s="26">
        <v>72</v>
      </c>
      <c r="B111" s="18" t="s">
        <v>795</v>
      </c>
      <c r="C111" s="194">
        <v>30003099</v>
      </c>
      <c r="D111" s="155" t="s">
        <v>797</v>
      </c>
      <c r="E111" s="5" t="s">
        <v>14</v>
      </c>
      <c r="F111" s="20">
        <f>IFERROR(VLOOKUP(C111,[1]Sheet1!$A$1:$D$65536,3,0)/K111,"")</f>
        <v>3.2825000000000002</v>
      </c>
      <c r="G111" s="4" t="s">
        <v>798</v>
      </c>
      <c r="H111" s="10"/>
      <c r="I111" s="10"/>
      <c r="J111" s="57">
        <f t="shared" si="50"/>
        <v>0</v>
      </c>
      <c r="K111" s="5">
        <v>4</v>
      </c>
      <c r="L111" s="230" t="s">
        <v>806</v>
      </c>
      <c r="M111" s="169"/>
      <c r="N111" s="147">
        <f>M111*J111</f>
        <v>0</v>
      </c>
    </row>
    <row r="112" spans="1:14" s="23" customFormat="1" ht="30" customHeight="1">
      <c r="A112" s="26">
        <v>73</v>
      </c>
      <c r="B112" s="18" t="s">
        <v>795</v>
      </c>
      <c r="C112" s="194">
        <v>30003098</v>
      </c>
      <c r="D112" s="155" t="s">
        <v>794</v>
      </c>
      <c r="E112" s="5" t="s">
        <v>14</v>
      </c>
      <c r="F112" s="20">
        <f>IFERROR(VLOOKUP(C112,[1]Sheet1!$A$1:$D$65536,3,0)/K112,"")</f>
        <v>3.2825000000000002</v>
      </c>
      <c r="G112" s="4" t="s">
        <v>408</v>
      </c>
      <c r="H112" s="10"/>
      <c r="I112" s="200"/>
      <c r="J112" s="57">
        <f t="shared" si="50"/>
        <v>0</v>
      </c>
      <c r="K112" s="5">
        <v>4</v>
      </c>
      <c r="L112" s="230" t="s">
        <v>806</v>
      </c>
      <c r="M112" s="169"/>
      <c r="N112" s="147">
        <f>M112*J112</f>
        <v>0</v>
      </c>
    </row>
    <row r="113" spans="1:14" s="23" customFormat="1" ht="30" hidden="1" customHeight="1">
      <c r="A113" s="26">
        <v>74</v>
      </c>
      <c r="B113" s="18" t="s">
        <v>795</v>
      </c>
      <c r="C113" s="194">
        <v>30003359</v>
      </c>
      <c r="D113" s="155" t="s">
        <v>401</v>
      </c>
      <c r="E113" s="5" t="s">
        <v>14</v>
      </c>
      <c r="F113" s="20">
        <f>IFERROR(VLOOKUP(C113,[1]Sheet1!$A$1:$D$65536,3,0)/K113,"")</f>
        <v>9.5775000000000006</v>
      </c>
      <c r="G113" s="4" t="s">
        <v>408</v>
      </c>
      <c r="H113" s="153"/>
      <c r="I113" s="200"/>
      <c r="J113" s="57">
        <f t="shared" si="50"/>
        <v>0</v>
      </c>
      <c r="K113" s="5">
        <v>4</v>
      </c>
      <c r="L113" s="230" t="s">
        <v>804</v>
      </c>
      <c r="M113" s="209"/>
      <c r="N113" s="147">
        <f>M113*J113</f>
        <v>0</v>
      </c>
    </row>
    <row r="114" spans="1:14" ht="30" customHeight="1">
      <c r="A114" s="26">
        <v>75</v>
      </c>
      <c r="B114" s="18" t="s">
        <v>795</v>
      </c>
      <c r="C114" s="238">
        <v>30003396</v>
      </c>
      <c r="D114" s="1" t="s">
        <v>399</v>
      </c>
      <c r="E114" s="5" t="s">
        <v>14</v>
      </c>
      <c r="F114" s="20">
        <f>IFERROR(VLOOKUP(C114,[1]Sheet1!$A$1:$D$65536,3,0)/K114,"")</f>
        <v>1.80325</v>
      </c>
      <c r="G114" s="5" t="s">
        <v>408</v>
      </c>
      <c r="H114" s="10"/>
      <c r="I114" s="10"/>
      <c r="J114" s="56">
        <f t="shared" si="50"/>
        <v>0</v>
      </c>
      <c r="K114" s="5">
        <v>4</v>
      </c>
      <c r="L114" s="230" t="s">
        <v>803</v>
      </c>
      <c r="M114" s="191"/>
      <c r="N114" s="147">
        <f t="shared" ref="N114" si="51">M114*J114</f>
        <v>0</v>
      </c>
    </row>
    <row r="115" spans="1:14" ht="30" customHeight="1">
      <c r="A115" s="26">
        <v>76</v>
      </c>
      <c r="B115" s="18" t="s">
        <v>795</v>
      </c>
      <c r="C115" s="238">
        <v>30003234</v>
      </c>
      <c r="D115" s="1" t="s">
        <v>400</v>
      </c>
      <c r="E115" s="5" t="s">
        <v>14</v>
      </c>
      <c r="F115" s="20">
        <f>IFERROR(VLOOKUP(C115,[1]Sheet1!$A$1:$D$65536,3,0)/K115,"")</f>
        <v>1.4732499999999999</v>
      </c>
      <c r="G115" s="5" t="s">
        <v>408</v>
      </c>
      <c r="H115" s="153"/>
      <c r="I115" s="153"/>
      <c r="J115" s="56">
        <f t="shared" ref="J115:J117" si="52">H115*K115+I115</f>
        <v>0</v>
      </c>
      <c r="K115" s="5">
        <v>4</v>
      </c>
      <c r="L115" s="230" t="s">
        <v>800</v>
      </c>
      <c r="M115" s="191"/>
      <c r="N115" s="147">
        <f t="shared" ref="N115:N123" si="53">M115*J115</f>
        <v>0</v>
      </c>
    </row>
    <row r="116" spans="1:14" ht="30" customHeight="1">
      <c r="A116" s="26">
        <v>77</v>
      </c>
      <c r="B116" s="18" t="s">
        <v>795</v>
      </c>
      <c r="C116" s="238">
        <v>30003315</v>
      </c>
      <c r="D116" s="1" t="s">
        <v>796</v>
      </c>
      <c r="E116" s="5" t="s">
        <v>14</v>
      </c>
      <c r="F116" s="20">
        <f>IFERROR(VLOOKUP(C116,[1]Sheet1!$A$1:$D$65536,3,0)/K116,"")</f>
        <v>1.38</v>
      </c>
      <c r="G116" s="5" t="s">
        <v>798</v>
      </c>
      <c r="H116" s="10"/>
      <c r="I116" s="10"/>
      <c r="J116" s="56">
        <f t="shared" si="52"/>
        <v>0</v>
      </c>
      <c r="K116" s="5">
        <v>6</v>
      </c>
      <c r="L116" s="230" t="s">
        <v>802</v>
      </c>
      <c r="M116" s="191"/>
      <c r="N116" s="147">
        <f t="shared" si="53"/>
        <v>0</v>
      </c>
    </row>
    <row r="117" spans="1:14" ht="30" customHeight="1">
      <c r="A117" s="26">
        <v>78</v>
      </c>
      <c r="B117" s="18" t="s">
        <v>795</v>
      </c>
      <c r="C117" s="238">
        <v>30003314</v>
      </c>
      <c r="D117" s="1" t="s">
        <v>398</v>
      </c>
      <c r="E117" s="5" t="s">
        <v>14</v>
      </c>
      <c r="F117" s="20">
        <f>IFERROR(VLOOKUP(C117,[1]Sheet1!$A$1:$D$65536,3,0)/K117,"")</f>
        <v>1.38</v>
      </c>
      <c r="G117" s="5" t="s">
        <v>408</v>
      </c>
      <c r="H117" s="10"/>
      <c r="I117" s="10"/>
      <c r="J117" s="56">
        <f t="shared" si="52"/>
        <v>0</v>
      </c>
      <c r="K117" s="5">
        <v>4</v>
      </c>
      <c r="L117" s="230" t="s">
        <v>802</v>
      </c>
      <c r="M117" s="146"/>
      <c r="N117" s="147">
        <f t="shared" si="53"/>
        <v>0</v>
      </c>
    </row>
    <row r="118" spans="1:14" ht="30" hidden="1" customHeight="1">
      <c r="A118" s="26">
        <v>79</v>
      </c>
      <c r="B118" s="18" t="s">
        <v>795</v>
      </c>
      <c r="C118" s="238">
        <v>30003627</v>
      </c>
      <c r="D118" s="51" t="s">
        <v>935</v>
      </c>
      <c r="E118" s="47" t="s">
        <v>14</v>
      </c>
      <c r="F118" s="185" t="str">
        <f>IFERROR(VLOOKUP(C118,[1]Sheet1!$A$1:$D$65536,3,0)/K118,"")</f>
        <v/>
      </c>
      <c r="G118" s="5" t="s">
        <v>408</v>
      </c>
      <c r="H118" s="153"/>
      <c r="I118" s="153"/>
      <c r="J118" s="56">
        <f t="shared" si="50"/>
        <v>0</v>
      </c>
      <c r="K118" s="5">
        <v>4</v>
      </c>
      <c r="L118" s="230" t="s">
        <v>951</v>
      </c>
      <c r="M118" s="191"/>
      <c r="N118" s="147">
        <f t="shared" si="53"/>
        <v>0</v>
      </c>
    </row>
    <row r="119" spans="1:14" ht="30" hidden="1" customHeight="1">
      <c r="A119" s="26">
        <v>80</v>
      </c>
      <c r="B119" s="18" t="s">
        <v>795</v>
      </c>
      <c r="C119" s="238">
        <v>30003628</v>
      </c>
      <c r="D119" s="51" t="s">
        <v>936</v>
      </c>
      <c r="E119" s="47" t="s">
        <v>14</v>
      </c>
      <c r="F119" s="185" t="str">
        <f>IFERROR(VLOOKUP(C119,[1]Sheet1!$A$1:$D$65536,3,0)/K119,"")</f>
        <v/>
      </c>
      <c r="G119" s="5" t="s">
        <v>798</v>
      </c>
      <c r="H119" s="10"/>
      <c r="I119" s="10"/>
      <c r="J119" s="56">
        <f t="shared" ref="J119:J122" si="54">H119*K119+I119</f>
        <v>0</v>
      </c>
      <c r="K119" s="5">
        <v>4</v>
      </c>
      <c r="L119" s="230" t="s">
        <v>951</v>
      </c>
      <c r="M119" s="191"/>
      <c r="N119" s="147">
        <f t="shared" ref="N119:N122" si="55">M119*J119</f>
        <v>0</v>
      </c>
    </row>
    <row r="120" spans="1:14" ht="30" hidden="1" customHeight="1">
      <c r="A120" s="26">
        <v>81</v>
      </c>
      <c r="B120" s="18" t="s">
        <v>795</v>
      </c>
      <c r="C120" s="238">
        <v>30003629</v>
      </c>
      <c r="D120" s="51" t="s">
        <v>937</v>
      </c>
      <c r="E120" s="47" t="s">
        <v>14</v>
      </c>
      <c r="F120" s="185" t="str">
        <f>IFERROR(VLOOKUP(C120,[1]Sheet1!$A$1:$D$65536,3,0)/K120,"")</f>
        <v/>
      </c>
      <c r="G120" s="5" t="s">
        <v>747</v>
      </c>
      <c r="H120" s="10"/>
      <c r="I120" s="10"/>
      <c r="J120" s="56">
        <f t="shared" si="54"/>
        <v>0</v>
      </c>
      <c r="K120" s="5">
        <v>4</v>
      </c>
      <c r="L120" s="230" t="s">
        <v>951</v>
      </c>
      <c r="M120" s="146"/>
      <c r="N120" s="147">
        <f t="shared" si="55"/>
        <v>0</v>
      </c>
    </row>
    <row r="121" spans="1:14" ht="30" customHeight="1">
      <c r="A121" s="26">
        <v>80</v>
      </c>
      <c r="B121" s="18" t="s">
        <v>795</v>
      </c>
      <c r="C121" s="255">
        <v>30003592</v>
      </c>
      <c r="D121" s="51" t="s">
        <v>898</v>
      </c>
      <c r="E121" s="5" t="s">
        <v>14</v>
      </c>
      <c r="F121" s="20" t="str">
        <f>IFERROR(VLOOKUP(C121,[1]Sheet1!$A$1:$D$65536,3,0)/K121,"")</f>
        <v/>
      </c>
      <c r="G121" s="5" t="s">
        <v>408</v>
      </c>
      <c r="H121" s="10"/>
      <c r="I121" s="10"/>
      <c r="J121" s="56">
        <f t="shared" si="54"/>
        <v>0</v>
      </c>
      <c r="K121" s="5">
        <v>4</v>
      </c>
      <c r="L121" s="230" t="s">
        <v>897</v>
      </c>
      <c r="M121" s="191"/>
      <c r="N121" s="147">
        <f t="shared" si="55"/>
        <v>0</v>
      </c>
    </row>
    <row r="122" spans="1:14" ht="30" customHeight="1">
      <c r="A122" s="26">
        <v>81</v>
      </c>
      <c r="B122" s="18" t="s">
        <v>795</v>
      </c>
      <c r="C122" s="255">
        <v>30003593</v>
      </c>
      <c r="D122" s="51" t="s">
        <v>899</v>
      </c>
      <c r="E122" s="5" t="s">
        <v>14</v>
      </c>
      <c r="F122" s="20" t="str">
        <f>IFERROR(VLOOKUP(C122,[1]Sheet1!$A$1:$D$65536,3,0)/K122,"")</f>
        <v/>
      </c>
      <c r="G122" s="5" t="s">
        <v>798</v>
      </c>
      <c r="H122" s="10"/>
      <c r="I122" s="10"/>
      <c r="J122" s="56">
        <f t="shared" si="54"/>
        <v>0</v>
      </c>
      <c r="K122" s="5">
        <v>4</v>
      </c>
      <c r="L122" s="230" t="s">
        <v>897</v>
      </c>
      <c r="M122" s="146"/>
      <c r="N122" s="147">
        <f t="shared" si="55"/>
        <v>0</v>
      </c>
    </row>
    <row r="123" spans="1:14" ht="30" hidden="1" customHeight="1">
      <c r="A123" s="26">
        <v>80</v>
      </c>
      <c r="B123" s="18" t="s">
        <v>795</v>
      </c>
      <c r="C123" s="238">
        <v>30003628</v>
      </c>
      <c r="D123" s="51" t="s">
        <v>919</v>
      </c>
      <c r="E123" s="5" t="s">
        <v>14</v>
      </c>
      <c r="F123" s="20" t="str">
        <f>IFERROR(VLOOKUP(C123,[1]Sheet1!$A$1:$D$65536,3,0)/K123,"")</f>
        <v/>
      </c>
      <c r="G123" s="5" t="s">
        <v>408</v>
      </c>
      <c r="H123" s="10"/>
      <c r="I123" s="10"/>
      <c r="J123" s="56">
        <f t="shared" si="50"/>
        <v>0</v>
      </c>
      <c r="K123" s="5">
        <v>4</v>
      </c>
      <c r="L123" s="230" t="s">
        <v>950</v>
      </c>
      <c r="M123" s="191"/>
      <c r="N123" s="147">
        <f t="shared" si="53"/>
        <v>0</v>
      </c>
    </row>
    <row r="124" spans="1:14" ht="30" hidden="1" customHeight="1">
      <c r="A124" s="26">
        <v>81</v>
      </c>
      <c r="B124" s="18" t="s">
        <v>795</v>
      </c>
      <c r="C124" s="238">
        <v>30003629</v>
      </c>
      <c r="D124" s="51" t="s">
        <v>920</v>
      </c>
      <c r="E124" s="5" t="s">
        <v>14</v>
      </c>
      <c r="F124" s="20" t="str">
        <f>IFERROR(VLOOKUP(C124,[1]Sheet1!$A$1:$D$65536,3,0)/K124,"")</f>
        <v/>
      </c>
      <c r="G124" s="5" t="s">
        <v>798</v>
      </c>
      <c r="H124" s="10"/>
      <c r="I124" s="10"/>
      <c r="J124" s="56">
        <f t="shared" si="50"/>
        <v>0</v>
      </c>
      <c r="K124" s="5">
        <v>4</v>
      </c>
      <c r="L124" s="230" t="s">
        <v>950</v>
      </c>
      <c r="M124" s="146"/>
      <c r="N124" s="147">
        <f t="shared" ref="N124:N127" si="56">M124*J124</f>
        <v>0</v>
      </c>
    </row>
    <row r="125" spans="1:14" ht="30" hidden="1" customHeight="1">
      <c r="A125" s="26">
        <v>81</v>
      </c>
      <c r="B125" s="18" t="s">
        <v>795</v>
      </c>
      <c r="C125" s="238">
        <v>30003629</v>
      </c>
      <c r="D125" s="51" t="s">
        <v>921</v>
      </c>
      <c r="E125" s="5" t="s">
        <v>14</v>
      </c>
      <c r="F125" s="20" t="str">
        <f>IFERROR(VLOOKUP(C125,[1]Sheet1!$A$1:$D$65536,3,0)/K125,"")</f>
        <v/>
      </c>
      <c r="G125" s="5" t="s">
        <v>747</v>
      </c>
      <c r="H125" s="10"/>
      <c r="I125" s="10"/>
      <c r="J125" s="56">
        <f t="shared" si="50"/>
        <v>0</v>
      </c>
      <c r="K125" s="5">
        <v>3</v>
      </c>
      <c r="L125" s="230" t="s">
        <v>950</v>
      </c>
      <c r="M125" s="146"/>
      <c r="N125" s="147">
        <f t="shared" si="56"/>
        <v>0</v>
      </c>
    </row>
    <row r="126" spans="1:14" ht="30" customHeight="1">
      <c r="A126" s="26">
        <v>81</v>
      </c>
      <c r="B126" s="18" t="s">
        <v>963</v>
      </c>
      <c r="C126" s="238">
        <v>30003629</v>
      </c>
      <c r="D126" s="51" t="s">
        <v>964</v>
      </c>
      <c r="E126" s="5" t="s">
        <v>965</v>
      </c>
      <c r="F126" s="20" t="str">
        <f>IFERROR(VLOOKUP(C126,[1]Sheet1!$A$1:$D$65536,3,0)/K126,"")</f>
        <v/>
      </c>
      <c r="G126" s="5" t="s">
        <v>967</v>
      </c>
      <c r="H126" s="10"/>
      <c r="I126" s="10"/>
      <c r="J126" s="56">
        <f t="shared" si="50"/>
        <v>0</v>
      </c>
      <c r="K126" s="5">
        <v>4</v>
      </c>
      <c r="L126" s="230" t="s">
        <v>1014</v>
      </c>
      <c r="M126" s="146"/>
      <c r="N126" s="147">
        <f t="shared" si="56"/>
        <v>0</v>
      </c>
    </row>
    <row r="127" spans="1:14" ht="30" customHeight="1">
      <c r="A127" s="26">
        <v>81</v>
      </c>
      <c r="B127" s="18" t="s">
        <v>963</v>
      </c>
      <c r="C127" s="238">
        <v>30003629</v>
      </c>
      <c r="D127" s="51" t="s">
        <v>966</v>
      </c>
      <c r="E127" s="5" t="s">
        <v>14</v>
      </c>
      <c r="F127" s="20" t="str">
        <f>IFERROR(VLOOKUP(C127,[1]Sheet1!$A$1:$D$65536,3,0)/K127,"")</f>
        <v/>
      </c>
      <c r="G127" s="5" t="s">
        <v>968</v>
      </c>
      <c r="H127" s="10"/>
      <c r="I127" s="10"/>
      <c r="J127" s="56">
        <f t="shared" si="50"/>
        <v>0</v>
      </c>
      <c r="K127" s="5">
        <v>4</v>
      </c>
      <c r="L127" s="230" t="s">
        <v>1014</v>
      </c>
      <c r="M127" s="146"/>
      <c r="N127" s="147">
        <f t="shared" si="56"/>
        <v>0</v>
      </c>
    </row>
    <row r="128" spans="1:14" ht="30" hidden="1" customHeight="1">
      <c r="A128" s="26">
        <v>81</v>
      </c>
      <c r="B128" s="18" t="s">
        <v>963</v>
      </c>
      <c r="C128" s="238">
        <v>30003629</v>
      </c>
      <c r="D128" s="2" t="s">
        <v>947</v>
      </c>
      <c r="E128" s="5" t="s">
        <v>1021</v>
      </c>
      <c r="F128" s="20" t="str">
        <f>IFERROR(VLOOKUP(C128,[1]Sheet1!$A$1:$D$65536,3,0)/K128,"")</f>
        <v/>
      </c>
      <c r="G128" s="5" t="s">
        <v>948</v>
      </c>
      <c r="H128" s="10"/>
      <c r="I128" s="10"/>
      <c r="J128" s="56">
        <f t="shared" si="50"/>
        <v>0</v>
      </c>
      <c r="K128" s="5">
        <v>3</v>
      </c>
      <c r="L128" s="230" t="s">
        <v>949</v>
      </c>
      <c r="M128" s="146"/>
      <c r="N128" s="147">
        <f>M128*J128</f>
        <v>0</v>
      </c>
    </row>
    <row r="129" spans="1:14" ht="30" customHeight="1">
      <c r="A129" s="26"/>
      <c r="B129" s="18"/>
      <c r="C129" s="238"/>
      <c r="D129" s="51"/>
      <c r="E129" s="5"/>
      <c r="F129" s="20"/>
      <c r="G129" s="5"/>
      <c r="H129" s="10"/>
      <c r="I129" s="10"/>
      <c r="J129" s="56"/>
      <c r="K129" s="5"/>
      <c r="L129" s="230"/>
      <c r="M129" s="146"/>
      <c r="N129" s="147"/>
    </row>
    <row r="130" spans="1:14" ht="30" customHeight="1">
      <c r="A130" s="26"/>
      <c r="B130" s="18"/>
      <c r="C130" s="238"/>
      <c r="D130" s="51"/>
      <c r="E130" s="5"/>
      <c r="F130" s="20"/>
      <c r="G130" s="5"/>
      <c r="H130" s="10"/>
      <c r="I130" s="10"/>
      <c r="J130" s="56"/>
      <c r="K130" s="5"/>
      <c r="L130" s="230"/>
      <c r="M130" s="146"/>
      <c r="N130" s="147"/>
    </row>
    <row r="131" spans="1:14" ht="30" customHeight="1">
      <c r="A131" s="26"/>
      <c r="B131" s="18"/>
      <c r="C131" s="238"/>
      <c r="D131" s="51"/>
      <c r="E131" s="5"/>
      <c r="F131" s="20"/>
      <c r="G131" s="5"/>
      <c r="H131" s="10"/>
      <c r="I131" s="10"/>
      <c r="J131" s="56"/>
      <c r="K131" s="5"/>
      <c r="L131" s="230"/>
      <c r="M131" s="146"/>
      <c r="N131" s="147"/>
    </row>
    <row r="132" spans="1:14" ht="30" customHeight="1">
      <c r="A132" s="26"/>
      <c r="B132" s="18"/>
      <c r="C132" s="238"/>
      <c r="D132" s="51"/>
      <c r="E132" s="5"/>
      <c r="F132" s="20"/>
      <c r="G132" s="5"/>
      <c r="H132" s="10"/>
      <c r="I132" s="10"/>
      <c r="J132" s="56"/>
      <c r="K132" s="5"/>
      <c r="L132" s="230"/>
      <c r="M132" s="146"/>
      <c r="N132" s="147"/>
    </row>
    <row r="133" spans="1:14" ht="30" customHeight="1">
      <c r="A133" s="26"/>
      <c r="B133" s="18"/>
      <c r="C133" s="238"/>
      <c r="D133" s="51"/>
      <c r="E133" s="5"/>
      <c r="F133" s="20"/>
      <c r="G133" s="5"/>
      <c r="H133" s="10"/>
      <c r="I133" s="10"/>
      <c r="J133" s="56"/>
      <c r="K133" s="5"/>
      <c r="L133" s="230"/>
      <c r="M133" s="146"/>
      <c r="N133" s="147"/>
    </row>
    <row r="134" spans="1:14" ht="30" customHeight="1">
      <c r="A134" s="26"/>
      <c r="B134" s="5"/>
      <c r="C134" s="81"/>
      <c r="D134" s="1"/>
      <c r="E134" s="5"/>
      <c r="F134" s="100"/>
      <c r="G134" s="5"/>
      <c r="H134" s="10"/>
      <c r="I134" s="10"/>
      <c r="J134" s="56"/>
      <c r="K134" s="5"/>
      <c r="L134" s="11"/>
      <c r="M134" s="150" t="s">
        <v>528</v>
      </c>
      <c r="N134" s="149">
        <f>SUM(N5:N133)</f>
        <v>0</v>
      </c>
    </row>
  </sheetData>
  <mergeCells count="2">
    <mergeCell ref="A1:B2"/>
    <mergeCell ref="D1:I2"/>
  </mergeCells>
  <phoneticPr fontId="1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6" fitToHeight="0" orientation="portrait" r:id="rId1"/>
  <rowBreaks count="2" manualBreakCount="2">
    <brk id="21" max="11" man="1"/>
    <brk id="77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4"/>
  <sheetViews>
    <sheetView showGridLines="0" view="pageBreakPreview" zoomScale="70" zoomScaleNormal="70" zoomScaleSheetLayoutView="70" workbookViewId="0">
      <pane ySplit="4" topLeftCell="A26" activePane="bottomLeft" state="frozen"/>
      <selection activeCell="J33" sqref="J33"/>
      <selection pane="bottomLeft" activeCell="A5" sqref="A5:XFD51"/>
    </sheetView>
  </sheetViews>
  <sheetFormatPr defaultRowHeight="17.25"/>
  <cols>
    <col min="1" max="1" width="6.75" style="21" customWidth="1"/>
    <col min="2" max="2" width="21.125" style="52" customWidth="1"/>
    <col min="3" max="3" width="12.375" style="21" customWidth="1"/>
    <col min="4" max="4" width="51.125" style="21" bestFit="1" customWidth="1"/>
    <col min="5" max="5" width="10.125" style="24" customWidth="1"/>
    <col min="6" max="6" width="12.625" style="25" customWidth="1"/>
    <col min="7" max="7" width="14.5" style="24" customWidth="1"/>
    <col min="8" max="9" width="14.625" style="24" customWidth="1"/>
    <col min="10" max="10" width="13.625" style="21" customWidth="1"/>
    <col min="11" max="11" width="13.625" style="24" customWidth="1"/>
    <col min="12" max="12" width="13.625" style="21" customWidth="1"/>
    <col min="13" max="13" width="12.625" style="138" bestFit="1" customWidth="1"/>
    <col min="14" max="14" width="21.875" style="138" bestFit="1" customWidth="1"/>
    <col min="15" max="15" width="10.625" style="21" bestFit="1" customWidth="1"/>
    <col min="16" max="16" width="9" style="21"/>
    <col min="17" max="18" width="10.625" style="21" bestFit="1" customWidth="1"/>
    <col min="19" max="16384" width="9" style="21"/>
  </cols>
  <sheetData>
    <row r="1" spans="1:18" ht="27" customHeight="1">
      <c r="A1" s="257" t="s">
        <v>544</v>
      </c>
      <c r="B1" s="258"/>
      <c r="C1" s="77"/>
      <c r="D1" s="261">
        <f ca="1">TODAY()</f>
        <v>46324</v>
      </c>
      <c r="E1" s="262"/>
      <c r="F1" s="262"/>
      <c r="G1" s="262"/>
      <c r="H1" s="262"/>
      <c r="I1" s="263"/>
      <c r="J1" s="64" t="s">
        <v>280</v>
      </c>
      <c r="K1" s="64" t="s">
        <v>281</v>
      </c>
      <c r="L1" s="64" t="s">
        <v>282</v>
      </c>
    </row>
    <row r="2" spans="1:18" ht="57.75" customHeight="1">
      <c r="A2" s="259"/>
      <c r="B2" s="260"/>
      <c r="C2" s="78"/>
      <c r="D2" s="264"/>
      <c r="E2" s="265"/>
      <c r="F2" s="265"/>
      <c r="G2" s="265"/>
      <c r="H2" s="265"/>
      <c r="I2" s="266"/>
      <c r="J2" s="65"/>
      <c r="K2" s="65"/>
      <c r="L2" s="65"/>
      <c r="Q2" s="195"/>
      <c r="R2" s="195"/>
    </row>
    <row r="3" spans="1:18" ht="27" customHeight="1">
      <c r="A3" s="88" t="s">
        <v>227</v>
      </c>
      <c r="B3" s="89"/>
      <c r="C3" s="79"/>
      <c r="D3" s="75"/>
      <c r="E3" s="75"/>
      <c r="F3" s="132" t="s">
        <v>826</v>
      </c>
      <c r="G3" s="73"/>
      <c r="H3" s="65" t="s">
        <v>228</v>
      </c>
      <c r="I3" s="65"/>
      <c r="J3" s="74"/>
      <c r="K3" s="75"/>
      <c r="L3" s="76"/>
    </row>
    <row r="4" spans="1:18" s="24" customFormat="1" ht="26.25" customHeight="1">
      <c r="A4" s="92" t="s">
        <v>0</v>
      </c>
      <c r="B4" s="92" t="s">
        <v>1</v>
      </c>
      <c r="C4" s="92" t="s">
        <v>358</v>
      </c>
      <c r="D4" s="92" t="s">
        <v>2</v>
      </c>
      <c r="E4" s="92" t="s">
        <v>185</v>
      </c>
      <c r="F4" s="162" t="s">
        <v>537</v>
      </c>
      <c r="G4" s="92" t="s">
        <v>186</v>
      </c>
      <c r="H4" s="92" t="s">
        <v>187</v>
      </c>
      <c r="I4" s="92" t="s">
        <v>101</v>
      </c>
      <c r="J4" s="92" t="s">
        <v>19</v>
      </c>
      <c r="K4" s="92" t="s">
        <v>16</v>
      </c>
      <c r="L4" s="92" t="s">
        <v>17</v>
      </c>
      <c r="M4" s="145" t="s">
        <v>469</v>
      </c>
      <c r="N4" s="145" t="s">
        <v>470</v>
      </c>
    </row>
    <row r="5" spans="1:18" ht="30" customHeight="1">
      <c r="A5" s="28">
        <v>1</v>
      </c>
      <c r="B5" s="5" t="s">
        <v>823</v>
      </c>
      <c r="C5" s="81">
        <v>30002902</v>
      </c>
      <c r="D5" s="1" t="s">
        <v>230</v>
      </c>
      <c r="E5" s="5" t="s">
        <v>12</v>
      </c>
      <c r="F5" s="100">
        <f>IFERROR(VLOOKUP(C5,[1]Sheet1!$A$1:$D$65536,3,0)/K5,"")</f>
        <v>2.0011666666666668</v>
      </c>
      <c r="G5" s="5"/>
      <c r="H5" s="10">
        <v>7</v>
      </c>
      <c r="I5" s="10">
        <v>5</v>
      </c>
      <c r="J5" s="56">
        <f t="shared" ref="J5:J12" si="0">H5*K5+I5</f>
        <v>47</v>
      </c>
      <c r="K5" s="5">
        <v>6</v>
      </c>
      <c r="L5" s="11" t="s">
        <v>81</v>
      </c>
      <c r="M5" s="146">
        <v>5150</v>
      </c>
      <c r="N5" s="147">
        <f t="shared" ref="N5:N12" si="1">M5*J5</f>
        <v>242050</v>
      </c>
    </row>
    <row r="6" spans="1:18" ht="30" customHeight="1">
      <c r="A6" s="28">
        <v>2</v>
      </c>
      <c r="B6" s="18" t="s">
        <v>825</v>
      </c>
      <c r="C6" s="81">
        <v>30002904</v>
      </c>
      <c r="D6" s="1" t="s">
        <v>595</v>
      </c>
      <c r="E6" s="5" t="s">
        <v>14</v>
      </c>
      <c r="F6" s="100">
        <f>IFERROR(VLOOKUP(C6,[1]Sheet1!$A$1:$D$65536,3,0)/K6,"")</f>
        <v>0.61159999999999992</v>
      </c>
      <c r="G6" s="5"/>
      <c r="H6" s="10">
        <v>3</v>
      </c>
      <c r="I6" s="10">
        <v>2</v>
      </c>
      <c r="J6" s="56">
        <f t="shared" ref="J6:J7" si="2">H6*K6+I6</f>
        <v>17</v>
      </c>
      <c r="K6" s="5">
        <v>5</v>
      </c>
      <c r="L6" s="11" t="s">
        <v>387</v>
      </c>
      <c r="M6" s="146">
        <v>11400</v>
      </c>
      <c r="N6" s="147">
        <f>M6*J6</f>
        <v>193800</v>
      </c>
      <c r="O6" s="21" t="s">
        <v>706</v>
      </c>
    </row>
    <row r="7" spans="1:18" ht="30" customHeight="1">
      <c r="A7" s="28">
        <v>3</v>
      </c>
      <c r="B7" s="18" t="s">
        <v>825</v>
      </c>
      <c r="C7" s="81">
        <v>30003064</v>
      </c>
      <c r="D7" s="1" t="s">
        <v>329</v>
      </c>
      <c r="E7" s="5" t="s">
        <v>14</v>
      </c>
      <c r="F7" s="100">
        <f>IFERROR(VLOOKUP(C7,[1]Sheet1!$A$1:$D$65536,3,0)/K7,"")</f>
        <v>1.2412000000000001</v>
      </c>
      <c r="G7" s="5"/>
      <c r="H7" s="10">
        <v>1</v>
      </c>
      <c r="I7" s="10">
        <v>2</v>
      </c>
      <c r="J7" s="56">
        <f t="shared" si="2"/>
        <v>7</v>
      </c>
      <c r="K7" s="5">
        <v>5</v>
      </c>
      <c r="L7" s="11" t="s">
        <v>387</v>
      </c>
      <c r="M7" s="146">
        <f>4900*3</f>
        <v>14700</v>
      </c>
      <c r="N7" s="147">
        <f>M7*J7</f>
        <v>102900</v>
      </c>
    </row>
    <row r="8" spans="1:18" ht="30" customHeight="1">
      <c r="A8" s="28">
        <v>4</v>
      </c>
      <c r="B8" s="18" t="s">
        <v>825</v>
      </c>
      <c r="C8" s="81">
        <v>30003367</v>
      </c>
      <c r="D8" s="51" t="s">
        <v>727</v>
      </c>
      <c r="E8" s="47" t="s">
        <v>14</v>
      </c>
      <c r="F8" s="98"/>
      <c r="G8" s="47"/>
      <c r="H8" s="10">
        <v>1</v>
      </c>
      <c r="I8" s="10">
        <v>3</v>
      </c>
      <c r="J8" s="56">
        <f t="shared" ref="J8" si="3">H8*K8+I8</f>
        <v>8</v>
      </c>
      <c r="K8" s="5">
        <v>5</v>
      </c>
      <c r="L8" s="11" t="s">
        <v>387</v>
      </c>
      <c r="M8" s="146">
        <v>11400</v>
      </c>
      <c r="N8" s="147">
        <f>M8*J8</f>
        <v>91200</v>
      </c>
      <c r="O8" s="21" t="s">
        <v>706</v>
      </c>
    </row>
    <row r="9" spans="1:18" ht="30" customHeight="1">
      <c r="A9" s="28">
        <v>5</v>
      </c>
      <c r="B9" s="18" t="s">
        <v>825</v>
      </c>
      <c r="C9" s="81">
        <v>20194666</v>
      </c>
      <c r="D9" s="51" t="s">
        <v>972</v>
      </c>
      <c r="E9" s="47" t="s">
        <v>14</v>
      </c>
      <c r="F9" s="98"/>
      <c r="G9" s="47"/>
      <c r="H9" s="10">
        <v>12</v>
      </c>
      <c r="I9" s="10"/>
      <c r="J9" s="56">
        <f>H9*K9+I9</f>
        <v>60</v>
      </c>
      <c r="K9" s="5">
        <v>5</v>
      </c>
      <c r="L9" s="11" t="s">
        <v>596</v>
      </c>
      <c r="M9" s="146">
        <f>4900*3</f>
        <v>14700</v>
      </c>
      <c r="N9" s="147">
        <f>M9*J9</f>
        <v>882000</v>
      </c>
    </row>
    <row r="10" spans="1:18" ht="30" customHeight="1">
      <c r="A10" s="28">
        <v>6</v>
      </c>
      <c r="B10" s="5" t="s">
        <v>661</v>
      </c>
      <c r="C10" s="81">
        <v>30002846</v>
      </c>
      <c r="D10" s="1" t="s">
        <v>226</v>
      </c>
      <c r="E10" s="5" t="s">
        <v>14</v>
      </c>
      <c r="F10" s="100">
        <f>IFERROR(VLOOKUP(C10,[1]Sheet1!$A$1:$D$65536,3,0)/K10,"")</f>
        <v>0.44219999999999998</v>
      </c>
      <c r="G10" s="5"/>
      <c r="H10" s="10">
        <v>1</v>
      </c>
      <c r="I10" s="10">
        <v>2</v>
      </c>
      <c r="J10" s="56">
        <f t="shared" si="0"/>
        <v>7</v>
      </c>
      <c r="K10" s="5">
        <v>5</v>
      </c>
      <c r="L10" s="11" t="s">
        <v>80</v>
      </c>
      <c r="M10" s="191">
        <v>8910</v>
      </c>
      <c r="N10" s="147">
        <f t="shared" si="1"/>
        <v>62370</v>
      </c>
    </row>
    <row r="11" spans="1:18" ht="30" customHeight="1">
      <c r="A11" s="28">
        <v>7</v>
      </c>
      <c r="B11" s="5" t="s">
        <v>661</v>
      </c>
      <c r="C11" s="81">
        <v>30003596</v>
      </c>
      <c r="D11" s="1" t="s">
        <v>694</v>
      </c>
      <c r="E11" s="5" t="s">
        <v>14</v>
      </c>
      <c r="F11" s="100">
        <f>IFERROR(VLOOKUP(C11,[1]Sheet1!$A$1:$D$65536,3,0)/K11,"")</f>
        <v>1.1394</v>
      </c>
      <c r="G11" s="5"/>
      <c r="H11" s="10">
        <v>1</v>
      </c>
      <c r="I11" s="10">
        <v>3</v>
      </c>
      <c r="J11" s="56">
        <f t="shared" si="0"/>
        <v>8</v>
      </c>
      <c r="K11" s="5">
        <v>5</v>
      </c>
      <c r="L11" s="11" t="s">
        <v>387</v>
      </c>
      <c r="M11" s="191">
        <f>80700/5</f>
        <v>16140</v>
      </c>
      <c r="N11" s="147">
        <f t="shared" si="1"/>
        <v>129120</v>
      </c>
    </row>
    <row r="12" spans="1:18" s="22" customFormat="1" ht="30" customHeight="1">
      <c r="A12" s="28">
        <v>8</v>
      </c>
      <c r="B12" s="12" t="s">
        <v>664</v>
      </c>
      <c r="C12" s="81">
        <v>30002896</v>
      </c>
      <c r="D12" s="1" t="s">
        <v>240</v>
      </c>
      <c r="E12" s="5" t="s">
        <v>14</v>
      </c>
      <c r="F12" s="98">
        <f>IFERROR(VLOOKUP(C12,[1]Sheet1!$A$1:$D$65536,3,0)/K12,"")</f>
        <v>0.89300000000000002</v>
      </c>
      <c r="G12" s="5"/>
      <c r="H12" s="10">
        <v>3</v>
      </c>
      <c r="I12" s="10">
        <v>2</v>
      </c>
      <c r="J12" s="56">
        <f t="shared" si="0"/>
        <v>14</v>
      </c>
      <c r="K12" s="5">
        <v>4</v>
      </c>
      <c r="L12" s="11" t="s">
        <v>80</v>
      </c>
      <c r="M12" s="146">
        <v>10200</v>
      </c>
      <c r="N12" s="147">
        <f t="shared" si="1"/>
        <v>142800</v>
      </c>
    </row>
    <row r="13" spans="1:18" s="22" customFormat="1" ht="30" customHeight="1">
      <c r="A13" s="28">
        <v>9</v>
      </c>
      <c r="B13" s="12" t="s">
        <v>664</v>
      </c>
      <c r="C13" s="81">
        <v>30003617</v>
      </c>
      <c r="D13" s="1" t="s">
        <v>749</v>
      </c>
      <c r="E13" s="5" t="s">
        <v>14</v>
      </c>
      <c r="F13" s="100" t="str">
        <f>IFERROR(VLOOKUP(C13,[1]Sheet1!$A$1:$D$65536,3,0)/K13,"")</f>
        <v/>
      </c>
      <c r="G13" s="5"/>
      <c r="H13" s="10">
        <v>6</v>
      </c>
      <c r="I13" s="10"/>
      <c r="J13" s="56">
        <f t="shared" ref="J13" si="4">H13*K13+I13</f>
        <v>24</v>
      </c>
      <c r="K13" s="5">
        <v>4</v>
      </c>
      <c r="L13" s="11" t="s">
        <v>750</v>
      </c>
      <c r="M13" s="191">
        <v>14280</v>
      </c>
      <c r="N13" s="147">
        <f t="shared" ref="N13:N17" si="5">M13*J13</f>
        <v>342720</v>
      </c>
    </row>
    <row r="14" spans="1:18" ht="30" customHeight="1">
      <c r="A14" s="28">
        <v>10</v>
      </c>
      <c r="B14" s="5" t="s">
        <v>696</v>
      </c>
      <c r="C14" s="81">
        <v>20195150</v>
      </c>
      <c r="D14" s="1" t="s">
        <v>695</v>
      </c>
      <c r="E14" s="5" t="s">
        <v>63</v>
      </c>
      <c r="F14" s="100">
        <f>IFERROR(VLOOKUP(C14,[1]Sheet1!$A$1:$D$65536,3,0)/K14,"")</f>
        <v>1.990875</v>
      </c>
      <c r="G14" s="5"/>
      <c r="H14" s="10">
        <v>9</v>
      </c>
      <c r="I14" s="10">
        <v>11</v>
      </c>
      <c r="J14" s="56">
        <f t="shared" ref="J14" si="6">H14*K14+I14</f>
        <v>155</v>
      </c>
      <c r="K14" s="5">
        <v>16</v>
      </c>
      <c r="L14" s="11" t="s">
        <v>188</v>
      </c>
      <c r="M14" s="146">
        <v>7440</v>
      </c>
      <c r="N14" s="147">
        <f t="shared" si="5"/>
        <v>1153200</v>
      </c>
    </row>
    <row r="15" spans="1:18" ht="30" customHeight="1">
      <c r="A15" s="28">
        <v>11</v>
      </c>
      <c r="B15" s="5" t="s">
        <v>675</v>
      </c>
      <c r="C15" s="81">
        <v>30003582</v>
      </c>
      <c r="D15" s="2" t="s">
        <v>1012</v>
      </c>
      <c r="E15" s="5" t="s">
        <v>10</v>
      </c>
      <c r="F15" s="98">
        <f>IFERROR(VLOOKUP(C15,[1]Sheet1!$A$1:$D$65536,3,0)/K15,"")</f>
        <v>10.21875</v>
      </c>
      <c r="G15" s="5"/>
      <c r="H15" s="10">
        <v>14</v>
      </c>
      <c r="I15" s="10">
        <v>2</v>
      </c>
      <c r="J15" s="56">
        <f>H15*K15+I15</f>
        <v>58</v>
      </c>
      <c r="K15" s="5">
        <v>4</v>
      </c>
      <c r="L15" s="11" t="s">
        <v>188</v>
      </c>
      <c r="M15" s="191">
        <v>3950</v>
      </c>
      <c r="N15" s="147">
        <f t="shared" si="5"/>
        <v>229100</v>
      </c>
      <c r="O15" s="21" t="s">
        <v>710</v>
      </c>
    </row>
    <row r="16" spans="1:18" ht="30" customHeight="1">
      <c r="A16" s="28">
        <v>11</v>
      </c>
      <c r="B16" s="5" t="s">
        <v>675</v>
      </c>
      <c r="C16" s="81">
        <v>30003582</v>
      </c>
      <c r="D16" s="1" t="s">
        <v>676</v>
      </c>
      <c r="E16" s="5" t="s">
        <v>10</v>
      </c>
      <c r="F16" s="98">
        <f>IFERROR(VLOOKUP(C16,[1]Sheet1!$A$1:$D$65536,3,0)/K16,"")</f>
        <v>10.21875</v>
      </c>
      <c r="G16" s="5"/>
      <c r="H16" s="10">
        <v>34</v>
      </c>
      <c r="I16" s="10"/>
      <c r="J16" s="56">
        <f>H16*K16+I16</f>
        <v>136</v>
      </c>
      <c r="K16" s="5">
        <v>4</v>
      </c>
      <c r="L16" s="11" t="s">
        <v>188</v>
      </c>
      <c r="M16" s="191">
        <v>3950</v>
      </c>
      <c r="N16" s="147">
        <f t="shared" ref="N16" si="7">M16*J16</f>
        <v>537200</v>
      </c>
      <c r="O16" s="21" t="s">
        <v>710</v>
      </c>
    </row>
    <row r="17" spans="1:15" ht="30" customHeight="1">
      <c r="A17" s="28">
        <v>12</v>
      </c>
      <c r="B17" s="5" t="s">
        <v>256</v>
      </c>
      <c r="C17" s="81">
        <v>20001846</v>
      </c>
      <c r="D17" s="51" t="s">
        <v>124</v>
      </c>
      <c r="E17" s="5" t="s">
        <v>10</v>
      </c>
      <c r="F17" s="98">
        <f>IFERROR(VLOOKUP(C17,[1]Sheet1!$A$1:$D$65536,3,0)/K17,"")</f>
        <v>16.602</v>
      </c>
      <c r="G17" s="5"/>
      <c r="H17" s="10">
        <v>15</v>
      </c>
      <c r="I17" s="10"/>
      <c r="J17" s="56">
        <f>H17*K17+I17</f>
        <v>45</v>
      </c>
      <c r="K17" s="5">
        <v>3</v>
      </c>
      <c r="L17" s="11" t="s">
        <v>83</v>
      </c>
      <c r="M17" s="146">
        <v>7600</v>
      </c>
      <c r="N17" s="147">
        <f t="shared" si="5"/>
        <v>342000</v>
      </c>
    </row>
    <row r="18" spans="1:15" s="22" customFormat="1" ht="30" customHeight="1">
      <c r="A18" s="28">
        <v>13</v>
      </c>
      <c r="B18" s="12" t="s">
        <v>662</v>
      </c>
      <c r="C18" s="81">
        <v>30002903</v>
      </c>
      <c r="D18" s="1" t="s">
        <v>592</v>
      </c>
      <c r="E18" s="5" t="s">
        <v>14</v>
      </c>
      <c r="F18" s="100">
        <f>IFERROR(VLOOKUP(C18,[1]Sheet1!$A$1:$D$65536,3,0)/K18,"")</f>
        <v>9.4499999999999993</v>
      </c>
      <c r="G18" s="5"/>
      <c r="H18" s="10">
        <v>24</v>
      </c>
      <c r="I18" s="10"/>
      <c r="J18" s="56">
        <f t="shared" ref="J18:J20" si="8">H18*K18+I18</f>
        <v>192</v>
      </c>
      <c r="K18" s="5">
        <v>8</v>
      </c>
      <c r="L18" s="11" t="s">
        <v>525</v>
      </c>
      <c r="M18" s="193">
        <f>81810/8</f>
        <v>10226.25</v>
      </c>
      <c r="N18" s="147">
        <f>M18*J18</f>
        <v>1963440</v>
      </c>
      <c r="O18" s="22" t="s">
        <v>706</v>
      </c>
    </row>
    <row r="19" spans="1:15" ht="30" customHeight="1">
      <c r="A19" s="28">
        <v>14</v>
      </c>
      <c r="B19" s="5" t="s">
        <v>868</v>
      </c>
      <c r="C19" s="81">
        <v>30003671</v>
      </c>
      <c r="D19" s="51" t="s">
        <v>878</v>
      </c>
      <c r="E19" s="47" t="s">
        <v>11</v>
      </c>
      <c r="F19" s="98" t="str">
        <f>IFERROR(VLOOKUP(C19,[1]Sheet1!$A$1:$D$65536,3,0)/K19,"")</f>
        <v/>
      </c>
      <c r="G19" s="47"/>
      <c r="H19" s="10">
        <v>20</v>
      </c>
      <c r="I19" s="10">
        <v>22</v>
      </c>
      <c r="J19" s="56">
        <f>H19*K19+I19</f>
        <v>222</v>
      </c>
      <c r="K19" s="5">
        <v>10</v>
      </c>
      <c r="L19" s="11" t="s">
        <v>188</v>
      </c>
      <c r="M19" s="146">
        <v>6300</v>
      </c>
      <c r="N19" s="147">
        <f>M19*J19</f>
        <v>1398600</v>
      </c>
    </row>
    <row r="20" spans="1:15" s="22" customFormat="1" ht="30" customHeight="1">
      <c r="A20" s="28">
        <v>15</v>
      </c>
      <c r="B20" s="5" t="s">
        <v>628</v>
      </c>
      <c r="C20" s="81">
        <v>30003656</v>
      </c>
      <c r="D20" s="1" t="s">
        <v>743</v>
      </c>
      <c r="E20" s="5" t="s">
        <v>12</v>
      </c>
      <c r="F20" s="100" t="str">
        <f>IFERROR(VLOOKUP(C20,[1]Sheet1!$A$1:$D$65536,3,0)/K20,"")</f>
        <v/>
      </c>
      <c r="G20" s="5" t="s">
        <v>745</v>
      </c>
      <c r="H20" s="10">
        <v>6</v>
      </c>
      <c r="I20" s="10">
        <v>26</v>
      </c>
      <c r="J20" s="56">
        <f t="shared" si="8"/>
        <v>86</v>
      </c>
      <c r="K20" s="5">
        <v>10</v>
      </c>
      <c r="L20" s="11"/>
      <c r="M20" s="146">
        <v>3200</v>
      </c>
      <c r="N20" s="147">
        <f t="shared" ref="N20" si="9">M20*J20</f>
        <v>275200</v>
      </c>
    </row>
    <row r="21" spans="1:15" s="22" customFormat="1" ht="30" customHeight="1">
      <c r="A21" s="28">
        <v>16</v>
      </c>
      <c r="B21" s="5" t="s">
        <v>628</v>
      </c>
      <c r="C21" s="81">
        <v>30001165</v>
      </c>
      <c r="D21" s="51" t="s">
        <v>191</v>
      </c>
      <c r="E21" s="47" t="s">
        <v>12</v>
      </c>
      <c r="F21" s="98">
        <f>IFERROR(VLOOKUP(C21,[1]Sheet1!$A$1:$D$65536,3,0)/K21,"")</f>
        <v>2.82</v>
      </c>
      <c r="G21" s="47"/>
      <c r="H21" s="10">
        <v>4</v>
      </c>
      <c r="I21" s="10"/>
      <c r="J21" s="56">
        <f t="shared" ref="J21:J102" si="10">H21*K21+I21</f>
        <v>4</v>
      </c>
      <c r="K21" s="5">
        <v>1</v>
      </c>
      <c r="L21" s="11" t="s">
        <v>83</v>
      </c>
      <c r="M21" s="146">
        <v>19800</v>
      </c>
      <c r="N21" s="147">
        <f>M21*J21</f>
        <v>79200</v>
      </c>
    </row>
    <row r="22" spans="1:15" s="22" customFormat="1" ht="30" customHeight="1">
      <c r="A22" s="28">
        <v>17</v>
      </c>
      <c r="B22" s="5" t="s">
        <v>628</v>
      </c>
      <c r="C22" s="81">
        <v>30002355</v>
      </c>
      <c r="D22" s="1" t="s">
        <v>744</v>
      </c>
      <c r="E22" s="5" t="s">
        <v>12</v>
      </c>
      <c r="F22" s="100">
        <f>IFERROR(VLOOKUP(C22,[1]Sheet1!$A$1:$D$65536,3,0)/K22,"")</f>
        <v>2.6260000000000003</v>
      </c>
      <c r="G22" s="5" t="s">
        <v>745</v>
      </c>
      <c r="H22" s="10"/>
      <c r="I22" s="10"/>
      <c r="J22" s="56">
        <f t="shared" si="10"/>
        <v>0</v>
      </c>
      <c r="K22" s="5">
        <v>10</v>
      </c>
      <c r="L22" s="11" t="s">
        <v>80</v>
      </c>
      <c r="M22" s="146">
        <v>2230</v>
      </c>
      <c r="N22" s="147">
        <f>M22*J22</f>
        <v>0</v>
      </c>
    </row>
    <row r="23" spans="1:15" s="22" customFormat="1" ht="30" customHeight="1">
      <c r="A23" s="28">
        <v>18</v>
      </c>
      <c r="B23" s="5" t="s">
        <v>628</v>
      </c>
      <c r="C23" s="81">
        <v>30003673</v>
      </c>
      <c r="D23" s="51" t="s">
        <v>893</v>
      </c>
      <c r="E23" s="47" t="s">
        <v>12</v>
      </c>
      <c r="F23" s="98" t="str">
        <f>IFERROR(VLOOKUP(C23,[1]Sheet1!$A$1:$D$65536,3,0)/K23,"")</f>
        <v/>
      </c>
      <c r="G23" s="47"/>
      <c r="H23" s="10">
        <v>1</v>
      </c>
      <c r="I23" s="10"/>
      <c r="J23" s="56">
        <f t="shared" ref="J23" si="11">H23*K23+I23</f>
        <v>1</v>
      </c>
      <c r="K23" s="5">
        <v>1</v>
      </c>
      <c r="L23" s="11" t="s">
        <v>80</v>
      </c>
      <c r="M23" s="146">
        <v>2230</v>
      </c>
      <c r="N23" s="147">
        <f>M23*J23</f>
        <v>2230</v>
      </c>
    </row>
    <row r="24" spans="1:15" s="22" customFormat="1" ht="30" hidden="1" customHeight="1">
      <c r="A24" s="28">
        <v>19</v>
      </c>
      <c r="B24" s="5" t="s">
        <v>628</v>
      </c>
      <c r="C24" s="81">
        <v>30002684</v>
      </c>
      <c r="D24" s="117" t="s">
        <v>629</v>
      </c>
      <c r="E24" s="118" t="s">
        <v>12</v>
      </c>
      <c r="F24" s="112" t="str">
        <f>IFERROR(VLOOKUP(C24,[1]Sheet1!$A$1:$D$65536,3,0)/K24,"")</f>
        <v/>
      </c>
      <c r="G24" s="118" t="s">
        <v>630</v>
      </c>
      <c r="H24" s="171"/>
      <c r="I24" s="171"/>
      <c r="J24" s="56">
        <f t="shared" ref="J24" si="12">H24*K24+I24</f>
        <v>0</v>
      </c>
      <c r="K24" s="5">
        <v>10</v>
      </c>
      <c r="L24" s="11"/>
      <c r="M24" s="146">
        <v>2810</v>
      </c>
      <c r="N24" s="147">
        <f t="shared" ref="N24" si="13">M24*J24</f>
        <v>0</v>
      </c>
    </row>
    <row r="25" spans="1:15" s="22" customFormat="1" ht="30" customHeight="1">
      <c r="A25" s="28">
        <v>20</v>
      </c>
      <c r="B25" s="5" t="s">
        <v>50</v>
      </c>
      <c r="C25" s="81">
        <v>30002593</v>
      </c>
      <c r="D25" s="1" t="s">
        <v>182</v>
      </c>
      <c r="E25" s="5" t="s">
        <v>190</v>
      </c>
      <c r="F25" s="98">
        <f>IFERROR(VLOOKUP(C25,[1]Sheet1!$A$1:$D$65536,3,0)/K25,"")</f>
        <v>2.6006</v>
      </c>
      <c r="G25" s="5"/>
      <c r="H25" s="10">
        <v>12</v>
      </c>
      <c r="I25" s="10">
        <v>9</v>
      </c>
      <c r="J25" s="56">
        <f t="shared" ref="J25:J37" si="14">H25*K25+I25</f>
        <v>129</v>
      </c>
      <c r="K25" s="5">
        <v>10</v>
      </c>
      <c r="L25" s="11" t="s">
        <v>80</v>
      </c>
      <c r="M25" s="146">
        <v>5200</v>
      </c>
      <c r="N25" s="147">
        <f t="shared" ref="N25:N30" si="15">M25*J25</f>
        <v>670800</v>
      </c>
    </row>
    <row r="26" spans="1:15" s="43" customFormat="1" ht="30" customHeight="1">
      <c r="A26" s="28">
        <v>21</v>
      </c>
      <c r="B26" s="5" t="s">
        <v>50</v>
      </c>
      <c r="C26" s="81">
        <v>30002318</v>
      </c>
      <c r="D26" s="1" t="s">
        <v>977</v>
      </c>
      <c r="E26" s="47" t="s">
        <v>14</v>
      </c>
      <c r="F26" s="98">
        <v>3.8</v>
      </c>
      <c r="G26" s="47"/>
      <c r="H26" s="10">
        <v>9</v>
      </c>
      <c r="I26" s="10"/>
      <c r="J26" s="56">
        <f t="shared" ref="J26" si="16">H26*K26+I26</f>
        <v>90</v>
      </c>
      <c r="K26" s="5">
        <v>10</v>
      </c>
      <c r="L26" s="11" t="s">
        <v>80</v>
      </c>
      <c r="M26" s="146">
        <v>4300</v>
      </c>
      <c r="N26" s="147">
        <f t="shared" ref="N26" si="17">M26*J26</f>
        <v>387000</v>
      </c>
    </row>
    <row r="27" spans="1:15" s="43" customFormat="1" ht="30" customHeight="1">
      <c r="A27" s="28">
        <v>22</v>
      </c>
      <c r="B27" s="5" t="s">
        <v>50</v>
      </c>
      <c r="C27" s="81">
        <v>30003566</v>
      </c>
      <c r="D27" s="1" t="s">
        <v>1010</v>
      </c>
      <c r="E27" s="47" t="s">
        <v>14</v>
      </c>
      <c r="F27" s="98">
        <v>3.8</v>
      </c>
      <c r="G27" s="47"/>
      <c r="H27" s="10">
        <v>2</v>
      </c>
      <c r="I27" s="10"/>
      <c r="J27" s="56">
        <f t="shared" ref="J27" si="18">H27*K27+I27</f>
        <v>20</v>
      </c>
      <c r="K27" s="5">
        <v>10</v>
      </c>
      <c r="L27" s="11" t="s">
        <v>80</v>
      </c>
      <c r="M27" s="146">
        <v>4300</v>
      </c>
      <c r="N27" s="147">
        <f t="shared" si="15"/>
        <v>86000</v>
      </c>
    </row>
    <row r="28" spans="1:15" ht="30" customHeight="1">
      <c r="A28" s="28">
        <v>23</v>
      </c>
      <c r="B28" s="5" t="s">
        <v>822</v>
      </c>
      <c r="C28" s="81">
        <v>30002007</v>
      </c>
      <c r="D28" s="1" t="s">
        <v>24</v>
      </c>
      <c r="E28" s="5" t="s">
        <v>14</v>
      </c>
      <c r="F28" s="100">
        <f>IFERROR(VLOOKUP(C28,[1]Sheet1!$A$1:$D$65536,3,0)/K28,"")</f>
        <v>1.2630833333333333</v>
      </c>
      <c r="G28" s="5"/>
      <c r="H28" s="10"/>
      <c r="I28" s="10">
        <v>10</v>
      </c>
      <c r="J28" s="56">
        <f>H28*K28+I28</f>
        <v>10</v>
      </c>
      <c r="K28" s="5">
        <v>12</v>
      </c>
      <c r="L28" s="11" t="s">
        <v>80</v>
      </c>
      <c r="M28" s="146">
        <v>5900</v>
      </c>
      <c r="N28" s="147">
        <f t="shared" si="15"/>
        <v>59000</v>
      </c>
    </row>
    <row r="29" spans="1:15" ht="30" customHeight="1">
      <c r="A29" s="28">
        <v>24</v>
      </c>
      <c r="B29" s="5" t="s">
        <v>822</v>
      </c>
      <c r="C29" s="81">
        <v>30000910</v>
      </c>
      <c r="D29" s="51" t="s">
        <v>33</v>
      </c>
      <c r="E29" s="47" t="s">
        <v>14</v>
      </c>
      <c r="F29" s="98">
        <f>IFERROR(VLOOKUP(C29,[1]Sheet1!$A$1:$D$65536,3,0)/K29,"")</f>
        <v>2.4375833333333334</v>
      </c>
      <c r="G29" s="47"/>
      <c r="H29" s="10">
        <v>8</v>
      </c>
      <c r="I29" s="10">
        <v>9</v>
      </c>
      <c r="J29" s="56">
        <f>H29*K29+I29</f>
        <v>105</v>
      </c>
      <c r="K29" s="5">
        <v>12</v>
      </c>
      <c r="L29" s="11" t="s">
        <v>80</v>
      </c>
      <c r="M29" s="146">
        <v>6250</v>
      </c>
      <c r="N29" s="147">
        <f t="shared" si="15"/>
        <v>656250</v>
      </c>
    </row>
    <row r="30" spans="1:15" ht="30" customHeight="1">
      <c r="A30" s="28">
        <v>25</v>
      </c>
      <c r="B30" s="5" t="s">
        <v>822</v>
      </c>
      <c r="C30" s="81">
        <v>30003510</v>
      </c>
      <c r="D30" s="1" t="s">
        <v>586</v>
      </c>
      <c r="E30" s="5" t="s">
        <v>14</v>
      </c>
      <c r="F30" s="100">
        <f>IFERROR(VLOOKUP(C30,[1]Sheet1!$A$1:$D$65536,3,0)/K30,"")</f>
        <v>7.81175</v>
      </c>
      <c r="G30" s="5"/>
      <c r="H30" s="10">
        <v>9</v>
      </c>
      <c r="I30" s="10">
        <v>6</v>
      </c>
      <c r="J30" s="56">
        <f>H30*K30+I30</f>
        <v>114</v>
      </c>
      <c r="K30" s="5">
        <v>12</v>
      </c>
      <c r="L30" s="11" t="s">
        <v>80</v>
      </c>
      <c r="M30" s="146">
        <v>5900</v>
      </c>
      <c r="N30" s="147">
        <f t="shared" si="15"/>
        <v>672600</v>
      </c>
      <c r="O30" s="21" t="s">
        <v>705</v>
      </c>
    </row>
    <row r="31" spans="1:15" s="43" customFormat="1" ht="30" customHeight="1">
      <c r="A31" s="28">
        <v>26</v>
      </c>
      <c r="B31" s="5" t="s">
        <v>23</v>
      </c>
      <c r="C31" s="81">
        <v>30003288</v>
      </c>
      <c r="D31" s="1" t="s">
        <v>622</v>
      </c>
      <c r="E31" s="5" t="s">
        <v>10</v>
      </c>
      <c r="F31" s="100">
        <f>IFERROR(VLOOKUP(C31,[1]Sheet1!$A$1:$D$65536,3,0)/K31,"")</f>
        <v>0.35616666666666669</v>
      </c>
      <c r="G31" s="5"/>
      <c r="H31" s="10">
        <v>1</v>
      </c>
      <c r="I31" s="10"/>
      <c r="J31" s="56">
        <f>H31*K31+I31</f>
        <v>6</v>
      </c>
      <c r="K31" s="5">
        <v>6</v>
      </c>
      <c r="L31" s="11" t="s">
        <v>81</v>
      </c>
      <c r="M31" s="146">
        <v>3900</v>
      </c>
      <c r="N31" s="147">
        <f t="shared" ref="N31:N32" si="19">M31*J31</f>
        <v>23400</v>
      </c>
    </row>
    <row r="32" spans="1:15" s="43" customFormat="1" ht="30" customHeight="1">
      <c r="A32" s="28">
        <v>27</v>
      </c>
      <c r="B32" s="5" t="s">
        <v>23</v>
      </c>
      <c r="C32" s="81">
        <v>30003599</v>
      </c>
      <c r="D32" s="51" t="s">
        <v>730</v>
      </c>
      <c r="E32" s="47" t="s">
        <v>10</v>
      </c>
      <c r="F32" s="98">
        <f>IFERROR(VLOOKUP(C32,[1]Sheet1!$A$1:$D$65536,3,0)/K32,"")</f>
        <v>8.4546666666666663</v>
      </c>
      <c r="G32" s="47"/>
      <c r="H32" s="10">
        <v>58</v>
      </c>
      <c r="I32" s="10"/>
      <c r="J32" s="56">
        <v>2</v>
      </c>
      <c r="K32" s="5">
        <v>3</v>
      </c>
      <c r="L32" s="11" t="s">
        <v>81</v>
      </c>
      <c r="M32" s="146">
        <v>3900</v>
      </c>
      <c r="N32" s="147">
        <f t="shared" si="19"/>
        <v>7800</v>
      </c>
    </row>
    <row r="33" spans="1:15" s="43" customFormat="1" ht="30" customHeight="1">
      <c r="A33" s="28">
        <v>27</v>
      </c>
      <c r="B33" s="5" t="s">
        <v>23</v>
      </c>
      <c r="C33" s="81">
        <v>30003599</v>
      </c>
      <c r="D33" s="2" t="s">
        <v>1200</v>
      </c>
      <c r="E33" s="47" t="s">
        <v>10</v>
      </c>
      <c r="F33" s="98">
        <f>IFERROR(VLOOKUP(C33,[1]Sheet1!$A$1:$D$65536,3,0)/K33,"")</f>
        <v>2.5364</v>
      </c>
      <c r="G33" s="47"/>
      <c r="H33" s="10">
        <v>7</v>
      </c>
      <c r="I33" s="10">
        <v>5</v>
      </c>
      <c r="J33" s="56">
        <v>2</v>
      </c>
      <c r="K33" s="5">
        <v>10</v>
      </c>
      <c r="L33" s="11" t="s">
        <v>81</v>
      </c>
      <c r="M33" s="146">
        <v>3900</v>
      </c>
      <c r="N33" s="147">
        <f t="shared" ref="N33" si="20">M33*J33</f>
        <v>7800</v>
      </c>
    </row>
    <row r="34" spans="1:15" ht="30" customHeight="1">
      <c r="A34" s="28">
        <v>28</v>
      </c>
      <c r="B34" s="5" t="s">
        <v>824</v>
      </c>
      <c r="C34" s="81">
        <v>30000376</v>
      </c>
      <c r="D34" s="1" t="s">
        <v>222</v>
      </c>
      <c r="E34" s="5" t="s">
        <v>10</v>
      </c>
      <c r="F34" s="100">
        <f>IFERROR(VLOOKUP(C34,[1]Sheet1!$A$1:$D$65536,3,0)/K34,"")</f>
        <v>3.2648000000000001</v>
      </c>
      <c r="G34" s="5"/>
      <c r="H34" s="10">
        <v>7</v>
      </c>
      <c r="I34" s="254">
        <v>2</v>
      </c>
      <c r="J34" s="56">
        <f t="shared" ref="J34:J35" si="21">H34*K34+I34</f>
        <v>72</v>
      </c>
      <c r="K34" s="5">
        <v>10</v>
      </c>
      <c r="L34" s="11" t="s">
        <v>188</v>
      </c>
      <c r="M34" s="146">
        <v>5150</v>
      </c>
      <c r="N34" s="147">
        <f t="shared" ref="N34:N35" si="22">M34*J34</f>
        <v>370800</v>
      </c>
    </row>
    <row r="35" spans="1:15" ht="30" customHeight="1">
      <c r="A35" s="28">
        <v>29</v>
      </c>
      <c r="B35" s="5" t="s">
        <v>824</v>
      </c>
      <c r="C35" s="81">
        <v>30002614</v>
      </c>
      <c r="D35" s="133" t="s">
        <v>812</v>
      </c>
      <c r="E35" s="134" t="s">
        <v>10</v>
      </c>
      <c r="F35" s="135">
        <f>IFERROR(VLOOKUP(C35,[1]Sheet1!$A$1:$D$65536,3,0)/K35,"")</f>
        <v>5.9682000000000004</v>
      </c>
      <c r="G35" s="134" t="s">
        <v>837</v>
      </c>
      <c r="H35" s="10">
        <v>3</v>
      </c>
      <c r="I35" s="10">
        <v>10</v>
      </c>
      <c r="J35" s="56">
        <f t="shared" si="21"/>
        <v>40</v>
      </c>
      <c r="K35" s="5">
        <v>10</v>
      </c>
      <c r="L35" s="11" t="s">
        <v>188</v>
      </c>
      <c r="M35" s="146">
        <v>5500</v>
      </c>
      <c r="N35" s="147">
        <f t="shared" si="22"/>
        <v>220000</v>
      </c>
    </row>
    <row r="36" spans="1:15" ht="30" customHeight="1">
      <c r="A36" s="28">
        <v>29</v>
      </c>
      <c r="B36" s="5" t="s">
        <v>824</v>
      </c>
      <c r="C36" s="81">
        <v>30003766</v>
      </c>
      <c r="D36" s="51" t="s">
        <v>1208</v>
      </c>
      <c r="E36" s="47" t="s">
        <v>10</v>
      </c>
      <c r="F36" s="98" t="str">
        <f>IFERROR(VLOOKUP(C36,[1]Sheet1!$A$1:$D$65536,3,0)/K36,"")</f>
        <v/>
      </c>
      <c r="G36" s="47"/>
      <c r="H36" s="10">
        <v>3</v>
      </c>
      <c r="I36" s="10">
        <v>6</v>
      </c>
      <c r="J36" s="56">
        <f t="shared" si="14"/>
        <v>36</v>
      </c>
      <c r="K36" s="5">
        <v>10</v>
      </c>
      <c r="L36" s="11" t="s">
        <v>1209</v>
      </c>
      <c r="M36" s="146">
        <v>6900</v>
      </c>
      <c r="N36" s="147">
        <f t="shared" ref="N36:N37" si="23">M36*J36</f>
        <v>248400</v>
      </c>
    </row>
    <row r="37" spans="1:15" ht="30" customHeight="1">
      <c r="A37" s="28">
        <v>30</v>
      </c>
      <c r="B37" s="5" t="s">
        <v>48</v>
      </c>
      <c r="C37" s="81">
        <v>20001849</v>
      </c>
      <c r="D37" s="1" t="s">
        <v>189</v>
      </c>
      <c r="E37" s="5" t="s">
        <v>36</v>
      </c>
      <c r="F37" s="100">
        <f>IFERROR(VLOOKUP(C37,[1]Sheet1!$A$1:$D$65536,3,0)/K37,"")</f>
        <v>5.3746999999999998</v>
      </c>
      <c r="G37" s="5"/>
      <c r="H37" s="10">
        <v>5</v>
      </c>
      <c r="I37" s="10">
        <v>4</v>
      </c>
      <c r="J37" s="56">
        <f t="shared" si="14"/>
        <v>54</v>
      </c>
      <c r="K37" s="5">
        <v>10</v>
      </c>
      <c r="L37" s="11" t="s">
        <v>80</v>
      </c>
      <c r="M37" s="146">
        <v>4200</v>
      </c>
      <c r="N37" s="147">
        <f t="shared" si="23"/>
        <v>226800</v>
      </c>
    </row>
    <row r="38" spans="1:15" s="33" customFormat="1" ht="30" customHeight="1">
      <c r="A38" s="28">
        <v>31</v>
      </c>
      <c r="B38" s="5" t="s">
        <v>821</v>
      </c>
      <c r="C38" s="81">
        <v>30003695</v>
      </c>
      <c r="D38" s="51" t="s">
        <v>932</v>
      </c>
      <c r="E38" s="47" t="s">
        <v>10</v>
      </c>
      <c r="F38" s="98" t="str">
        <f>IFERROR(VLOOKUP(C38,[1]Sheet1!$A$1:$D$65536,3,0)/K38,"")</f>
        <v/>
      </c>
      <c r="G38" s="47"/>
      <c r="H38" s="10">
        <v>25</v>
      </c>
      <c r="I38" s="10"/>
      <c r="J38" s="56">
        <f>H38*K38+I38</f>
        <v>250</v>
      </c>
      <c r="K38" s="5">
        <v>10</v>
      </c>
      <c r="L38" s="11" t="s">
        <v>835</v>
      </c>
      <c r="M38" s="191">
        <v>24400</v>
      </c>
      <c r="N38" s="242">
        <f>M38*J38</f>
        <v>6100000</v>
      </c>
    </row>
    <row r="39" spans="1:15" ht="30" customHeight="1">
      <c r="A39" s="28">
        <v>32</v>
      </c>
      <c r="B39" s="18" t="s">
        <v>606</v>
      </c>
      <c r="C39" s="81">
        <v>30003556</v>
      </c>
      <c r="D39" s="1" t="s">
        <v>607</v>
      </c>
      <c r="E39" s="5" t="s">
        <v>14</v>
      </c>
      <c r="F39" s="203">
        <f>IFERROR(VLOOKUP(C39,[1]Sheet1!$A$1:$D$65536,3,0)/K39,"")</f>
        <v>7.3999999999999995E-3</v>
      </c>
      <c r="G39" s="5"/>
      <c r="H39" s="10"/>
      <c r="I39" s="10"/>
      <c r="J39" s="56">
        <f t="shared" ref="J39" si="24">H39*K39+I39</f>
        <v>0</v>
      </c>
      <c r="K39" s="5">
        <v>5</v>
      </c>
      <c r="L39" s="11" t="s">
        <v>103</v>
      </c>
      <c r="M39" s="191">
        <v>19200</v>
      </c>
      <c r="N39" s="147">
        <f>M39*J39</f>
        <v>0</v>
      </c>
      <c r="O39" s="21" t="s">
        <v>707</v>
      </c>
    </row>
    <row r="40" spans="1:15" ht="30" customHeight="1">
      <c r="A40" s="28">
        <v>33</v>
      </c>
      <c r="B40" s="18" t="s">
        <v>606</v>
      </c>
      <c r="C40" s="81">
        <v>30003528</v>
      </c>
      <c r="D40" s="1" t="s">
        <v>632</v>
      </c>
      <c r="E40" s="5" t="s">
        <v>14</v>
      </c>
      <c r="F40" s="20">
        <f>IFERROR(VLOOKUP(C40,[1]Sheet1!$A$1:$D$65536,3,0)/K40,"")</f>
        <v>4.5400000000000003E-2</v>
      </c>
      <c r="G40" s="5"/>
      <c r="H40" s="10"/>
      <c r="I40" s="10">
        <v>1</v>
      </c>
      <c r="J40" s="56">
        <f t="shared" ref="J40" si="25">H40*K40+I40</f>
        <v>1</v>
      </c>
      <c r="K40" s="5">
        <v>5</v>
      </c>
      <c r="L40" s="11" t="s">
        <v>603</v>
      </c>
      <c r="M40" s="191">
        <v>26500</v>
      </c>
      <c r="N40" s="147">
        <f t="shared" ref="N40" si="26">M40*J40</f>
        <v>26500</v>
      </c>
      <c r="O40" s="21" t="s">
        <v>709</v>
      </c>
    </row>
    <row r="41" spans="1:15" ht="30" customHeight="1">
      <c r="A41" s="28">
        <v>34</v>
      </c>
      <c r="B41" s="5" t="s">
        <v>48</v>
      </c>
      <c r="C41" s="81">
        <v>30003070</v>
      </c>
      <c r="D41" s="1" t="s">
        <v>270</v>
      </c>
      <c r="E41" s="5" t="s">
        <v>14</v>
      </c>
      <c r="F41" s="100">
        <f>IFERROR(VLOOKUP(C41,[1]Sheet1!$A$1:$D$65536,3,0)/K41,"")</f>
        <v>0.4</v>
      </c>
      <c r="G41" s="5"/>
      <c r="H41" s="10">
        <v>1</v>
      </c>
      <c r="I41" s="10">
        <v>20</v>
      </c>
      <c r="J41" s="56">
        <f>H41*K41+I41</f>
        <v>50</v>
      </c>
      <c r="K41" s="5">
        <v>30</v>
      </c>
      <c r="L41" s="11" t="s">
        <v>80</v>
      </c>
      <c r="M41" s="146">
        <v>1820</v>
      </c>
      <c r="N41" s="147">
        <f>M41*J41</f>
        <v>91000</v>
      </c>
    </row>
    <row r="42" spans="1:15" ht="30" customHeight="1">
      <c r="A42" s="28">
        <v>35</v>
      </c>
      <c r="B42" s="18" t="s">
        <v>989</v>
      </c>
      <c r="C42" s="81">
        <v>30003352</v>
      </c>
      <c r="D42" s="1" t="s">
        <v>988</v>
      </c>
      <c r="E42" s="5" t="s">
        <v>14</v>
      </c>
      <c r="F42" s="20"/>
      <c r="G42" s="5"/>
      <c r="H42" s="10">
        <v>11</v>
      </c>
      <c r="I42" s="10">
        <v>4</v>
      </c>
      <c r="J42" s="56">
        <f>H42*K42+I42</f>
        <v>136</v>
      </c>
      <c r="K42" s="5">
        <v>12</v>
      </c>
      <c r="L42" s="11" t="s">
        <v>990</v>
      </c>
      <c r="M42" s="191">
        <v>5330</v>
      </c>
      <c r="N42" s="147">
        <f>M42*J42</f>
        <v>724880</v>
      </c>
    </row>
    <row r="43" spans="1:15" ht="30" hidden="1" customHeight="1">
      <c r="A43" s="28">
        <v>36</v>
      </c>
      <c r="B43" s="5" t="s">
        <v>256</v>
      </c>
      <c r="C43" s="81"/>
      <c r="D43" s="117" t="s">
        <v>485</v>
      </c>
      <c r="E43" s="118" t="s">
        <v>63</v>
      </c>
      <c r="F43" s="112" t="str">
        <f>IFERROR(VLOOKUP(C43,[1]Sheet1!$A$1:$D$65536,3,0)/K43,"")</f>
        <v/>
      </c>
      <c r="G43" s="118" t="s">
        <v>658</v>
      </c>
      <c r="H43" s="10"/>
      <c r="I43" s="153"/>
      <c r="J43" s="56">
        <f t="shared" ref="J43:J51" si="27">H43*K43+I43</f>
        <v>0</v>
      </c>
      <c r="K43" s="5">
        <v>3</v>
      </c>
      <c r="L43" s="11"/>
      <c r="M43" s="146">
        <f>18765/3</f>
        <v>6255</v>
      </c>
      <c r="N43" s="147">
        <f>M43*J43</f>
        <v>0</v>
      </c>
    </row>
    <row r="44" spans="1:15" ht="30" hidden="1" customHeight="1">
      <c r="A44" s="28">
        <v>37</v>
      </c>
      <c r="B44" s="5" t="s">
        <v>256</v>
      </c>
      <c r="C44" s="81"/>
      <c r="D44" s="117" t="s">
        <v>481</v>
      </c>
      <c r="E44" s="118" t="s">
        <v>14</v>
      </c>
      <c r="F44" s="112" t="str">
        <f>IFERROR(VLOOKUP(C44,[1]Sheet1!$A$1:$D$65536,3,0)/K44,"")</f>
        <v/>
      </c>
      <c r="G44" s="118" t="s">
        <v>630</v>
      </c>
      <c r="H44" s="171"/>
      <c r="I44" s="171"/>
      <c r="J44" s="56">
        <f t="shared" si="27"/>
        <v>0</v>
      </c>
      <c r="K44" s="5">
        <v>2</v>
      </c>
      <c r="L44" s="11"/>
      <c r="M44" s="146">
        <v>18000</v>
      </c>
      <c r="N44" s="147">
        <f>M44*J44</f>
        <v>0</v>
      </c>
    </row>
    <row r="45" spans="1:15" s="22" customFormat="1" ht="30" hidden="1" customHeight="1">
      <c r="A45" s="28">
        <v>38</v>
      </c>
      <c r="B45" s="12" t="s">
        <v>373</v>
      </c>
      <c r="C45" s="19">
        <v>30002614</v>
      </c>
      <c r="D45" s="133" t="s">
        <v>480</v>
      </c>
      <c r="E45" s="134" t="s">
        <v>14</v>
      </c>
      <c r="F45" s="135">
        <f>IFERROR(VLOOKUP(C45,[1]Sheet1!$A$1:$D$65536,3,0)/K45,"")</f>
        <v>5.9682000000000004</v>
      </c>
      <c r="G45" s="134" t="s">
        <v>515</v>
      </c>
      <c r="H45" s="10"/>
      <c r="I45" s="10"/>
      <c r="J45" s="56">
        <f t="shared" si="27"/>
        <v>0</v>
      </c>
      <c r="K45" s="5">
        <v>10</v>
      </c>
      <c r="L45" s="11" t="s">
        <v>525</v>
      </c>
      <c r="M45" s="146">
        <v>3400</v>
      </c>
      <c r="N45" s="147">
        <f>M45*J45</f>
        <v>0</v>
      </c>
    </row>
    <row r="46" spans="1:15" s="22" customFormat="1" ht="30" hidden="1" customHeight="1">
      <c r="A46" s="28">
        <v>39</v>
      </c>
      <c r="B46" s="12" t="s">
        <v>373</v>
      </c>
      <c r="C46" s="19">
        <v>30000376</v>
      </c>
      <c r="D46" s="133" t="s">
        <v>532</v>
      </c>
      <c r="E46" s="134" t="s">
        <v>14</v>
      </c>
      <c r="F46" s="135">
        <f>IFERROR(VLOOKUP(C46,[1]Sheet1!$A$1:$D$65536,3,0)/K46,"")</f>
        <v>3.2648000000000001</v>
      </c>
      <c r="G46" s="134" t="s">
        <v>515</v>
      </c>
      <c r="H46" s="10"/>
      <c r="I46" s="10"/>
      <c r="J46" s="56">
        <f t="shared" si="27"/>
        <v>0</v>
      </c>
      <c r="K46" s="5">
        <v>10</v>
      </c>
      <c r="L46" s="11" t="s">
        <v>188</v>
      </c>
      <c r="M46" s="146">
        <v>6300</v>
      </c>
      <c r="N46" s="147">
        <f t="shared" ref="N46" si="28">M46*J46</f>
        <v>0</v>
      </c>
    </row>
    <row r="47" spans="1:15" ht="30" hidden="1" customHeight="1">
      <c r="A47" s="28">
        <v>40</v>
      </c>
      <c r="B47" s="18" t="s">
        <v>825</v>
      </c>
      <c r="C47" s="81">
        <v>30003555</v>
      </c>
      <c r="D47" s="1" t="s">
        <v>604</v>
      </c>
      <c r="E47" s="5" t="s">
        <v>14</v>
      </c>
      <c r="F47" s="20">
        <f>IFERROR(VLOOKUP(C47,[1]Sheet1!$A$1:$D$65536,3,0)/K47,"")</f>
        <v>9.7599999999999992E-2</v>
      </c>
      <c r="G47" s="5"/>
      <c r="H47" s="10"/>
      <c r="I47" s="10"/>
      <c r="J47" s="56">
        <f t="shared" si="27"/>
        <v>0</v>
      </c>
      <c r="K47" s="5">
        <v>5</v>
      </c>
      <c r="L47" s="11" t="s">
        <v>103</v>
      </c>
      <c r="M47" s="146">
        <v>14550</v>
      </c>
      <c r="N47" s="147">
        <f t="shared" ref="N47:N48" si="29">M47*J47</f>
        <v>0</v>
      </c>
      <c r="O47" s="21" t="s">
        <v>707</v>
      </c>
    </row>
    <row r="48" spans="1:15" ht="30" hidden="1" customHeight="1">
      <c r="A48" s="28">
        <v>41</v>
      </c>
      <c r="B48" s="18" t="s">
        <v>825</v>
      </c>
      <c r="C48" s="81">
        <v>30003612</v>
      </c>
      <c r="D48" s="1" t="s">
        <v>737</v>
      </c>
      <c r="E48" s="5" t="s">
        <v>14</v>
      </c>
      <c r="F48" s="20">
        <f>IFERROR(VLOOKUP(C48,[1]Sheet1!$A$1:$D$65536,3,0)/K48,"")</f>
        <v>9.1200000000000003E-2</v>
      </c>
      <c r="G48" s="5"/>
      <c r="H48" s="10"/>
      <c r="I48" s="10"/>
      <c r="J48" s="56">
        <f t="shared" si="27"/>
        <v>0</v>
      </c>
      <c r="K48" s="5">
        <v>5</v>
      </c>
      <c r="L48" s="11" t="s">
        <v>728</v>
      </c>
      <c r="M48" s="146">
        <v>14700</v>
      </c>
      <c r="N48" s="147">
        <f t="shared" si="29"/>
        <v>0</v>
      </c>
    </row>
    <row r="49" spans="1:15" ht="30" hidden="1" customHeight="1">
      <c r="A49" s="28">
        <v>42</v>
      </c>
      <c r="B49" s="18" t="s">
        <v>825</v>
      </c>
      <c r="C49" s="81">
        <v>30003465</v>
      </c>
      <c r="D49" s="1" t="s">
        <v>539</v>
      </c>
      <c r="E49" s="5" t="s">
        <v>14</v>
      </c>
      <c r="F49" s="100">
        <f>IFERROR(VLOOKUP(C49,[1]Sheet1!$A$1:$D$65536,3,0)/K49,"")</f>
        <v>0.3926</v>
      </c>
      <c r="G49" s="5"/>
      <c r="H49" s="10"/>
      <c r="I49" s="10"/>
      <c r="J49" s="56">
        <f t="shared" si="27"/>
        <v>0</v>
      </c>
      <c r="K49" s="5">
        <v>5</v>
      </c>
      <c r="L49" s="11" t="s">
        <v>668</v>
      </c>
      <c r="M49" s="146">
        <f>4500*3</f>
        <v>13500</v>
      </c>
      <c r="N49" s="147">
        <f t="shared" ref="N49" si="30">M49*J49</f>
        <v>0</v>
      </c>
      <c r="O49" s="21" t="s">
        <v>708</v>
      </c>
    </row>
    <row r="50" spans="1:15" ht="30" hidden="1" customHeight="1">
      <c r="A50" s="28">
        <v>43</v>
      </c>
      <c r="B50" s="18" t="s">
        <v>825</v>
      </c>
      <c r="C50" s="81">
        <v>30003064</v>
      </c>
      <c r="D50" s="51" t="s">
        <v>871</v>
      </c>
      <c r="E50" s="47" t="s">
        <v>14</v>
      </c>
      <c r="F50" s="98"/>
      <c r="G50" s="47"/>
      <c r="H50" s="10"/>
      <c r="I50" s="10"/>
      <c r="J50" s="56">
        <f t="shared" si="27"/>
        <v>0</v>
      </c>
      <c r="K50" s="5">
        <v>5</v>
      </c>
      <c r="L50" s="11" t="s">
        <v>596</v>
      </c>
      <c r="M50" s="146">
        <f>4900*3</f>
        <v>14700</v>
      </c>
      <c r="N50" s="147">
        <f>M50*J50</f>
        <v>0</v>
      </c>
    </row>
    <row r="51" spans="1:15" ht="30" customHeight="1">
      <c r="A51" s="28">
        <v>44</v>
      </c>
      <c r="B51" s="18" t="s">
        <v>1025</v>
      </c>
      <c r="C51" s="81">
        <v>50000051</v>
      </c>
      <c r="D51" s="1" t="s">
        <v>1026</v>
      </c>
      <c r="E51" s="5" t="s">
        <v>12</v>
      </c>
      <c r="F51" s="20"/>
      <c r="G51" s="5"/>
      <c r="H51" s="10">
        <v>2</v>
      </c>
      <c r="I51" s="10">
        <v>16</v>
      </c>
      <c r="J51" s="56">
        <f t="shared" si="27"/>
        <v>36</v>
      </c>
      <c r="K51" s="5">
        <v>10</v>
      </c>
      <c r="L51" s="11"/>
      <c r="M51" s="191">
        <v>2230</v>
      </c>
      <c r="N51" s="147"/>
    </row>
    <row r="52" spans="1:15" ht="30" customHeight="1">
      <c r="A52" s="28">
        <v>45</v>
      </c>
      <c r="B52" s="18"/>
      <c r="C52" s="81"/>
      <c r="D52" s="1"/>
      <c r="E52" s="5"/>
      <c r="F52" s="20"/>
      <c r="G52" s="5"/>
      <c r="H52" s="10"/>
      <c r="I52" s="10"/>
      <c r="J52" s="56"/>
      <c r="K52" s="5"/>
      <c r="L52" s="11"/>
      <c r="M52" s="191"/>
      <c r="N52" s="147"/>
    </row>
    <row r="53" spans="1:15" ht="30" customHeight="1">
      <c r="A53" s="28">
        <v>46</v>
      </c>
      <c r="B53" s="18"/>
      <c r="C53" s="81"/>
      <c r="D53" s="1"/>
      <c r="E53" s="5"/>
      <c r="F53" s="20"/>
      <c r="G53" s="5"/>
      <c r="H53" s="10"/>
      <c r="I53" s="10"/>
      <c r="J53" s="56"/>
      <c r="K53" s="5"/>
      <c r="L53" s="11"/>
      <c r="M53" s="191"/>
      <c r="N53" s="147"/>
    </row>
    <row r="54" spans="1:15" ht="30" customHeight="1">
      <c r="A54" s="28"/>
      <c r="B54" s="18"/>
      <c r="C54" s="81"/>
      <c r="D54" s="1"/>
      <c r="E54" s="5"/>
      <c r="F54" s="20"/>
      <c r="G54" s="5"/>
      <c r="H54" s="10"/>
      <c r="I54" s="10"/>
      <c r="J54" s="56"/>
      <c r="K54" s="5"/>
      <c r="L54" s="11"/>
      <c r="M54" s="191"/>
      <c r="N54" s="147"/>
    </row>
    <row r="55" spans="1:15" s="43" customFormat="1" ht="30" customHeight="1">
      <c r="A55" s="28">
        <v>26</v>
      </c>
      <c r="B55" s="5" t="s">
        <v>50</v>
      </c>
      <c r="C55" s="81">
        <v>30002555</v>
      </c>
      <c r="D55" s="51" t="s">
        <v>886</v>
      </c>
      <c r="E55" s="47" t="s">
        <v>14</v>
      </c>
      <c r="F55" s="98">
        <v>3.8</v>
      </c>
      <c r="G55" s="47"/>
      <c r="H55" s="10"/>
      <c r="I55" s="10"/>
      <c r="J55" s="56">
        <f>H55*K55+I55</f>
        <v>0</v>
      </c>
      <c r="K55" s="5">
        <v>10</v>
      </c>
      <c r="L55" s="11" t="s">
        <v>80</v>
      </c>
      <c r="M55" s="146">
        <v>4300</v>
      </c>
      <c r="N55" s="147">
        <f>M55*J55</f>
        <v>0</v>
      </c>
    </row>
    <row r="56" spans="1:15" s="43" customFormat="1" ht="30" customHeight="1">
      <c r="A56" s="28">
        <v>25</v>
      </c>
      <c r="B56" s="5" t="s">
        <v>50</v>
      </c>
      <c r="C56" s="81">
        <v>30002555</v>
      </c>
      <c r="D56" s="51" t="s">
        <v>203</v>
      </c>
      <c r="E56" s="47" t="s">
        <v>14</v>
      </c>
      <c r="F56" s="98">
        <f>IFERROR(VLOOKUP(C56,[1]Sheet1!$A$1:$D$65536,3,0)/K56,"")</f>
        <v>4.9515000000000002</v>
      </c>
      <c r="G56" s="47"/>
      <c r="H56" s="10">
        <v>6</v>
      </c>
      <c r="I56" s="10"/>
      <c r="J56" s="56">
        <f>H56*K56+I56</f>
        <v>60</v>
      </c>
      <c r="K56" s="5">
        <v>10</v>
      </c>
      <c r="L56" s="11" t="s">
        <v>80</v>
      </c>
      <c r="M56" s="146">
        <v>4300</v>
      </c>
      <c r="N56" s="147">
        <f>M56*J56</f>
        <v>258000</v>
      </c>
    </row>
    <row r="57" spans="1:15" ht="30" customHeight="1">
      <c r="A57" s="28"/>
      <c r="B57" s="18"/>
      <c r="C57" s="81"/>
      <c r="D57" s="1"/>
      <c r="E57" s="5"/>
      <c r="F57" s="20"/>
      <c r="G57" s="5"/>
      <c r="H57" s="10"/>
      <c r="I57" s="10"/>
      <c r="J57" s="56"/>
      <c r="K57" s="5"/>
      <c r="L57" s="11"/>
      <c r="M57" s="191"/>
      <c r="N57" s="147"/>
    </row>
    <row r="58" spans="1:15" ht="30" customHeight="1">
      <c r="A58" s="26">
        <v>48</v>
      </c>
      <c r="B58" s="5" t="s">
        <v>256</v>
      </c>
      <c r="C58" s="81"/>
      <c r="D58" s="117" t="s">
        <v>530</v>
      </c>
      <c r="E58" s="118" t="s">
        <v>10</v>
      </c>
      <c r="F58" s="112" t="str">
        <f>IFERROR(VLOOKUP(C58,[1]Sheet1!$A$1:$D$65536,3,0)/K58,"")</f>
        <v/>
      </c>
      <c r="G58" s="118" t="s">
        <v>264</v>
      </c>
      <c r="H58" s="170"/>
      <c r="I58" s="170"/>
      <c r="J58" s="56">
        <f>H58*K58+I58</f>
        <v>0</v>
      </c>
      <c r="K58" s="5">
        <v>1</v>
      </c>
      <c r="L58" s="11" t="s">
        <v>83</v>
      </c>
      <c r="M58" s="191">
        <v>42600</v>
      </c>
      <c r="N58" s="147">
        <f>M58*J58</f>
        <v>0</v>
      </c>
    </row>
    <row r="59" spans="1:15" s="23" customFormat="1" ht="30" customHeight="1">
      <c r="A59" s="28">
        <v>49</v>
      </c>
      <c r="B59" s="18" t="s">
        <v>488</v>
      </c>
      <c r="C59" s="151"/>
      <c r="D59" s="167" t="s">
        <v>543</v>
      </c>
      <c r="E59" s="118" t="s">
        <v>14</v>
      </c>
      <c r="F59" s="112" t="str">
        <f>IFERROR(VLOOKUP(C59,[1]Sheet1!$A$1:$D$65536,3,0)/K59,"")</f>
        <v/>
      </c>
      <c r="G59" s="111" t="s">
        <v>497</v>
      </c>
      <c r="H59" s="153"/>
      <c r="I59" s="200"/>
      <c r="J59" s="57">
        <f>H59*K59+I59</f>
        <v>0</v>
      </c>
      <c r="K59" s="5">
        <v>1</v>
      </c>
      <c r="L59" s="11"/>
      <c r="M59" s="209">
        <v>7309.1</v>
      </c>
      <c r="N59" s="147">
        <f t="shared" ref="N59:N65" si="31">M59*J59</f>
        <v>0</v>
      </c>
    </row>
    <row r="60" spans="1:15" s="23" customFormat="1" ht="30" customHeight="1">
      <c r="A60" s="26">
        <v>50</v>
      </c>
      <c r="B60" s="18" t="s">
        <v>20</v>
      </c>
      <c r="C60" s="151"/>
      <c r="D60" s="167" t="s">
        <v>551</v>
      </c>
      <c r="E60" s="118" t="s">
        <v>14</v>
      </c>
      <c r="F60" s="112" t="str">
        <f>IFERROR(VLOOKUP(C60,[1]Sheet1!$A$1:$D$65536,3,0)/K60,"")</f>
        <v/>
      </c>
      <c r="G60" s="111" t="s">
        <v>497</v>
      </c>
      <c r="H60" s="10"/>
      <c r="I60" s="200"/>
      <c r="J60" s="57">
        <f>H60*K60+I60</f>
        <v>0</v>
      </c>
      <c r="K60" s="5">
        <v>5</v>
      </c>
      <c r="L60" s="11"/>
      <c r="M60" s="169">
        <f>63200/5</f>
        <v>12640</v>
      </c>
      <c r="N60" s="147">
        <f t="shared" si="31"/>
        <v>0</v>
      </c>
    </row>
    <row r="61" spans="1:15" s="23" customFormat="1" ht="30" customHeight="1">
      <c r="A61" s="28">
        <v>51</v>
      </c>
      <c r="B61" s="18" t="s">
        <v>274</v>
      </c>
      <c r="C61" s="151"/>
      <c r="D61" s="167" t="s">
        <v>564</v>
      </c>
      <c r="E61" s="118" t="s">
        <v>542</v>
      </c>
      <c r="F61" s="112" t="str">
        <f>IFERROR(VLOOKUP(C61,[1]Sheet1!$A$1:$D$65536,3,0)/K61,"")</f>
        <v/>
      </c>
      <c r="G61" s="111" t="s">
        <v>497</v>
      </c>
      <c r="H61" s="171"/>
      <c r="I61" s="171"/>
      <c r="J61" s="57">
        <f>H61*K61+I61</f>
        <v>0</v>
      </c>
      <c r="K61" s="5">
        <v>20</v>
      </c>
      <c r="L61" s="11"/>
      <c r="M61" s="169">
        <v>4310</v>
      </c>
      <c r="N61" s="147">
        <f t="shared" si="31"/>
        <v>0</v>
      </c>
    </row>
    <row r="62" spans="1:15" ht="30" customHeight="1">
      <c r="A62" s="26">
        <v>52</v>
      </c>
      <c r="B62" s="5" t="s">
        <v>13</v>
      </c>
      <c r="C62" s="81"/>
      <c r="D62" s="117" t="s">
        <v>498</v>
      </c>
      <c r="E62" s="118" t="s">
        <v>10</v>
      </c>
      <c r="F62" s="112" t="str">
        <f>IFERROR(VLOOKUP(C62,[1]Sheet1!$A$1:$D$65536,3,0)/K62,"")</f>
        <v/>
      </c>
      <c r="G62" s="118" t="s">
        <v>499</v>
      </c>
      <c r="H62" s="171"/>
      <c r="I62" s="171"/>
      <c r="J62" s="56">
        <f t="shared" ref="J62" si="32">H62*K62+I62</f>
        <v>0</v>
      </c>
      <c r="K62" s="5">
        <v>6</v>
      </c>
      <c r="L62" s="11"/>
      <c r="M62" s="146">
        <v>12600</v>
      </c>
      <c r="N62" s="147">
        <f t="shared" si="31"/>
        <v>0</v>
      </c>
    </row>
    <row r="63" spans="1:15" ht="30" customHeight="1">
      <c r="A63" s="28">
        <v>53</v>
      </c>
      <c r="B63" s="5" t="s">
        <v>13</v>
      </c>
      <c r="C63" s="81"/>
      <c r="D63" s="117" t="s">
        <v>483</v>
      </c>
      <c r="E63" s="118" t="s">
        <v>10</v>
      </c>
      <c r="F63" s="112" t="str">
        <f>IFERROR(VLOOKUP(C63,[1]Sheet1!$A$1:$D$65536,3,0)/K63,"")</f>
        <v/>
      </c>
      <c r="G63" s="118" t="s">
        <v>497</v>
      </c>
      <c r="H63" s="171"/>
      <c r="I63" s="171"/>
      <c r="J63" s="56">
        <f>H63*K63+I63</f>
        <v>0</v>
      </c>
      <c r="K63" s="5">
        <v>3</v>
      </c>
      <c r="L63" s="11"/>
      <c r="M63" s="146">
        <v>20830</v>
      </c>
      <c r="N63" s="147">
        <f t="shared" si="31"/>
        <v>0</v>
      </c>
    </row>
    <row r="64" spans="1:15" ht="30" customHeight="1">
      <c r="A64" s="26">
        <v>54</v>
      </c>
      <c r="B64" s="5" t="s">
        <v>500</v>
      </c>
      <c r="C64" s="81"/>
      <c r="D64" s="117" t="s">
        <v>501</v>
      </c>
      <c r="E64" s="118" t="s">
        <v>63</v>
      </c>
      <c r="F64" s="112" t="str">
        <f>IFERROR(VLOOKUP(C64,[1]Sheet1!$A$1:$D$65536,3,0)/K64,"")</f>
        <v/>
      </c>
      <c r="G64" s="118" t="s">
        <v>264</v>
      </c>
      <c r="H64" s="153"/>
      <c r="I64" s="153"/>
      <c r="J64" s="56">
        <f>H64*K64+I64</f>
        <v>0</v>
      </c>
      <c r="K64" s="5">
        <v>16</v>
      </c>
      <c r="L64" s="11"/>
      <c r="M64" s="146">
        <v>7760</v>
      </c>
      <c r="N64" s="147">
        <f t="shared" si="31"/>
        <v>0</v>
      </c>
    </row>
    <row r="65" spans="1:15" ht="30" customHeight="1">
      <c r="A65" s="28">
        <v>55</v>
      </c>
      <c r="B65" s="5" t="s">
        <v>256</v>
      </c>
      <c r="C65" s="81"/>
      <c r="D65" s="117" t="s">
        <v>486</v>
      </c>
      <c r="E65" s="118" t="s">
        <v>63</v>
      </c>
      <c r="F65" s="112" t="str">
        <f>IFERROR(VLOOKUP(C65,[1]Sheet1!$A$1:$D$65536,3,0)/K65,"")</f>
        <v/>
      </c>
      <c r="G65" s="118" t="s">
        <v>487</v>
      </c>
      <c r="H65" s="170"/>
      <c r="I65" s="170"/>
      <c r="J65" s="56">
        <f>H65*K65+I65</f>
        <v>0</v>
      </c>
      <c r="K65" s="5">
        <v>2</v>
      </c>
      <c r="L65" s="11"/>
      <c r="M65" s="146">
        <v>0</v>
      </c>
      <c r="N65" s="147">
        <f t="shared" si="31"/>
        <v>0</v>
      </c>
    </row>
    <row r="66" spans="1:15" ht="30" customHeight="1">
      <c r="A66" s="28">
        <v>18</v>
      </c>
      <c r="B66" s="5" t="s">
        <v>675</v>
      </c>
      <c r="C66" s="81">
        <v>30003582</v>
      </c>
      <c r="D66" s="1" t="s">
        <v>846</v>
      </c>
      <c r="E66" s="5" t="s">
        <v>10</v>
      </c>
      <c r="F66" s="98"/>
      <c r="G66" s="5"/>
      <c r="H66" s="10">
        <v>1</v>
      </c>
      <c r="I66" s="10">
        <v>9</v>
      </c>
      <c r="J66" s="56">
        <f>H66*K66+I66</f>
        <v>13</v>
      </c>
      <c r="K66" s="5">
        <v>4</v>
      </c>
      <c r="L66" s="11" t="s">
        <v>188</v>
      </c>
      <c r="M66" s="191">
        <v>3950</v>
      </c>
      <c r="N66" s="147">
        <f t="shared" ref="N66" si="33">M66*J66</f>
        <v>51350</v>
      </c>
      <c r="O66" s="21" t="s">
        <v>710</v>
      </c>
    </row>
    <row r="67" spans="1:15" ht="30" customHeight="1">
      <c r="A67" s="26"/>
      <c r="B67" s="5" t="s">
        <v>20</v>
      </c>
      <c r="C67" s="81">
        <v>30003344</v>
      </c>
      <c r="D67" s="199" t="s">
        <v>320</v>
      </c>
      <c r="E67" s="5" t="s">
        <v>14</v>
      </c>
      <c r="F67" s="100" t="str">
        <f>IFERROR(VLOOKUP(C67,[2]Sheet1!$A$1:$D$65536,3,0)/K67,"")</f>
        <v/>
      </c>
      <c r="G67" s="187" t="s">
        <v>738</v>
      </c>
      <c r="H67" s="10"/>
      <c r="I67" s="10"/>
      <c r="J67" s="56">
        <f t="shared" ref="J67" si="34">H67*K67+I67</f>
        <v>0</v>
      </c>
      <c r="K67" s="5">
        <v>5</v>
      </c>
      <c r="L67" s="11" t="s">
        <v>80</v>
      </c>
      <c r="M67" s="191">
        <v>8910</v>
      </c>
      <c r="N67" s="147">
        <f t="shared" ref="N67" si="35">M67*J67</f>
        <v>0</v>
      </c>
    </row>
    <row r="68" spans="1:15" ht="30" customHeight="1">
      <c r="A68" s="26"/>
      <c r="B68" s="5" t="s">
        <v>259</v>
      </c>
      <c r="C68" s="81">
        <v>30003583</v>
      </c>
      <c r="D68" s="199" t="s">
        <v>678</v>
      </c>
      <c r="E68" s="5" t="s">
        <v>10</v>
      </c>
      <c r="F68" s="98" t="str">
        <f>IFERROR(VLOOKUP(C68,[2]Sheet1!$A$1:$D$65536,3,0)/K68,"")</f>
        <v/>
      </c>
      <c r="G68" s="187" t="s">
        <v>720</v>
      </c>
      <c r="H68" s="200"/>
      <c r="I68" s="200"/>
      <c r="J68" s="56">
        <f>H68*K68+I68</f>
        <v>0</v>
      </c>
      <c r="K68" s="5">
        <v>10</v>
      </c>
      <c r="L68" s="11" t="s">
        <v>677</v>
      </c>
      <c r="M68" s="191">
        <v>7425</v>
      </c>
      <c r="N68" s="147">
        <f t="shared" ref="N68" si="36">M68*J68</f>
        <v>0</v>
      </c>
      <c r="O68" s="21" t="s">
        <v>710</v>
      </c>
    </row>
    <row r="69" spans="1:15" s="43" customFormat="1" ht="30" customHeight="1">
      <c r="A69" s="26"/>
      <c r="B69" s="5" t="s">
        <v>278</v>
      </c>
      <c r="C69" s="81">
        <v>30003074</v>
      </c>
      <c r="D69" s="199" t="s">
        <v>519</v>
      </c>
      <c r="E69" s="187" t="s">
        <v>513</v>
      </c>
      <c r="F69" s="198">
        <f>IFERROR(VLOOKUP(C69,[3]Sheet1!$A$1:$D$65536,3,0)/K69,"")</f>
        <v>0.10400000000000001</v>
      </c>
      <c r="G69" s="187" t="s">
        <v>684</v>
      </c>
      <c r="H69" s="10"/>
      <c r="I69" s="200"/>
      <c r="J69" s="56">
        <f t="shared" ref="J69" si="37">H69*K69+I69</f>
        <v>0</v>
      </c>
      <c r="K69" s="5">
        <v>5</v>
      </c>
      <c r="L69" s="11" t="s">
        <v>524</v>
      </c>
      <c r="M69" s="146">
        <v>8200</v>
      </c>
      <c r="N69" s="147">
        <f t="shared" ref="N69:N75" si="38">M69*J69</f>
        <v>0</v>
      </c>
    </row>
    <row r="70" spans="1:15" s="22" customFormat="1" ht="30" customHeight="1">
      <c r="A70" s="26"/>
      <c r="B70" s="12" t="s">
        <v>373</v>
      </c>
      <c r="C70" s="82">
        <v>30002488</v>
      </c>
      <c r="D70" s="199" t="s">
        <v>98</v>
      </c>
      <c r="E70" s="187" t="s">
        <v>14</v>
      </c>
      <c r="F70" s="198">
        <f>IFERROR(VLOOKUP(C70,[3]Sheet1!$A$1:$D$65536,3,0)/K70,"")</f>
        <v>0.1449</v>
      </c>
      <c r="G70" s="187" t="s">
        <v>684</v>
      </c>
      <c r="H70" s="10"/>
      <c r="I70" s="200"/>
      <c r="J70" s="56">
        <f>H70*K70+I70</f>
        <v>0</v>
      </c>
      <c r="K70" s="5">
        <v>10</v>
      </c>
      <c r="L70" s="11" t="s">
        <v>188</v>
      </c>
      <c r="M70" s="146">
        <v>5800</v>
      </c>
      <c r="N70" s="147">
        <f t="shared" si="38"/>
        <v>0</v>
      </c>
    </row>
    <row r="71" spans="1:15" s="22" customFormat="1" ht="30" customHeight="1">
      <c r="A71" s="26"/>
      <c r="B71" s="12" t="s">
        <v>221</v>
      </c>
      <c r="C71" s="82">
        <v>30003468</v>
      </c>
      <c r="D71" s="199" t="s">
        <v>517</v>
      </c>
      <c r="E71" s="187" t="s">
        <v>14</v>
      </c>
      <c r="F71" s="198">
        <f>IFERROR(VLOOKUP(C71,[3]Sheet1!$A$1:$D$65536,3,0)/K71,"")</f>
        <v>0.31880000000000003</v>
      </c>
      <c r="G71" s="187" t="s">
        <v>684</v>
      </c>
      <c r="H71" s="200"/>
      <c r="I71" s="200"/>
      <c r="J71" s="56">
        <f t="shared" ref="J71" si="39">H71*K71+I71</f>
        <v>0</v>
      </c>
      <c r="K71" s="5">
        <v>5</v>
      </c>
      <c r="L71" s="11" t="s">
        <v>524</v>
      </c>
      <c r="M71" s="146">
        <v>7000</v>
      </c>
      <c r="N71" s="147">
        <f t="shared" si="38"/>
        <v>0</v>
      </c>
    </row>
    <row r="72" spans="1:15" s="22" customFormat="1" ht="30" customHeight="1">
      <c r="A72" s="26"/>
      <c r="B72" s="12" t="s">
        <v>221</v>
      </c>
      <c r="C72" s="82">
        <v>30003467</v>
      </c>
      <c r="D72" s="199" t="s">
        <v>518</v>
      </c>
      <c r="E72" s="187" t="s">
        <v>14</v>
      </c>
      <c r="F72" s="198">
        <f>IFERROR(VLOOKUP(C72,[3]Sheet1!$A$1:$D$65536,3,0)/K72,"")</f>
        <v>0.161</v>
      </c>
      <c r="G72" s="187" t="s">
        <v>684</v>
      </c>
      <c r="H72" s="200"/>
      <c r="I72" s="200"/>
      <c r="J72" s="56">
        <f>H72*K72+I72</f>
        <v>0</v>
      </c>
      <c r="K72" s="5">
        <v>4</v>
      </c>
      <c r="L72" s="11" t="s">
        <v>524</v>
      </c>
      <c r="M72" s="146">
        <v>14400</v>
      </c>
      <c r="N72" s="147">
        <f t="shared" si="38"/>
        <v>0</v>
      </c>
    </row>
    <row r="73" spans="1:15" ht="30" customHeight="1">
      <c r="A73" s="26"/>
      <c r="B73" s="5" t="s">
        <v>411</v>
      </c>
      <c r="C73" s="81">
        <v>30000096</v>
      </c>
      <c r="D73" s="199" t="s">
        <v>192</v>
      </c>
      <c r="E73" s="5" t="s">
        <v>190</v>
      </c>
      <c r="F73" s="98">
        <f>IFERROR(VLOOKUP(C73,[3]Sheet1!$A$1:$D$65536,3,0)/K73,"")</f>
        <v>1.1134999999999999</v>
      </c>
      <c r="G73" s="187" t="s">
        <v>697</v>
      </c>
      <c r="H73" s="200"/>
      <c r="I73" s="10"/>
      <c r="J73" s="56">
        <f>H73*K73+I73</f>
        <v>0</v>
      </c>
      <c r="K73" s="5">
        <v>2</v>
      </c>
      <c r="L73" s="11" t="s">
        <v>83</v>
      </c>
      <c r="M73" s="146">
        <v>31000</v>
      </c>
      <c r="N73" s="147">
        <f t="shared" si="38"/>
        <v>0</v>
      </c>
    </row>
    <row r="74" spans="1:15" ht="30" customHeight="1">
      <c r="A74" s="26"/>
      <c r="B74" s="5" t="s">
        <v>49</v>
      </c>
      <c r="C74" s="81">
        <v>30002467</v>
      </c>
      <c r="D74" s="125" t="s">
        <v>93</v>
      </c>
      <c r="E74" s="5" t="s">
        <v>14</v>
      </c>
      <c r="F74" s="98">
        <f>IFERROR(VLOOKUP(C74,[3]Sheet1!$A$1:$D$65536,3,0)/K74,"")</f>
        <v>3.1755</v>
      </c>
      <c r="G74" s="187" t="s">
        <v>697</v>
      </c>
      <c r="H74" s="200"/>
      <c r="I74" s="200"/>
      <c r="J74" s="56">
        <f>H74*K74+I74</f>
        <v>0</v>
      </c>
      <c r="K74" s="5">
        <v>2</v>
      </c>
      <c r="L74" s="11" t="s">
        <v>82</v>
      </c>
      <c r="M74" s="146">
        <v>38000</v>
      </c>
      <c r="N74" s="147">
        <f t="shared" si="38"/>
        <v>0</v>
      </c>
    </row>
    <row r="75" spans="1:15" ht="30" customHeight="1">
      <c r="A75" s="26"/>
      <c r="B75" s="5" t="s">
        <v>337</v>
      </c>
      <c r="C75" s="81">
        <v>30003563</v>
      </c>
      <c r="D75" s="199" t="s">
        <v>640</v>
      </c>
      <c r="E75" s="187" t="s">
        <v>195</v>
      </c>
      <c r="F75" s="198">
        <f>IFERROR(VLOOKUP(C75,[4]Sheet1!$A$1:$D$65536,3,0)/K75,"")</f>
        <v>3.8031250000000001</v>
      </c>
      <c r="G75" s="187" t="s">
        <v>665</v>
      </c>
      <c r="H75" s="10"/>
      <c r="I75" s="10"/>
      <c r="J75" s="56">
        <f>H75*K75+I75</f>
        <v>0</v>
      </c>
      <c r="K75" s="5">
        <v>8</v>
      </c>
      <c r="L75" s="11" t="s">
        <v>80</v>
      </c>
      <c r="M75" s="146">
        <v>5000</v>
      </c>
      <c r="N75" s="147">
        <f t="shared" si="38"/>
        <v>0</v>
      </c>
    </row>
    <row r="76" spans="1:15" s="22" customFormat="1" ht="30" customHeight="1">
      <c r="A76" s="26"/>
      <c r="B76" s="12" t="s">
        <v>221</v>
      </c>
      <c r="C76" s="82">
        <v>30003020</v>
      </c>
      <c r="D76" s="199" t="s">
        <v>641</v>
      </c>
      <c r="E76" s="187" t="s">
        <v>14</v>
      </c>
      <c r="F76" s="198">
        <f>IFERROR(VLOOKUP(C76,[4]Sheet1!$A$1:$D$65536,3,0)/K76,"")</f>
        <v>1.1439999999999999</v>
      </c>
      <c r="G76" s="187" t="s">
        <v>665</v>
      </c>
      <c r="H76" s="10"/>
      <c r="I76" s="10"/>
      <c r="J76" s="56">
        <f t="shared" ref="J76" si="40">H76*K76+I76</f>
        <v>0</v>
      </c>
      <c r="K76" s="5">
        <v>5</v>
      </c>
      <c r="L76" s="11" t="s">
        <v>642</v>
      </c>
      <c r="M76" s="146">
        <v>9900</v>
      </c>
      <c r="N76" s="147">
        <f t="shared" ref="N76" si="41">M76*J76</f>
        <v>0</v>
      </c>
    </row>
    <row r="77" spans="1:15" s="22" customFormat="1" ht="30" customHeight="1">
      <c r="A77" s="26"/>
      <c r="B77" s="12" t="s">
        <v>364</v>
      </c>
      <c r="C77" s="82">
        <v>30003352</v>
      </c>
      <c r="D77" s="199" t="s">
        <v>514</v>
      </c>
      <c r="E77" s="187" t="s">
        <v>14</v>
      </c>
      <c r="F77" s="198">
        <f>IFERROR(VLOOKUP(C77,[4]Sheet1!$A$1:$D$65536,3,0)/K77,"")</f>
        <v>1.9416666666666667</v>
      </c>
      <c r="G77" s="187" t="s">
        <v>660</v>
      </c>
      <c r="H77" s="10"/>
      <c r="I77" s="10"/>
      <c r="J77" s="56">
        <f>H77*K77+I77</f>
        <v>0</v>
      </c>
      <c r="K77" s="5">
        <v>12</v>
      </c>
      <c r="L77" s="11" t="s">
        <v>525</v>
      </c>
      <c r="M77" s="191">
        <v>5330</v>
      </c>
      <c r="N77" s="147">
        <f>M77*J77</f>
        <v>0</v>
      </c>
    </row>
    <row r="78" spans="1:15" s="43" customFormat="1" ht="30" customHeight="1">
      <c r="A78" s="26"/>
      <c r="B78" s="5" t="s">
        <v>50</v>
      </c>
      <c r="C78" s="81">
        <v>30003566</v>
      </c>
      <c r="D78" s="199" t="s">
        <v>643</v>
      </c>
      <c r="E78" s="187" t="s">
        <v>14</v>
      </c>
      <c r="F78" s="198">
        <f>IFERROR(VLOOKUP(C78,[4]Sheet1!$A$1:$D$65536,3,0)/K78,"")</f>
        <v>3.5750000000000002</v>
      </c>
      <c r="G78" s="187" t="s">
        <v>665</v>
      </c>
      <c r="H78" s="10"/>
      <c r="I78" s="10"/>
      <c r="J78" s="56">
        <f t="shared" ref="J78" si="42">H78*K78+I78</f>
        <v>0</v>
      </c>
      <c r="K78" s="5">
        <v>10</v>
      </c>
      <c r="L78" s="11" t="s">
        <v>80</v>
      </c>
      <c r="M78" s="146">
        <v>4300</v>
      </c>
      <c r="N78" s="147">
        <f t="shared" ref="N78" si="43">M78*J78</f>
        <v>0</v>
      </c>
    </row>
    <row r="79" spans="1:15" ht="30" customHeight="1">
      <c r="A79" s="26"/>
      <c r="B79" s="5" t="s">
        <v>494</v>
      </c>
      <c r="C79" s="137">
        <v>30000376</v>
      </c>
      <c r="D79" s="117" t="s">
        <v>508</v>
      </c>
      <c r="E79" s="118" t="s">
        <v>10</v>
      </c>
      <c r="F79" s="112"/>
      <c r="G79" s="118" t="s">
        <v>515</v>
      </c>
      <c r="H79" s="170"/>
      <c r="I79" s="170"/>
      <c r="J79" s="56">
        <f>H79*K79+I79</f>
        <v>0</v>
      </c>
      <c r="K79" s="5">
        <v>10</v>
      </c>
      <c r="L79" s="11" t="s">
        <v>188</v>
      </c>
      <c r="M79" s="146">
        <v>5150</v>
      </c>
      <c r="N79" s="147">
        <f>M79*J79</f>
        <v>0</v>
      </c>
    </row>
    <row r="80" spans="1:15" ht="30" customHeight="1">
      <c r="A80" s="26"/>
      <c r="B80" s="5" t="s">
        <v>49</v>
      </c>
      <c r="C80" s="81">
        <v>30003459</v>
      </c>
      <c r="D80" s="125" t="s">
        <v>471</v>
      </c>
      <c r="E80" s="187" t="s">
        <v>472</v>
      </c>
      <c r="F80" s="188"/>
      <c r="G80" s="187" t="s">
        <v>648</v>
      </c>
      <c r="H80" s="153"/>
      <c r="I80" s="10"/>
      <c r="J80" s="56">
        <f>H80*K80+I80</f>
        <v>0</v>
      </c>
      <c r="K80" s="5">
        <v>2</v>
      </c>
      <c r="L80" s="11" t="s">
        <v>473</v>
      </c>
      <c r="M80" s="146">
        <v>35000</v>
      </c>
      <c r="N80" s="147">
        <f>M80*J80</f>
        <v>0</v>
      </c>
    </row>
    <row r="81" spans="1:14" ht="30" customHeight="1">
      <c r="A81" s="26"/>
      <c r="B81" s="5" t="s">
        <v>53</v>
      </c>
      <c r="C81" s="81">
        <v>30002318</v>
      </c>
      <c r="D81" s="51" t="s">
        <v>246</v>
      </c>
      <c r="E81" s="47" t="s">
        <v>11</v>
      </c>
      <c r="F81" s="98"/>
      <c r="G81" s="47"/>
      <c r="H81" s="10"/>
      <c r="I81" s="10"/>
      <c r="J81" s="56">
        <f t="shared" ref="J81:J85" si="44">H81*K81+I81</f>
        <v>0</v>
      </c>
      <c r="K81" s="5">
        <v>4</v>
      </c>
      <c r="L81" s="11" t="s">
        <v>247</v>
      </c>
      <c r="M81" s="146">
        <v>5350</v>
      </c>
      <c r="N81" s="147">
        <f>M81*J81</f>
        <v>0</v>
      </c>
    </row>
    <row r="82" spans="1:14" ht="30" customHeight="1">
      <c r="A82" s="26"/>
      <c r="B82" s="18" t="s">
        <v>259</v>
      </c>
      <c r="C82" s="81">
        <v>30003311</v>
      </c>
      <c r="D82" s="155" t="s">
        <v>309</v>
      </c>
      <c r="E82" s="156" t="s">
        <v>11</v>
      </c>
      <c r="F82" s="174"/>
      <c r="G82" s="156" t="s">
        <v>627</v>
      </c>
      <c r="H82" s="10"/>
      <c r="I82" s="10"/>
      <c r="J82" s="56">
        <f t="shared" ref="J82" si="45">H82*K82+I82</f>
        <v>0</v>
      </c>
      <c r="K82" s="5">
        <v>10</v>
      </c>
      <c r="L82" s="11"/>
      <c r="M82" s="146">
        <v>5445</v>
      </c>
      <c r="N82" s="147">
        <f t="shared" ref="N82" si="46">M82*J82</f>
        <v>0</v>
      </c>
    </row>
    <row r="83" spans="1:14" ht="30" customHeight="1">
      <c r="A83" s="26"/>
      <c r="B83" s="5" t="s">
        <v>51</v>
      </c>
      <c r="C83" s="81"/>
      <c r="D83" s="54" t="s">
        <v>365</v>
      </c>
      <c r="E83" s="53" t="s">
        <v>12</v>
      </c>
      <c r="F83" s="102"/>
      <c r="G83" s="53" t="s">
        <v>363</v>
      </c>
      <c r="H83" s="48"/>
      <c r="I83" s="10"/>
      <c r="J83" s="56">
        <f t="shared" si="44"/>
        <v>0</v>
      </c>
      <c r="K83" s="5">
        <v>5</v>
      </c>
      <c r="L83" s="11" t="s">
        <v>81</v>
      </c>
    </row>
    <row r="84" spans="1:14" ht="30" customHeight="1">
      <c r="A84" s="26"/>
      <c r="B84" s="5" t="s">
        <v>51</v>
      </c>
      <c r="C84" s="81"/>
      <c r="D84" s="54" t="s">
        <v>213</v>
      </c>
      <c r="E84" s="53" t="s">
        <v>12</v>
      </c>
      <c r="F84" s="102"/>
      <c r="G84" s="53" t="s">
        <v>366</v>
      </c>
      <c r="H84" s="48"/>
      <c r="I84" s="10"/>
      <c r="J84" s="56">
        <f t="shared" si="44"/>
        <v>0</v>
      </c>
      <c r="K84" s="5">
        <v>5</v>
      </c>
      <c r="L84" s="11" t="s">
        <v>81</v>
      </c>
    </row>
    <row r="85" spans="1:14" ht="30" customHeight="1">
      <c r="A85" s="26"/>
      <c r="B85" s="5" t="s">
        <v>51</v>
      </c>
      <c r="C85" s="81"/>
      <c r="D85" s="54" t="s">
        <v>175</v>
      </c>
      <c r="E85" s="53" t="s">
        <v>12</v>
      </c>
      <c r="F85" s="102"/>
      <c r="G85" s="53" t="s">
        <v>390</v>
      </c>
      <c r="H85" s="10"/>
      <c r="I85" s="10"/>
      <c r="J85" s="56">
        <f t="shared" si="44"/>
        <v>0</v>
      </c>
      <c r="K85" s="5">
        <v>5</v>
      </c>
      <c r="L85" s="11" t="s">
        <v>81</v>
      </c>
    </row>
    <row r="86" spans="1:14" ht="30" customHeight="1">
      <c r="A86" s="26"/>
      <c r="B86" s="5" t="s">
        <v>50</v>
      </c>
      <c r="C86" s="81"/>
      <c r="D86" s="54" t="s">
        <v>317</v>
      </c>
      <c r="E86" s="53" t="s">
        <v>14</v>
      </c>
      <c r="F86" s="102"/>
      <c r="G86" s="53" t="s">
        <v>390</v>
      </c>
      <c r="H86" s="10"/>
      <c r="I86" s="10"/>
      <c r="J86" s="56">
        <f t="shared" ref="J86" si="47">H86*K86+I86</f>
        <v>0</v>
      </c>
      <c r="K86" s="5">
        <v>10</v>
      </c>
      <c r="L86" s="11" t="s">
        <v>80</v>
      </c>
    </row>
    <row r="87" spans="1:14" ht="30" customHeight="1">
      <c r="A87" s="26"/>
      <c r="B87" s="5" t="s">
        <v>23</v>
      </c>
      <c r="C87" s="81"/>
      <c r="D87" s="54" t="s">
        <v>286</v>
      </c>
      <c r="E87" s="53" t="s">
        <v>10</v>
      </c>
      <c r="F87" s="102"/>
      <c r="G87" s="53" t="s">
        <v>385</v>
      </c>
      <c r="H87" s="10"/>
      <c r="I87" s="10"/>
      <c r="J87" s="56">
        <f>H87*K87+I87</f>
        <v>0</v>
      </c>
      <c r="K87" s="5">
        <v>10</v>
      </c>
      <c r="L87" s="14" t="s">
        <v>81</v>
      </c>
    </row>
    <row r="88" spans="1:14" ht="30" customHeight="1">
      <c r="A88" s="26"/>
      <c r="B88" s="5" t="s">
        <v>13</v>
      </c>
      <c r="C88" s="81"/>
      <c r="D88" s="54" t="s">
        <v>174</v>
      </c>
      <c r="E88" s="53" t="s">
        <v>10</v>
      </c>
      <c r="F88" s="102"/>
      <c r="G88" s="53" t="s">
        <v>390</v>
      </c>
      <c r="H88" s="10"/>
      <c r="I88" s="10"/>
      <c r="J88" s="56">
        <f>H88*K88+I88</f>
        <v>0</v>
      </c>
      <c r="K88" s="5">
        <v>3</v>
      </c>
      <c r="L88" s="11" t="s">
        <v>188</v>
      </c>
    </row>
    <row r="89" spans="1:14" ht="30" customHeight="1">
      <c r="A89" s="26"/>
      <c r="B89" s="5" t="s">
        <v>48</v>
      </c>
      <c r="C89" s="81"/>
      <c r="D89" s="54" t="s">
        <v>211</v>
      </c>
      <c r="E89" s="53" t="s">
        <v>14</v>
      </c>
      <c r="F89" s="102"/>
      <c r="G89" s="53" t="s">
        <v>349</v>
      </c>
      <c r="H89" s="10"/>
      <c r="I89" s="10"/>
      <c r="J89" s="56">
        <f>H89*K89+I89</f>
        <v>0</v>
      </c>
      <c r="K89" s="5">
        <v>12</v>
      </c>
      <c r="L89" s="11" t="s">
        <v>80</v>
      </c>
    </row>
    <row r="90" spans="1:14" ht="30" customHeight="1">
      <c r="A90" s="26"/>
      <c r="B90" s="5" t="s">
        <v>361</v>
      </c>
      <c r="C90" s="81"/>
      <c r="D90" s="54" t="s">
        <v>360</v>
      </c>
      <c r="E90" s="53" t="s">
        <v>10</v>
      </c>
      <c r="F90" s="102"/>
      <c r="G90" s="53" t="s">
        <v>386</v>
      </c>
      <c r="H90" s="10"/>
      <c r="I90" s="10"/>
      <c r="J90" s="56">
        <f t="shared" ref="J90:J92" si="48">H90*K90+I90</f>
        <v>0</v>
      </c>
      <c r="K90" s="5">
        <v>10</v>
      </c>
      <c r="L90" s="11" t="s">
        <v>80</v>
      </c>
    </row>
    <row r="91" spans="1:14" ht="30" customHeight="1">
      <c r="A91" s="26"/>
      <c r="B91" s="5" t="s">
        <v>259</v>
      </c>
      <c r="C91" s="81"/>
      <c r="D91" s="54" t="s">
        <v>309</v>
      </c>
      <c r="E91" s="53" t="s">
        <v>10</v>
      </c>
      <c r="F91" s="102"/>
      <c r="G91" s="53" t="s">
        <v>355</v>
      </c>
      <c r="H91" s="10"/>
      <c r="I91" s="10"/>
      <c r="J91" s="56">
        <f t="shared" si="48"/>
        <v>0</v>
      </c>
      <c r="K91" s="5">
        <v>10</v>
      </c>
      <c r="L91" s="11" t="s">
        <v>80</v>
      </c>
    </row>
    <row r="92" spans="1:14" ht="30" customHeight="1">
      <c r="A92" s="26"/>
      <c r="B92" s="5" t="s">
        <v>364</v>
      </c>
      <c r="C92" s="81"/>
      <c r="D92" s="54" t="s">
        <v>362</v>
      </c>
      <c r="E92" s="53" t="s">
        <v>14</v>
      </c>
      <c r="F92" s="102"/>
      <c r="G92" s="53" t="s">
        <v>363</v>
      </c>
      <c r="H92" s="10"/>
      <c r="I92" s="10"/>
      <c r="J92" s="56">
        <f t="shared" si="48"/>
        <v>0</v>
      </c>
      <c r="K92" s="5">
        <v>12</v>
      </c>
      <c r="L92" s="11" t="s">
        <v>81</v>
      </c>
    </row>
    <row r="93" spans="1:14" ht="30" customHeight="1">
      <c r="A93" s="26"/>
      <c r="B93" s="5" t="s">
        <v>22</v>
      </c>
      <c r="C93" s="81"/>
      <c r="D93" s="54" t="s">
        <v>266</v>
      </c>
      <c r="E93" s="53" t="s">
        <v>12</v>
      </c>
      <c r="F93" s="102"/>
      <c r="G93" s="53" t="s">
        <v>385</v>
      </c>
      <c r="H93" s="10"/>
      <c r="I93" s="10"/>
      <c r="J93" s="56">
        <f t="shared" ref="J93:J94" si="49">H93*K93+I93</f>
        <v>0</v>
      </c>
      <c r="K93" s="5">
        <v>1</v>
      </c>
      <c r="L93" s="11" t="s">
        <v>80</v>
      </c>
    </row>
    <row r="94" spans="1:14" s="22" customFormat="1" ht="30" customHeight="1">
      <c r="A94" s="26"/>
      <c r="B94" s="5" t="s">
        <v>22</v>
      </c>
      <c r="C94" s="81"/>
      <c r="D94" s="54" t="s">
        <v>293</v>
      </c>
      <c r="E94" s="53" t="s">
        <v>12</v>
      </c>
      <c r="F94" s="102"/>
      <c r="G94" s="53" t="s">
        <v>62</v>
      </c>
      <c r="H94" s="10"/>
      <c r="I94" s="10"/>
      <c r="J94" s="56">
        <f t="shared" si="49"/>
        <v>0</v>
      </c>
      <c r="K94" s="5">
        <v>5</v>
      </c>
      <c r="L94" s="11" t="s">
        <v>80</v>
      </c>
      <c r="M94" s="138"/>
      <c r="N94" s="139"/>
    </row>
    <row r="95" spans="1:14" s="22" customFormat="1" ht="30" customHeight="1">
      <c r="A95" s="26"/>
      <c r="B95" s="18" t="s">
        <v>301</v>
      </c>
      <c r="C95" s="81"/>
      <c r="D95" s="54" t="s">
        <v>304</v>
      </c>
      <c r="E95" s="53" t="s">
        <v>14</v>
      </c>
      <c r="F95" s="102"/>
      <c r="G95" s="60" t="s">
        <v>354</v>
      </c>
      <c r="H95" s="15"/>
      <c r="I95" s="10"/>
      <c r="J95" s="56">
        <f>H95*K95+I95</f>
        <v>0</v>
      </c>
      <c r="K95" s="5">
        <v>20</v>
      </c>
      <c r="L95" s="5" t="s">
        <v>80</v>
      </c>
      <c r="M95" s="138"/>
      <c r="N95" s="139"/>
    </row>
    <row r="96" spans="1:14" s="22" customFormat="1" ht="30" customHeight="1">
      <c r="A96" s="26"/>
      <c r="B96" s="12" t="s">
        <v>369</v>
      </c>
      <c r="C96" s="81"/>
      <c r="D96" s="95" t="s">
        <v>92</v>
      </c>
      <c r="E96" s="53" t="s">
        <v>368</v>
      </c>
      <c r="F96" s="102"/>
      <c r="G96" s="96" t="s">
        <v>71</v>
      </c>
      <c r="H96" s="12"/>
      <c r="I96" s="12"/>
      <c r="J96" s="56">
        <f>H96*K96+I96</f>
        <v>0</v>
      </c>
      <c r="K96" s="12">
        <v>10</v>
      </c>
      <c r="L96" s="14" t="s">
        <v>188</v>
      </c>
      <c r="M96" s="138"/>
      <c r="N96" s="139"/>
    </row>
    <row r="97" spans="1:14" ht="30" customHeight="1">
      <c r="A97" s="26"/>
      <c r="B97" s="5" t="s">
        <v>208</v>
      </c>
      <c r="C97" s="81"/>
      <c r="D97" s="54" t="s">
        <v>140</v>
      </c>
      <c r="E97" s="53" t="s">
        <v>12</v>
      </c>
      <c r="F97" s="102"/>
      <c r="G97" s="53" t="s">
        <v>355</v>
      </c>
      <c r="H97" s="10"/>
      <c r="I97" s="10"/>
      <c r="J97" s="56">
        <f t="shared" si="10"/>
        <v>0</v>
      </c>
      <c r="K97" s="5">
        <v>8</v>
      </c>
      <c r="L97" s="11" t="s">
        <v>81</v>
      </c>
    </row>
    <row r="98" spans="1:14" ht="30" customHeight="1">
      <c r="A98" s="26"/>
      <c r="B98" s="5" t="s">
        <v>371</v>
      </c>
      <c r="C98" s="81"/>
      <c r="D98" s="54" t="s">
        <v>295</v>
      </c>
      <c r="E98" s="53" t="s">
        <v>12</v>
      </c>
      <c r="F98" s="102"/>
      <c r="G98" s="53" t="s">
        <v>355</v>
      </c>
      <c r="H98" s="10"/>
      <c r="I98" s="10"/>
      <c r="J98" s="56">
        <f t="shared" si="10"/>
        <v>0</v>
      </c>
      <c r="K98" s="5">
        <v>4</v>
      </c>
      <c r="L98" s="11" t="s">
        <v>81</v>
      </c>
    </row>
    <row r="99" spans="1:14" ht="30" customHeight="1">
      <c r="A99" s="26"/>
      <c r="B99" s="5" t="s">
        <v>371</v>
      </c>
      <c r="C99" s="81"/>
      <c r="D99" s="54" t="s">
        <v>323</v>
      </c>
      <c r="E99" s="53" t="s">
        <v>12</v>
      </c>
      <c r="F99" s="102"/>
      <c r="G99" s="53" t="s">
        <v>353</v>
      </c>
      <c r="H99" s="10"/>
      <c r="I99" s="10"/>
      <c r="J99" s="56">
        <f t="shared" si="10"/>
        <v>0</v>
      </c>
      <c r="K99" s="5">
        <v>5</v>
      </c>
      <c r="L99" s="11" t="s">
        <v>81</v>
      </c>
    </row>
    <row r="100" spans="1:14" ht="30" customHeight="1">
      <c r="A100" s="26"/>
      <c r="B100" s="5" t="s">
        <v>372</v>
      </c>
      <c r="C100" s="81"/>
      <c r="D100" s="54" t="s">
        <v>245</v>
      </c>
      <c r="E100" s="53" t="s">
        <v>12</v>
      </c>
      <c r="F100" s="102"/>
      <c r="G100" s="53" t="s">
        <v>367</v>
      </c>
      <c r="H100" s="10"/>
      <c r="I100" s="10"/>
      <c r="J100" s="56">
        <f t="shared" si="10"/>
        <v>0</v>
      </c>
      <c r="K100" s="5">
        <v>8</v>
      </c>
      <c r="L100" s="11" t="s">
        <v>81</v>
      </c>
    </row>
    <row r="101" spans="1:14" s="22" customFormat="1" ht="30" customHeight="1">
      <c r="A101" s="26"/>
      <c r="B101" s="5" t="s">
        <v>372</v>
      </c>
      <c r="C101" s="81"/>
      <c r="D101" s="54" t="s">
        <v>99</v>
      </c>
      <c r="E101" s="53" t="s">
        <v>12</v>
      </c>
      <c r="F101" s="102"/>
      <c r="G101" s="53" t="s">
        <v>370</v>
      </c>
      <c r="H101" s="10"/>
      <c r="I101" s="10"/>
      <c r="J101" s="56">
        <f t="shared" si="10"/>
        <v>0</v>
      </c>
      <c r="K101" s="5">
        <v>10</v>
      </c>
      <c r="L101" s="11" t="s">
        <v>81</v>
      </c>
      <c r="M101" s="138"/>
      <c r="N101" s="139"/>
    </row>
    <row r="102" spans="1:14" ht="30" customHeight="1">
      <c r="A102" s="26"/>
      <c r="B102" s="5" t="s">
        <v>373</v>
      </c>
      <c r="C102" s="81"/>
      <c r="D102" s="54" t="s">
        <v>98</v>
      </c>
      <c r="E102" s="53" t="s">
        <v>12</v>
      </c>
      <c r="F102" s="102"/>
      <c r="G102" s="53" t="s">
        <v>355</v>
      </c>
      <c r="H102" s="10"/>
      <c r="I102" s="10"/>
      <c r="J102" s="56">
        <f t="shared" si="10"/>
        <v>0</v>
      </c>
      <c r="K102" s="5">
        <v>10</v>
      </c>
      <c r="L102" s="11" t="s">
        <v>81</v>
      </c>
    </row>
    <row r="103" spans="1:14" s="22" customFormat="1" ht="30" customHeight="1">
      <c r="A103" s="26"/>
      <c r="B103" s="5" t="s">
        <v>464</v>
      </c>
      <c r="C103" s="81"/>
      <c r="D103" s="107" t="s">
        <v>348</v>
      </c>
      <c r="E103" s="108" t="s">
        <v>10</v>
      </c>
      <c r="F103" s="105"/>
      <c r="G103" s="108" t="s">
        <v>474</v>
      </c>
      <c r="H103" s="10"/>
      <c r="I103" s="10"/>
      <c r="J103" s="56">
        <f t="shared" ref="J103" si="50">H103*K103+I103</f>
        <v>0</v>
      </c>
      <c r="K103" s="5">
        <v>10</v>
      </c>
      <c r="L103" s="14" t="s">
        <v>81</v>
      </c>
      <c r="M103" s="138"/>
      <c r="N103" s="139"/>
    </row>
    <row r="104" spans="1:14" ht="30" customHeight="1">
      <c r="A104" s="26"/>
      <c r="B104" s="5" t="s">
        <v>51</v>
      </c>
      <c r="C104" s="81"/>
      <c r="D104" s="107" t="s">
        <v>314</v>
      </c>
      <c r="E104" s="108" t="s">
        <v>12</v>
      </c>
      <c r="F104" s="105"/>
      <c r="G104" s="108" t="s">
        <v>460</v>
      </c>
      <c r="H104" s="10"/>
      <c r="I104" s="10"/>
      <c r="J104" s="56">
        <f t="shared" ref="J104" si="51">H104*K104+I104</f>
        <v>0</v>
      </c>
      <c r="K104" s="5">
        <v>5</v>
      </c>
      <c r="L104" s="11" t="s">
        <v>81</v>
      </c>
    </row>
    <row r="105" spans="1:14" ht="30" customHeight="1">
      <c r="A105" s="26"/>
      <c r="B105" s="5" t="s">
        <v>412</v>
      </c>
      <c r="C105" s="81"/>
      <c r="D105" s="2" t="s">
        <v>204</v>
      </c>
      <c r="E105" s="16" t="s">
        <v>413</v>
      </c>
      <c r="F105" s="99"/>
      <c r="G105" s="16" t="s">
        <v>450</v>
      </c>
      <c r="H105" s="10"/>
      <c r="I105" s="10"/>
      <c r="J105" s="56">
        <f>H105*K105+I105</f>
        <v>0</v>
      </c>
      <c r="K105" s="5">
        <v>450</v>
      </c>
      <c r="L105" s="11" t="s">
        <v>81</v>
      </c>
    </row>
    <row r="106" spans="1:14" ht="30" customHeight="1">
      <c r="A106" s="26"/>
      <c r="B106" s="5" t="s">
        <v>51</v>
      </c>
      <c r="C106" s="81"/>
      <c r="D106" s="2" t="s">
        <v>414</v>
      </c>
      <c r="E106" s="16" t="s">
        <v>12</v>
      </c>
      <c r="F106" s="99"/>
      <c r="G106" s="16" t="s">
        <v>450</v>
      </c>
      <c r="H106" s="10"/>
      <c r="I106" s="10"/>
      <c r="J106" s="56">
        <f>H106*K106+I106</f>
        <v>0</v>
      </c>
      <c r="K106" s="5">
        <v>5</v>
      </c>
      <c r="L106" s="11" t="s">
        <v>81</v>
      </c>
    </row>
    <row r="107" spans="1:14" ht="30" customHeight="1">
      <c r="A107" s="26"/>
      <c r="B107" s="5" t="s">
        <v>51</v>
      </c>
      <c r="C107" s="81"/>
      <c r="D107" s="2" t="s">
        <v>202</v>
      </c>
      <c r="E107" s="16" t="s">
        <v>12</v>
      </c>
      <c r="F107" s="99"/>
      <c r="G107" s="16" t="s">
        <v>450</v>
      </c>
      <c r="H107" s="10"/>
      <c r="I107" s="10"/>
      <c r="J107" s="56">
        <f>H107*K107+I107</f>
        <v>0</v>
      </c>
      <c r="K107" s="5">
        <v>5</v>
      </c>
      <c r="L107" s="11" t="s">
        <v>81</v>
      </c>
    </row>
    <row r="108" spans="1:14" s="22" customFormat="1" ht="30" customHeight="1">
      <c r="A108" s="26"/>
      <c r="B108" s="5" t="s">
        <v>50</v>
      </c>
      <c r="C108" s="81"/>
      <c r="D108" s="54" t="s">
        <v>178</v>
      </c>
      <c r="E108" s="53" t="s">
        <v>190</v>
      </c>
      <c r="F108" s="102"/>
      <c r="G108" s="53" t="s">
        <v>410</v>
      </c>
      <c r="H108" s="10"/>
      <c r="I108" s="10"/>
      <c r="J108" s="56">
        <f>H108*K108+I108</f>
        <v>0</v>
      </c>
      <c r="K108" s="5">
        <v>10</v>
      </c>
      <c r="L108" s="11" t="s">
        <v>81</v>
      </c>
      <c r="M108" s="138"/>
      <c r="N108" s="139"/>
    </row>
    <row r="109" spans="1:14" s="43" customFormat="1" ht="30" customHeight="1">
      <c r="A109" s="26"/>
      <c r="B109" s="5" t="s">
        <v>306</v>
      </c>
      <c r="C109" s="81"/>
      <c r="D109" s="2" t="s">
        <v>285</v>
      </c>
      <c r="E109" s="16" t="s">
        <v>10</v>
      </c>
      <c r="F109" s="99"/>
      <c r="G109" s="16" t="s">
        <v>450</v>
      </c>
      <c r="H109" s="10"/>
      <c r="I109" s="10"/>
      <c r="J109" s="56">
        <f t="shared" ref="J109" si="52">H109*K109+I109</f>
        <v>0</v>
      </c>
      <c r="K109" s="5">
        <v>2</v>
      </c>
      <c r="L109" s="14" t="s">
        <v>81</v>
      </c>
      <c r="M109" s="138"/>
      <c r="N109" s="140"/>
    </row>
    <row r="110" spans="1:14" s="43" customFormat="1" ht="30" customHeight="1">
      <c r="A110" s="26"/>
      <c r="B110" s="5" t="s">
        <v>23</v>
      </c>
      <c r="C110" s="81"/>
      <c r="D110" s="2" t="s">
        <v>415</v>
      </c>
      <c r="E110" s="16" t="s">
        <v>10</v>
      </c>
      <c r="F110" s="99"/>
      <c r="G110" s="16" t="s">
        <v>450</v>
      </c>
      <c r="H110" s="10"/>
      <c r="I110" s="10"/>
      <c r="J110" s="56">
        <f>H110*K110+I110</f>
        <v>0</v>
      </c>
      <c r="K110" s="5">
        <v>2</v>
      </c>
      <c r="L110" s="14" t="s">
        <v>81</v>
      </c>
      <c r="M110" s="138"/>
      <c r="N110" s="140"/>
    </row>
    <row r="115" ht="39.950000000000003" customHeight="1"/>
    <row r="116" ht="39.950000000000003" customHeight="1"/>
    <row r="117" ht="39.950000000000003" customHeight="1"/>
    <row r="118" ht="39.950000000000003" customHeight="1"/>
    <row r="119" ht="39.950000000000003" customHeight="1"/>
    <row r="120" ht="39.950000000000003" customHeight="1"/>
    <row r="121" ht="39.950000000000003" customHeight="1"/>
    <row r="122" ht="39.950000000000003" customHeight="1"/>
    <row r="123" ht="39.950000000000003" customHeight="1"/>
    <row r="124" ht="39.950000000000003" customHeight="1"/>
    <row r="125" ht="39.950000000000003" customHeight="1"/>
    <row r="126" ht="39.950000000000003" customHeight="1"/>
    <row r="127" ht="39.950000000000003" customHeight="1"/>
    <row r="128" ht="39.950000000000003" customHeight="1"/>
    <row r="129" ht="39.950000000000003" customHeight="1"/>
    <row r="130" ht="39.950000000000003" customHeight="1"/>
    <row r="131" ht="39.950000000000003" customHeight="1"/>
    <row r="132" ht="39.950000000000003" customHeight="1"/>
    <row r="133" ht="39.950000000000003" customHeight="1"/>
    <row r="134" ht="39.950000000000003" customHeight="1"/>
    <row r="135" ht="39.950000000000003" customHeight="1"/>
    <row r="136" ht="39.950000000000003" customHeight="1"/>
    <row r="137" ht="39.950000000000003" customHeight="1"/>
    <row r="138" ht="39.950000000000003" customHeight="1"/>
    <row r="139" ht="39.950000000000003" customHeight="1"/>
    <row r="140" ht="39.950000000000003" customHeight="1"/>
    <row r="141" ht="39.950000000000003" customHeight="1"/>
    <row r="142" ht="39.950000000000003" customHeight="1"/>
    <row r="143" ht="39.950000000000003" customHeight="1"/>
    <row r="144" ht="39.950000000000003" customHeight="1"/>
  </sheetData>
  <mergeCells count="2">
    <mergeCell ref="A1:B2"/>
    <mergeCell ref="D1:I2"/>
  </mergeCells>
  <phoneticPr fontId="1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6" fitToHeight="0" orientation="portrait" r:id="rId1"/>
  <rowBreaks count="1" manualBreakCount="1">
    <brk id="54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7"/>
  <sheetViews>
    <sheetView showGridLines="0" view="pageBreakPreview" zoomScale="70" zoomScaleNormal="70" zoomScaleSheetLayoutView="70" workbookViewId="0">
      <pane ySplit="4" topLeftCell="A48" activePane="bottomLeft" state="frozen"/>
      <selection activeCell="J42" sqref="J42"/>
      <selection pane="bottomLeft" activeCell="A5" sqref="A5:XFD70"/>
    </sheetView>
  </sheetViews>
  <sheetFormatPr defaultRowHeight="17.25"/>
  <cols>
    <col min="1" max="1" width="5.25" style="24" bestFit="1" customWidth="1"/>
    <col min="2" max="2" width="22.625" style="24" bestFit="1" customWidth="1"/>
    <col min="3" max="3" width="12.5" style="24" customWidth="1"/>
    <col min="4" max="4" width="42.375" style="24" bestFit="1" customWidth="1"/>
    <col min="5" max="5" width="10.125" style="24" customWidth="1"/>
    <col min="6" max="6" width="12.875" style="25" customWidth="1"/>
    <col min="7" max="7" width="14.5" style="24" customWidth="1"/>
    <col min="8" max="9" width="14.75" style="32" customWidth="1"/>
    <col min="10" max="10" width="13.625" style="21" customWidth="1"/>
    <col min="11" max="11" width="13.625" style="32" customWidth="1"/>
    <col min="12" max="12" width="13.625" style="24" customWidth="1"/>
    <col min="13" max="13" width="9.75" style="21" bestFit="1" customWidth="1"/>
    <col min="14" max="14" width="21.875" style="21" bestFit="1" customWidth="1"/>
    <col min="15" max="15" width="12.25" style="21" bestFit="1" customWidth="1"/>
    <col min="16" max="16" width="22.625" style="21" customWidth="1"/>
    <col min="17" max="16384" width="9" style="21"/>
  </cols>
  <sheetData>
    <row r="1" spans="1:15" ht="27" customHeight="1">
      <c r="A1" s="267" t="s">
        <v>546</v>
      </c>
      <c r="B1" s="268"/>
      <c r="C1" s="77"/>
      <c r="D1" s="261">
        <f ca="1">냉장1!D1</f>
        <v>46324</v>
      </c>
      <c r="E1" s="262"/>
      <c r="F1" s="262"/>
      <c r="G1" s="262"/>
      <c r="H1" s="262"/>
      <c r="I1" s="263"/>
      <c r="J1" s="64" t="s">
        <v>280</v>
      </c>
      <c r="K1" s="64" t="s">
        <v>281</v>
      </c>
      <c r="L1" s="64" t="s">
        <v>282</v>
      </c>
    </row>
    <row r="2" spans="1:15" ht="55.5" customHeight="1">
      <c r="A2" s="269"/>
      <c r="B2" s="270"/>
      <c r="C2" s="78"/>
      <c r="D2" s="271"/>
      <c r="E2" s="272"/>
      <c r="F2" s="272"/>
      <c r="G2" s="272"/>
      <c r="H2" s="265"/>
      <c r="I2" s="266"/>
      <c r="J2" s="131"/>
      <c r="K2" s="131"/>
      <c r="L2" s="131"/>
    </row>
    <row r="3" spans="1:15" ht="27" customHeight="1">
      <c r="A3" s="128" t="s">
        <v>227</v>
      </c>
      <c r="B3" s="128"/>
      <c r="C3" s="129"/>
      <c r="D3" s="74"/>
      <c r="E3" s="75"/>
      <c r="F3" s="132" t="str">
        <f>냉장1!F3</f>
        <v>6/14 기준</v>
      </c>
      <c r="G3" s="73"/>
      <c r="H3" s="76" t="s">
        <v>228</v>
      </c>
      <c r="I3" s="74"/>
      <c r="J3" s="74"/>
      <c r="K3" s="75"/>
      <c r="L3" s="76"/>
    </row>
    <row r="4" spans="1:15" ht="27" customHeight="1">
      <c r="A4" s="93" t="s">
        <v>0</v>
      </c>
      <c r="B4" s="93" t="s">
        <v>1</v>
      </c>
      <c r="C4" s="93" t="s">
        <v>358</v>
      </c>
      <c r="D4" s="130" t="s">
        <v>2</v>
      </c>
      <c r="E4" s="130" t="s">
        <v>6</v>
      </c>
      <c r="F4" s="163" t="s">
        <v>537</v>
      </c>
      <c r="G4" s="130" t="s">
        <v>111</v>
      </c>
      <c r="H4" s="93" t="s">
        <v>112</v>
      </c>
      <c r="I4" s="93" t="s">
        <v>113</v>
      </c>
      <c r="J4" s="130" t="s">
        <v>19</v>
      </c>
      <c r="K4" s="130" t="s">
        <v>16</v>
      </c>
      <c r="L4" s="130" t="s">
        <v>17</v>
      </c>
      <c r="M4" s="145" t="s">
        <v>469</v>
      </c>
      <c r="N4" s="145" t="s">
        <v>470</v>
      </c>
    </row>
    <row r="5" spans="1:15" ht="30" customHeight="1">
      <c r="A5" s="29">
        <v>1</v>
      </c>
      <c r="B5" s="5" t="s">
        <v>411</v>
      </c>
      <c r="C5" s="83">
        <v>30000121</v>
      </c>
      <c r="D5" s="1" t="s">
        <v>217</v>
      </c>
      <c r="E5" s="5" t="s">
        <v>14</v>
      </c>
      <c r="F5" s="98">
        <f>IFERROR(VLOOKUP(C5,[1]Sheet1!$A$1:$D$65536,3,0)/K5,"")</f>
        <v>16.944333333333333</v>
      </c>
      <c r="G5" s="5"/>
      <c r="H5" s="10">
        <v>10</v>
      </c>
      <c r="I5" s="10">
        <v>2</v>
      </c>
      <c r="J5" s="56">
        <f>H5*K5+I5</f>
        <v>32</v>
      </c>
      <c r="K5" s="5">
        <v>3</v>
      </c>
      <c r="L5" s="11" t="s">
        <v>80</v>
      </c>
      <c r="M5" s="146">
        <v>19700</v>
      </c>
      <c r="N5" s="147">
        <f>M5*J5</f>
        <v>630400</v>
      </c>
    </row>
    <row r="6" spans="1:15" ht="30" customHeight="1">
      <c r="A6" s="29">
        <v>2</v>
      </c>
      <c r="B6" s="5" t="s">
        <v>411</v>
      </c>
      <c r="C6" s="83">
        <v>30000096</v>
      </c>
      <c r="D6" s="51" t="s">
        <v>862</v>
      </c>
      <c r="E6" s="5" t="s">
        <v>14</v>
      </c>
      <c r="F6" s="98"/>
      <c r="G6" s="5"/>
      <c r="H6" s="10">
        <v>7</v>
      </c>
      <c r="I6" s="10">
        <v>1</v>
      </c>
      <c r="J6" s="56">
        <f>H6*K6+I6</f>
        <v>15</v>
      </c>
      <c r="K6" s="5">
        <v>2</v>
      </c>
      <c r="L6" s="11" t="s">
        <v>80</v>
      </c>
      <c r="M6" s="146">
        <v>19700</v>
      </c>
      <c r="N6" s="147">
        <f>M6*J6</f>
        <v>295500</v>
      </c>
    </row>
    <row r="7" spans="1:15" ht="30" customHeight="1">
      <c r="A7" s="29">
        <v>3</v>
      </c>
      <c r="B7" s="5" t="s">
        <v>411</v>
      </c>
      <c r="C7" s="83">
        <v>30003681</v>
      </c>
      <c r="D7" s="158" t="s">
        <v>911</v>
      </c>
      <c r="E7" s="159" t="s">
        <v>14</v>
      </c>
      <c r="F7" s="157"/>
      <c r="G7" s="159"/>
      <c r="H7" s="10">
        <v>3</v>
      </c>
      <c r="I7" s="10"/>
      <c r="J7" s="56">
        <f>H7*K7+I7</f>
        <v>45</v>
      </c>
      <c r="K7" s="5">
        <v>15</v>
      </c>
      <c r="L7" s="11" t="s">
        <v>80</v>
      </c>
      <c r="M7" s="146">
        <v>19700</v>
      </c>
      <c r="N7" s="147">
        <f>M7*J7</f>
        <v>886500</v>
      </c>
    </row>
    <row r="8" spans="1:15" ht="30" customHeight="1">
      <c r="A8" s="29">
        <v>4</v>
      </c>
      <c r="B8" s="5" t="s">
        <v>411</v>
      </c>
      <c r="C8" s="83">
        <v>30003664</v>
      </c>
      <c r="D8" s="158" t="s">
        <v>876</v>
      </c>
      <c r="E8" s="159" t="s">
        <v>14</v>
      </c>
      <c r="F8" s="157"/>
      <c r="G8" s="159"/>
      <c r="H8" s="10"/>
      <c r="I8" s="10"/>
      <c r="J8" s="56">
        <f>H8*K8+I8</f>
        <v>0</v>
      </c>
      <c r="K8" s="5">
        <v>15</v>
      </c>
      <c r="L8" s="11" t="s">
        <v>80</v>
      </c>
      <c r="M8" s="146">
        <v>19700</v>
      </c>
      <c r="N8" s="147">
        <f>M8*J8</f>
        <v>0</v>
      </c>
    </row>
    <row r="9" spans="1:15" ht="30" customHeight="1">
      <c r="A9" s="29">
        <v>4</v>
      </c>
      <c r="B9" s="5" t="s">
        <v>411</v>
      </c>
      <c r="C9" s="83">
        <v>30003744</v>
      </c>
      <c r="D9" s="217" t="s">
        <v>1003</v>
      </c>
      <c r="E9" s="159" t="s">
        <v>14</v>
      </c>
      <c r="F9" s="157"/>
      <c r="G9" s="159"/>
      <c r="H9" s="10"/>
      <c r="I9" s="10">
        <v>9</v>
      </c>
      <c r="J9" s="56">
        <f>H9*K9+I9</f>
        <v>9</v>
      </c>
      <c r="K9" s="5">
        <v>15</v>
      </c>
      <c r="L9" s="11" t="s">
        <v>80</v>
      </c>
      <c r="M9" s="146">
        <v>19700</v>
      </c>
      <c r="N9" s="147">
        <f>M9*J9</f>
        <v>177300</v>
      </c>
    </row>
    <row r="10" spans="1:15" ht="30" customHeight="1">
      <c r="A10" s="29">
        <v>5</v>
      </c>
      <c r="B10" s="5" t="s">
        <v>412</v>
      </c>
      <c r="C10" s="83">
        <v>30003607</v>
      </c>
      <c r="D10" s="158" t="s">
        <v>723</v>
      </c>
      <c r="E10" s="156" t="s">
        <v>10</v>
      </c>
      <c r="F10" s="174">
        <f>IFERROR(VLOOKUP(C10,[1]Sheet1!$A$1:$D$65536,3,0)/K10,"")</f>
        <v>0.35639999999999999</v>
      </c>
      <c r="G10" s="187"/>
      <c r="H10" s="211">
        <v>1</v>
      </c>
      <c r="I10" s="211">
        <v>1</v>
      </c>
      <c r="J10" s="56">
        <f t="shared" ref="J10:J46" si="0">H10*K10+I10</f>
        <v>11</v>
      </c>
      <c r="K10" s="5">
        <v>10</v>
      </c>
      <c r="L10" s="11" t="s">
        <v>724</v>
      </c>
      <c r="M10" s="146">
        <v>6000</v>
      </c>
      <c r="N10" s="147">
        <f t="shared" ref="N10:N46" si="1">M10*J10</f>
        <v>66000</v>
      </c>
    </row>
    <row r="11" spans="1:15" ht="30" customHeight="1">
      <c r="A11" s="29">
        <v>6</v>
      </c>
      <c r="B11" s="5" t="s">
        <v>412</v>
      </c>
      <c r="C11" s="83">
        <v>30001057</v>
      </c>
      <c r="D11" s="1" t="s">
        <v>114</v>
      </c>
      <c r="E11" s="5" t="s">
        <v>10</v>
      </c>
      <c r="F11" s="98">
        <f>IFERROR(VLOOKUP(C11,[1]Sheet1!$A$1:$D$65536,3,0)/K11,"")</f>
        <v>0.50990000000000002</v>
      </c>
      <c r="G11" s="5"/>
      <c r="H11" s="10">
        <v>2</v>
      </c>
      <c r="I11" s="10">
        <v>3</v>
      </c>
      <c r="J11" s="56">
        <f t="shared" si="0"/>
        <v>23</v>
      </c>
      <c r="K11" s="5">
        <v>10</v>
      </c>
      <c r="L11" s="11" t="s">
        <v>82</v>
      </c>
      <c r="M11" s="146">
        <v>7000</v>
      </c>
      <c r="N11" s="147">
        <f t="shared" si="1"/>
        <v>161000</v>
      </c>
    </row>
    <row r="12" spans="1:15" s="22" customFormat="1" ht="30" customHeight="1">
      <c r="A12" s="29">
        <v>7</v>
      </c>
      <c r="B12" s="5" t="s">
        <v>412</v>
      </c>
      <c r="C12" s="83">
        <v>30002992</v>
      </c>
      <c r="D12" s="51" t="s">
        <v>253</v>
      </c>
      <c r="E12" s="5" t="s">
        <v>10</v>
      </c>
      <c r="F12" s="98">
        <f>IFERROR(VLOOKUP(C12,[1]Sheet1!$A$1:$D$65536,3,0)/K12,"")</f>
        <v>3.6833333333333331</v>
      </c>
      <c r="G12" s="47"/>
      <c r="H12" s="10">
        <v>10</v>
      </c>
      <c r="I12" s="10"/>
      <c r="J12" s="56">
        <f t="shared" ref="J12" si="2">H12*K12+I12</f>
        <v>2400</v>
      </c>
      <c r="K12" s="5">
        <v>240</v>
      </c>
      <c r="L12" s="11" t="s">
        <v>81</v>
      </c>
      <c r="M12" s="146">
        <v>265</v>
      </c>
      <c r="N12" s="147">
        <f t="shared" ref="N12" si="3">M12*J12</f>
        <v>636000</v>
      </c>
    </row>
    <row r="13" spans="1:15" s="22" customFormat="1" ht="30" customHeight="1">
      <c r="A13" s="29">
        <v>7</v>
      </c>
      <c r="B13" s="5" t="s">
        <v>412</v>
      </c>
      <c r="C13" s="83">
        <v>30003716</v>
      </c>
      <c r="D13" s="51" t="s">
        <v>956</v>
      </c>
      <c r="E13" s="5" t="s">
        <v>10</v>
      </c>
      <c r="F13" s="98" t="str">
        <f>IFERROR(VLOOKUP(C13,[1]Sheet1!$A$1:$D$65536,3,0)/K13,"")</f>
        <v/>
      </c>
      <c r="G13" s="47"/>
      <c r="H13" s="10">
        <v>10</v>
      </c>
      <c r="I13" s="10"/>
      <c r="J13" s="56">
        <f t="shared" si="0"/>
        <v>4200</v>
      </c>
      <c r="K13" s="5">
        <v>420</v>
      </c>
      <c r="L13" s="11" t="s">
        <v>81</v>
      </c>
      <c r="M13" s="146">
        <v>265</v>
      </c>
      <c r="N13" s="147">
        <f t="shared" si="1"/>
        <v>1113000</v>
      </c>
    </row>
    <row r="14" spans="1:15" ht="30" customHeight="1">
      <c r="A14" s="29">
        <v>8</v>
      </c>
      <c r="B14" s="5" t="s">
        <v>412</v>
      </c>
      <c r="C14" s="83">
        <v>30000065</v>
      </c>
      <c r="D14" s="1" t="s">
        <v>115</v>
      </c>
      <c r="E14" s="5" t="s">
        <v>10</v>
      </c>
      <c r="F14" s="98">
        <f>IFERROR(VLOOKUP(C14,[1]Sheet1!$A$1:$D$65536,3,0)/K14,"")</f>
        <v>1.7283999999999999</v>
      </c>
      <c r="G14" s="5"/>
      <c r="H14" s="10">
        <v>5</v>
      </c>
      <c r="I14" s="10"/>
      <c r="J14" s="56">
        <f t="shared" si="0"/>
        <v>50</v>
      </c>
      <c r="K14" s="5">
        <v>10</v>
      </c>
      <c r="L14" s="11" t="s">
        <v>81</v>
      </c>
      <c r="M14" s="146">
        <v>8300</v>
      </c>
      <c r="N14" s="147">
        <f t="shared" si="1"/>
        <v>415000</v>
      </c>
    </row>
    <row r="15" spans="1:15" ht="30" customHeight="1">
      <c r="A15" s="29">
        <v>10</v>
      </c>
      <c r="B15" s="5" t="s">
        <v>412</v>
      </c>
      <c r="C15" s="83">
        <v>30003526</v>
      </c>
      <c r="D15" s="1" t="s">
        <v>599</v>
      </c>
      <c r="E15" s="5" t="s">
        <v>10</v>
      </c>
      <c r="F15" s="100">
        <f>IFERROR(VLOOKUP(C15,[1]Sheet1!$A$1:$D$65536,3,0)/K15,"")</f>
        <v>2.2544</v>
      </c>
      <c r="G15" s="5"/>
      <c r="H15" s="13">
        <v>1</v>
      </c>
      <c r="I15" s="13"/>
      <c r="J15" s="56">
        <f t="shared" si="0"/>
        <v>10</v>
      </c>
      <c r="K15" s="5">
        <v>10</v>
      </c>
      <c r="L15" s="11" t="s">
        <v>600</v>
      </c>
      <c r="M15" s="146">
        <v>4900</v>
      </c>
      <c r="N15" s="147">
        <f t="shared" si="1"/>
        <v>49000</v>
      </c>
      <c r="O15" s="21" t="s">
        <v>715</v>
      </c>
    </row>
    <row r="16" spans="1:15" ht="30" customHeight="1">
      <c r="A16" s="29">
        <v>11</v>
      </c>
      <c r="B16" s="5" t="s">
        <v>412</v>
      </c>
      <c r="C16" s="83">
        <v>30003509</v>
      </c>
      <c r="D16" s="1" t="s">
        <v>584</v>
      </c>
      <c r="E16" s="5" t="s">
        <v>10</v>
      </c>
      <c r="F16" s="100">
        <f>IFERROR(VLOOKUP(C16,[1]Sheet1!$A$1:$D$65536,3,0)/K16,"")</f>
        <v>2.5044</v>
      </c>
      <c r="G16" s="5"/>
      <c r="H16" s="211"/>
      <c r="I16" s="211"/>
      <c r="J16" s="56">
        <f t="shared" si="0"/>
        <v>0</v>
      </c>
      <c r="K16" s="5">
        <v>10</v>
      </c>
      <c r="L16" s="11" t="s">
        <v>585</v>
      </c>
      <c r="M16" s="146">
        <v>5900</v>
      </c>
      <c r="N16" s="147">
        <f t="shared" si="1"/>
        <v>0</v>
      </c>
      <c r="O16" s="21" t="s">
        <v>704</v>
      </c>
    </row>
    <row r="17" spans="1:15" ht="30" customHeight="1">
      <c r="A17" s="29">
        <v>12</v>
      </c>
      <c r="B17" s="5" t="s">
        <v>412</v>
      </c>
      <c r="C17" s="83">
        <v>30000709</v>
      </c>
      <c r="D17" s="158" t="s">
        <v>183</v>
      </c>
      <c r="E17" s="156" t="s">
        <v>10</v>
      </c>
      <c r="F17" s="157">
        <f>IFERROR(VLOOKUP(C17,[1]Sheet1!$A$1:$D$65536,3,0)/K17,"")</f>
        <v>4.1959999999999997</v>
      </c>
      <c r="G17" s="156"/>
      <c r="H17" s="10">
        <v>18</v>
      </c>
      <c r="I17" s="10"/>
      <c r="J17" s="56">
        <f t="shared" si="0"/>
        <v>180</v>
      </c>
      <c r="K17" s="5">
        <v>10</v>
      </c>
      <c r="L17" s="11" t="s">
        <v>81</v>
      </c>
      <c r="M17" s="146">
        <v>9000</v>
      </c>
      <c r="N17" s="147">
        <f t="shared" si="1"/>
        <v>1620000</v>
      </c>
    </row>
    <row r="18" spans="1:15" s="23" customFormat="1" ht="30" customHeight="1">
      <c r="A18" s="29">
        <v>14</v>
      </c>
      <c r="B18" s="5" t="s">
        <v>412</v>
      </c>
      <c r="C18" s="83">
        <v>30002363</v>
      </c>
      <c r="D18" s="7" t="s">
        <v>77</v>
      </c>
      <c r="E18" s="5" t="s">
        <v>10</v>
      </c>
      <c r="F18" s="100">
        <f>IFERROR(VLOOKUP(C18,[1]Sheet1!$A$1:$D$65536,3,0)/K18,"")</f>
        <v>0.99740000000000006</v>
      </c>
      <c r="G18" s="4"/>
      <c r="H18" s="10"/>
      <c r="I18" s="10">
        <v>9</v>
      </c>
      <c r="J18" s="56">
        <f t="shared" si="0"/>
        <v>9</v>
      </c>
      <c r="K18" s="4">
        <v>10</v>
      </c>
      <c r="L18" s="141" t="s">
        <v>82</v>
      </c>
      <c r="M18" s="146">
        <v>7800</v>
      </c>
      <c r="N18" s="147">
        <f t="shared" si="1"/>
        <v>70200</v>
      </c>
    </row>
    <row r="19" spans="1:15" ht="30" customHeight="1">
      <c r="A19" s="29">
        <v>15</v>
      </c>
      <c r="B19" s="5" t="s">
        <v>412</v>
      </c>
      <c r="C19" s="83">
        <v>30002195</v>
      </c>
      <c r="D19" s="201" t="s">
        <v>43</v>
      </c>
      <c r="E19" s="5" t="s">
        <v>10</v>
      </c>
      <c r="F19" s="100">
        <f>IFERROR(VLOOKUP(C19,[1]Sheet1!$A$1:$D$65536,3,0)/K19,"")</f>
        <v>2.8006000000000002</v>
      </c>
      <c r="G19" s="202"/>
      <c r="H19" s="10">
        <v>15</v>
      </c>
      <c r="I19" s="3">
        <v>7</v>
      </c>
      <c r="J19" s="56">
        <f t="shared" si="0"/>
        <v>157</v>
      </c>
      <c r="K19" s="5">
        <v>10</v>
      </c>
      <c r="L19" s="11" t="s">
        <v>82</v>
      </c>
      <c r="M19" s="146">
        <v>7408</v>
      </c>
      <c r="N19" s="147">
        <f t="shared" si="1"/>
        <v>1163056</v>
      </c>
    </row>
    <row r="20" spans="1:15" s="39" customFormat="1" ht="30" customHeight="1">
      <c r="A20" s="29">
        <v>16</v>
      </c>
      <c r="B20" s="5" t="s">
        <v>412</v>
      </c>
      <c r="C20" s="83">
        <v>30003011</v>
      </c>
      <c r="D20" s="51" t="s">
        <v>142</v>
      </c>
      <c r="E20" s="5" t="s">
        <v>10</v>
      </c>
      <c r="F20" s="98">
        <f>IFERROR(VLOOKUP(C20,[1]Sheet1!$A$1:$D$65536,3,0)/K20,"")</f>
        <v>3.2000000000000001E-2</v>
      </c>
      <c r="G20" s="5"/>
      <c r="H20" s="200"/>
      <c r="I20" s="200"/>
      <c r="J20" s="56">
        <f t="shared" si="0"/>
        <v>0</v>
      </c>
      <c r="K20" s="5">
        <v>10</v>
      </c>
      <c r="L20" s="11" t="s">
        <v>81</v>
      </c>
      <c r="M20" s="146">
        <v>5400</v>
      </c>
      <c r="N20" s="147">
        <f t="shared" si="1"/>
        <v>0</v>
      </c>
    </row>
    <row r="21" spans="1:15" s="39" customFormat="1" ht="30" hidden="1" customHeight="1">
      <c r="A21" s="29">
        <v>17</v>
      </c>
      <c r="B21" s="5" t="s">
        <v>412</v>
      </c>
      <c r="C21" s="83">
        <v>30003508</v>
      </c>
      <c r="D21" s="199" t="s">
        <v>580</v>
      </c>
      <c r="E21" s="187" t="s">
        <v>10</v>
      </c>
      <c r="F21" s="198">
        <f>IFERROR(VLOOKUP(C21,[1]Sheet1!$A$1:$D$65536,3,0)/K21,"")</f>
        <v>1.8052222222222223</v>
      </c>
      <c r="G21" s="187" t="s">
        <v>857</v>
      </c>
      <c r="H21" s="109"/>
      <c r="I21" s="109"/>
      <c r="J21" s="56">
        <f t="shared" si="0"/>
        <v>0</v>
      </c>
      <c r="K21" s="5">
        <v>9</v>
      </c>
      <c r="L21" s="11" t="s">
        <v>81</v>
      </c>
      <c r="M21" s="146">
        <f>113400/9</f>
        <v>12600</v>
      </c>
      <c r="N21" s="147">
        <f t="shared" si="1"/>
        <v>0</v>
      </c>
      <c r="O21" s="39" t="s">
        <v>714</v>
      </c>
    </row>
    <row r="22" spans="1:15" ht="30" hidden="1" customHeight="1">
      <c r="A22" s="29">
        <v>18</v>
      </c>
      <c r="B22" s="5" t="s">
        <v>412</v>
      </c>
      <c r="C22" s="83">
        <v>30003443</v>
      </c>
      <c r="D22" s="1" t="s">
        <v>444</v>
      </c>
      <c r="E22" s="5" t="s">
        <v>443</v>
      </c>
      <c r="F22" s="100">
        <f>IFERROR(VLOOKUP(C22,[1]Sheet1!$A$1:$D$65536,3,0)/K22,"")</f>
        <v>4.5</v>
      </c>
      <c r="G22" s="5"/>
      <c r="H22" s="10"/>
      <c r="I22" s="10"/>
      <c r="J22" s="56">
        <f t="shared" si="0"/>
        <v>0</v>
      </c>
      <c r="K22" s="5">
        <v>420</v>
      </c>
      <c r="L22" s="11" t="s">
        <v>446</v>
      </c>
      <c r="M22" s="146">
        <v>190</v>
      </c>
      <c r="N22" s="147">
        <f t="shared" si="1"/>
        <v>0</v>
      </c>
    </row>
    <row r="23" spans="1:15" ht="30" customHeight="1">
      <c r="A23" s="29">
        <v>19</v>
      </c>
      <c r="B23" s="5" t="s">
        <v>412</v>
      </c>
      <c r="C23" s="83">
        <v>30002096</v>
      </c>
      <c r="D23" s="1" t="s">
        <v>35</v>
      </c>
      <c r="E23" s="5" t="s">
        <v>10</v>
      </c>
      <c r="F23" s="98">
        <f>IFERROR(VLOOKUP(C23,[1]Sheet1!$A$1:$D$65536,3,0)/K23,"")</f>
        <v>0.65650000000000008</v>
      </c>
      <c r="G23" s="5"/>
      <c r="H23" s="10">
        <v>4</v>
      </c>
      <c r="I23" s="10">
        <v>8</v>
      </c>
      <c r="J23" s="56">
        <f t="shared" si="0"/>
        <v>48</v>
      </c>
      <c r="K23" s="5">
        <v>10</v>
      </c>
      <c r="L23" s="11" t="s">
        <v>81</v>
      </c>
      <c r="M23" s="146">
        <v>7800</v>
      </c>
      <c r="N23" s="147">
        <f t="shared" si="1"/>
        <v>374400</v>
      </c>
    </row>
    <row r="24" spans="1:15" s="33" customFormat="1" ht="30" customHeight="1">
      <c r="A24" s="29">
        <v>20</v>
      </c>
      <c r="B24" s="5" t="s">
        <v>412</v>
      </c>
      <c r="C24" s="83">
        <v>30003662</v>
      </c>
      <c r="D24" s="158" t="s">
        <v>872</v>
      </c>
      <c r="E24" s="159" t="s">
        <v>10</v>
      </c>
      <c r="F24" s="98" t="str">
        <f>IFERROR(VLOOKUP(C24,[1]Sheet1!$A$1:$D$65536,3,0)/K24,"")</f>
        <v/>
      </c>
      <c r="G24" s="159"/>
      <c r="H24" s="211"/>
      <c r="I24" s="211">
        <v>9</v>
      </c>
      <c r="J24" s="56">
        <f t="shared" ref="J24" si="4">H24*K24+I24</f>
        <v>9</v>
      </c>
      <c r="K24" s="5">
        <v>10</v>
      </c>
      <c r="L24" s="11" t="s">
        <v>103</v>
      </c>
      <c r="M24" s="191">
        <v>9000</v>
      </c>
      <c r="N24" s="242"/>
    </row>
    <row r="25" spans="1:15" ht="30" customHeight="1">
      <c r="A25" s="29">
        <v>21</v>
      </c>
      <c r="B25" s="5" t="s">
        <v>412</v>
      </c>
      <c r="C25" s="83">
        <v>30003299</v>
      </c>
      <c r="D25" s="51" t="s">
        <v>300</v>
      </c>
      <c r="E25" s="5" t="s">
        <v>10</v>
      </c>
      <c r="F25" s="98">
        <f>IFERROR(VLOOKUP(C25,[1]Sheet1!$A$1:$D$65536,3,0)/K25,"")</f>
        <v>0.29020000000000001</v>
      </c>
      <c r="G25" s="47"/>
      <c r="H25" s="10">
        <v>4</v>
      </c>
      <c r="I25" s="10">
        <v>1</v>
      </c>
      <c r="J25" s="56">
        <f t="shared" si="0"/>
        <v>41</v>
      </c>
      <c r="K25" s="5">
        <v>10</v>
      </c>
      <c r="L25" s="11" t="s">
        <v>81</v>
      </c>
      <c r="M25" s="146">
        <v>7400</v>
      </c>
      <c r="N25" s="147">
        <f t="shared" si="1"/>
        <v>303400</v>
      </c>
    </row>
    <row r="26" spans="1:15" ht="30" customHeight="1">
      <c r="A26" s="29">
        <v>22</v>
      </c>
      <c r="B26" s="5" t="s">
        <v>412</v>
      </c>
      <c r="C26" s="83">
        <v>30002077</v>
      </c>
      <c r="D26" s="1" t="s">
        <v>118</v>
      </c>
      <c r="E26" s="5" t="s">
        <v>10</v>
      </c>
      <c r="F26" s="98">
        <f>IFERROR(VLOOKUP(C26,[1]Sheet1!$A$1:$D$65536,3,0)/K26,"")</f>
        <v>0.55759999999999998</v>
      </c>
      <c r="G26" s="5"/>
      <c r="H26" s="10">
        <v>3</v>
      </c>
      <c r="I26" s="10">
        <v>3</v>
      </c>
      <c r="J26" s="56">
        <f t="shared" si="0"/>
        <v>33</v>
      </c>
      <c r="K26" s="5">
        <v>10</v>
      </c>
      <c r="L26" s="11" t="s">
        <v>82</v>
      </c>
      <c r="M26" s="146">
        <v>7885</v>
      </c>
      <c r="N26" s="147">
        <f t="shared" si="1"/>
        <v>260205</v>
      </c>
    </row>
    <row r="27" spans="1:15" ht="30" hidden="1" customHeight="1">
      <c r="A27" s="29">
        <v>23</v>
      </c>
      <c r="B27" s="5" t="s">
        <v>412</v>
      </c>
      <c r="C27" s="83">
        <v>30003608</v>
      </c>
      <c r="D27" s="199" t="s">
        <v>729</v>
      </c>
      <c r="E27" s="187" t="s">
        <v>10</v>
      </c>
      <c r="F27" s="198">
        <f>IFERROR(VLOOKUP(C27,[1]Sheet1!$A$1:$D$65536,3,0)/K27,"")</f>
        <v>0.57409999999999994</v>
      </c>
      <c r="G27" s="187" t="s">
        <v>828</v>
      </c>
      <c r="H27" s="200"/>
      <c r="I27" s="200"/>
      <c r="J27" s="56">
        <f t="shared" si="0"/>
        <v>0</v>
      </c>
      <c r="K27" s="5">
        <v>10</v>
      </c>
      <c r="L27" s="11" t="s">
        <v>728</v>
      </c>
      <c r="M27" s="146">
        <v>7886</v>
      </c>
      <c r="N27" s="147">
        <f t="shared" si="1"/>
        <v>0</v>
      </c>
    </row>
    <row r="28" spans="1:15" s="33" customFormat="1" ht="30" hidden="1" customHeight="1">
      <c r="A28" s="29">
        <v>24</v>
      </c>
      <c r="B28" s="5" t="s">
        <v>412</v>
      </c>
      <c r="C28" s="83">
        <v>30003684</v>
      </c>
      <c r="D28" s="158" t="s">
        <v>912</v>
      </c>
      <c r="E28" s="159" t="s">
        <v>10</v>
      </c>
      <c r="F28" s="157"/>
      <c r="G28" s="159"/>
      <c r="H28" s="211"/>
      <c r="I28" s="211"/>
      <c r="J28" s="56">
        <f>H28*K28+I28</f>
        <v>0</v>
      </c>
      <c r="K28" s="5">
        <v>10</v>
      </c>
      <c r="L28" s="11" t="s">
        <v>103</v>
      </c>
      <c r="M28" s="191">
        <v>9000</v>
      </c>
      <c r="N28" s="242"/>
    </row>
    <row r="29" spans="1:15" ht="30" customHeight="1">
      <c r="A29" s="29">
        <v>41</v>
      </c>
      <c r="B29" s="5" t="s">
        <v>412</v>
      </c>
      <c r="C29" s="83">
        <v>20194658</v>
      </c>
      <c r="D29" s="158" t="s">
        <v>998</v>
      </c>
      <c r="E29" s="156" t="s">
        <v>10</v>
      </c>
      <c r="F29" s="157" t="str">
        <f>IFERROR(VLOOKUP(C29,[1]Sheet1!$A$1:$D$65536,3,0)/K29,"")</f>
        <v/>
      </c>
      <c r="G29" s="156"/>
      <c r="H29" s="200">
        <v>4</v>
      </c>
      <c r="I29" s="200">
        <v>1</v>
      </c>
      <c r="J29" s="56">
        <f>H29*K29+I29</f>
        <v>33</v>
      </c>
      <c r="K29" s="5">
        <v>8</v>
      </c>
      <c r="L29" s="11" t="s">
        <v>81</v>
      </c>
      <c r="M29" s="146">
        <v>11600</v>
      </c>
      <c r="N29" s="147">
        <f>M29*J29</f>
        <v>382800</v>
      </c>
    </row>
    <row r="30" spans="1:15" ht="30" hidden="1" customHeight="1">
      <c r="A30" s="29">
        <v>26</v>
      </c>
      <c r="B30" s="5" t="s">
        <v>412</v>
      </c>
      <c r="C30" s="83">
        <v>30003559</v>
      </c>
      <c r="D30" s="1" t="s">
        <v>623</v>
      </c>
      <c r="E30" s="5" t="s">
        <v>10</v>
      </c>
      <c r="F30" s="100">
        <f>IFERROR(VLOOKUP(C30,[1]Sheet1!$A$1:$D$65536,3,0)/K30,"")</f>
        <v>0.32429999999999998</v>
      </c>
      <c r="G30" s="5"/>
      <c r="H30" s="13"/>
      <c r="I30" s="13"/>
      <c r="J30" s="56">
        <f t="shared" si="0"/>
        <v>0</v>
      </c>
      <c r="K30" s="5">
        <v>10</v>
      </c>
      <c r="L30" s="11" t="s">
        <v>82</v>
      </c>
      <c r="M30" s="146">
        <v>9200</v>
      </c>
      <c r="N30" s="147">
        <f t="shared" si="1"/>
        <v>0</v>
      </c>
      <c r="O30" s="21" t="s">
        <v>711</v>
      </c>
    </row>
    <row r="31" spans="1:15" ht="30" hidden="1" customHeight="1">
      <c r="A31" s="29">
        <v>27</v>
      </c>
      <c r="B31" s="5" t="s">
        <v>667</v>
      </c>
      <c r="C31" s="83">
        <v>30003579</v>
      </c>
      <c r="D31" s="1" t="s">
        <v>666</v>
      </c>
      <c r="E31" s="5" t="s">
        <v>14</v>
      </c>
      <c r="F31" s="100">
        <f>IFERROR(VLOOKUP(C31,[1]Sheet1!$A$1:$D$65536,3,0)/K31,"")</f>
        <v>0.94410000000000005</v>
      </c>
      <c r="G31" s="5"/>
      <c r="H31" s="13"/>
      <c r="I31" s="13"/>
      <c r="J31" s="56">
        <f t="shared" si="0"/>
        <v>0</v>
      </c>
      <c r="K31" s="5">
        <v>10</v>
      </c>
      <c r="L31" s="11" t="s">
        <v>669</v>
      </c>
      <c r="M31" s="146">
        <v>7600</v>
      </c>
      <c r="N31" s="147">
        <f t="shared" si="1"/>
        <v>0</v>
      </c>
      <c r="O31" s="21" t="s">
        <v>712</v>
      </c>
    </row>
    <row r="32" spans="1:15" ht="30" customHeight="1">
      <c r="A32" s="29">
        <v>28</v>
      </c>
      <c r="B32" s="5" t="s">
        <v>412</v>
      </c>
      <c r="C32" s="83">
        <v>30003543</v>
      </c>
      <c r="D32" s="1" t="s">
        <v>617</v>
      </c>
      <c r="E32" s="5" t="s">
        <v>10</v>
      </c>
      <c r="F32" s="100">
        <f>IFERROR(VLOOKUP(C32,[1]Sheet1!$A$1:$D$65536,3,0)/K32,"")</f>
        <v>0.88119999999999998</v>
      </c>
      <c r="G32" s="5"/>
      <c r="H32" s="211"/>
      <c r="I32" s="211"/>
      <c r="J32" s="56">
        <f t="shared" si="0"/>
        <v>0</v>
      </c>
      <c r="K32" s="5">
        <v>10</v>
      </c>
      <c r="L32" s="11" t="s">
        <v>618</v>
      </c>
      <c r="M32" s="146">
        <f>156000/10</f>
        <v>15600</v>
      </c>
      <c r="N32" s="147">
        <f t="shared" si="1"/>
        <v>0</v>
      </c>
      <c r="O32" s="21" t="s">
        <v>713</v>
      </c>
    </row>
    <row r="33" spans="1:14" ht="30" customHeight="1">
      <c r="A33" s="29">
        <v>29</v>
      </c>
      <c r="B33" s="5" t="s">
        <v>412</v>
      </c>
      <c r="C33" s="83">
        <v>30002585</v>
      </c>
      <c r="D33" s="51" t="s">
        <v>284</v>
      </c>
      <c r="E33" s="5" t="s">
        <v>10</v>
      </c>
      <c r="F33" s="98">
        <f>IFERROR(VLOOKUP(C33,[1]Sheet1!$A$1:$D$65536,3,0)/K33,"")</f>
        <v>1.0210000000000001</v>
      </c>
      <c r="G33" s="5"/>
      <c r="H33" s="13">
        <v>3</v>
      </c>
      <c r="I33" s="13"/>
      <c r="J33" s="56">
        <f t="shared" si="0"/>
        <v>30</v>
      </c>
      <c r="K33" s="5">
        <v>10</v>
      </c>
      <c r="L33" s="11" t="s">
        <v>81</v>
      </c>
      <c r="M33" s="146">
        <v>9600</v>
      </c>
      <c r="N33" s="147">
        <f t="shared" si="1"/>
        <v>288000</v>
      </c>
    </row>
    <row r="34" spans="1:14" s="33" customFormat="1" ht="30" customHeight="1">
      <c r="A34" s="29">
        <v>30</v>
      </c>
      <c r="B34" s="5" t="s">
        <v>412</v>
      </c>
      <c r="C34" s="83">
        <v>30003634</v>
      </c>
      <c r="D34" s="158" t="s">
        <v>926</v>
      </c>
      <c r="E34" s="159" t="s">
        <v>10</v>
      </c>
      <c r="F34" s="157"/>
      <c r="G34" s="159" t="s">
        <v>925</v>
      </c>
      <c r="H34" s="211"/>
      <c r="I34" s="211"/>
      <c r="J34" s="56">
        <f t="shared" si="0"/>
        <v>0</v>
      </c>
      <c r="K34" s="5">
        <v>10</v>
      </c>
      <c r="L34" s="11" t="s">
        <v>842</v>
      </c>
      <c r="M34" s="191">
        <v>9000</v>
      </c>
      <c r="N34" s="242"/>
    </row>
    <row r="35" spans="1:14" ht="30" customHeight="1">
      <c r="A35" s="29">
        <v>31</v>
      </c>
      <c r="B35" s="5" t="s">
        <v>412</v>
      </c>
      <c r="C35" s="83">
        <v>30003439</v>
      </c>
      <c r="D35" s="1" t="s">
        <v>435</v>
      </c>
      <c r="E35" s="5" t="s">
        <v>392</v>
      </c>
      <c r="F35" s="100">
        <f>IFERROR(VLOOKUP(C35,[1]Sheet1!$A$1:$D$65536,3,0)/K35,"")</f>
        <v>0.46369999999999995</v>
      </c>
      <c r="G35" s="5"/>
      <c r="H35" s="10"/>
      <c r="I35" s="10"/>
      <c r="J35" s="56">
        <v>5</v>
      </c>
      <c r="K35" s="5">
        <v>10</v>
      </c>
      <c r="L35" s="11" t="s">
        <v>437</v>
      </c>
      <c r="M35" s="146">
        <v>7600</v>
      </c>
      <c r="N35" s="147">
        <f t="shared" si="1"/>
        <v>38000</v>
      </c>
    </row>
    <row r="36" spans="1:14" s="33" customFormat="1" ht="30" customHeight="1">
      <c r="A36" s="29">
        <v>33</v>
      </c>
      <c r="B36" s="5" t="s">
        <v>412</v>
      </c>
      <c r="C36" s="83">
        <v>30003653</v>
      </c>
      <c r="D36" s="158" t="s">
        <v>864</v>
      </c>
      <c r="E36" s="159" t="s">
        <v>10</v>
      </c>
      <c r="F36" s="157" t="str">
        <f>IFERROR(VLOOKUP(C36,[1]Sheet1!$A$1:$D$65536,3,0)/K36,"")</f>
        <v/>
      </c>
      <c r="G36" s="159"/>
      <c r="H36" s="211">
        <v>3</v>
      </c>
      <c r="I36" s="211">
        <v>1</v>
      </c>
      <c r="J36" s="56">
        <f>H36*K36+I36</f>
        <v>31</v>
      </c>
      <c r="K36" s="5">
        <v>10</v>
      </c>
      <c r="L36" s="11" t="s">
        <v>103</v>
      </c>
      <c r="M36" s="191">
        <v>9000</v>
      </c>
      <c r="N36" s="242"/>
    </row>
    <row r="37" spans="1:14" ht="30" customHeight="1">
      <c r="A37" s="29">
        <v>34</v>
      </c>
      <c r="B37" s="5" t="s">
        <v>412</v>
      </c>
      <c r="C37" s="83">
        <v>30003454</v>
      </c>
      <c r="D37" s="1" t="s">
        <v>463</v>
      </c>
      <c r="E37" s="5" t="s">
        <v>11</v>
      </c>
      <c r="F37" s="100">
        <f>IFERROR(VLOOKUP(C37,[1]Sheet1!$A$1:$D$65536,3,0)/K37,"")</f>
        <v>0.40499999999999997</v>
      </c>
      <c r="G37" s="5"/>
      <c r="H37" s="10">
        <v>1</v>
      </c>
      <c r="I37" s="10">
        <v>4</v>
      </c>
      <c r="J37" s="56">
        <f t="shared" si="0"/>
        <v>14</v>
      </c>
      <c r="K37" s="5">
        <v>10</v>
      </c>
      <c r="L37" s="11" t="s">
        <v>103</v>
      </c>
      <c r="M37" s="146">
        <v>6433</v>
      </c>
      <c r="N37" s="147">
        <f t="shared" si="1"/>
        <v>90062</v>
      </c>
    </row>
    <row r="38" spans="1:14" ht="30" customHeight="1">
      <c r="A38" s="29">
        <v>35</v>
      </c>
      <c r="B38" s="5" t="s">
        <v>412</v>
      </c>
      <c r="C38" s="83">
        <v>30003010</v>
      </c>
      <c r="D38" s="1" t="s">
        <v>117</v>
      </c>
      <c r="E38" s="5" t="s">
        <v>10</v>
      </c>
      <c r="F38" s="98">
        <f>IFERROR(VLOOKUP(C38,[1]Sheet1!$A$1:$D$65536,3,0)/K38,"")</f>
        <v>2.6840999999999999</v>
      </c>
      <c r="G38" s="5"/>
      <c r="H38" s="10">
        <v>6</v>
      </c>
      <c r="I38" s="10"/>
      <c r="J38" s="56">
        <f t="shared" si="0"/>
        <v>60</v>
      </c>
      <c r="K38" s="5">
        <v>10</v>
      </c>
      <c r="L38" s="11" t="s">
        <v>84</v>
      </c>
      <c r="M38" s="146">
        <v>5000</v>
      </c>
      <c r="N38" s="147">
        <f t="shared" si="1"/>
        <v>300000</v>
      </c>
    </row>
    <row r="39" spans="1:14" ht="30" customHeight="1">
      <c r="A39" s="29">
        <v>36</v>
      </c>
      <c r="B39" s="5" t="s">
        <v>412</v>
      </c>
      <c r="C39" s="83">
        <v>30002875</v>
      </c>
      <c r="D39" s="1" t="s">
        <v>236</v>
      </c>
      <c r="E39" s="5" t="s">
        <v>10</v>
      </c>
      <c r="F39" s="98">
        <f>IFERROR(VLOOKUP(C39,[1]Sheet1!$A$1:$D$65536,3,0)/K39,"")</f>
        <v>0.80589999999999995</v>
      </c>
      <c r="G39" s="5"/>
      <c r="H39" s="13"/>
      <c r="I39" s="13">
        <v>7</v>
      </c>
      <c r="J39" s="56">
        <f t="shared" si="0"/>
        <v>7</v>
      </c>
      <c r="K39" s="5">
        <v>10</v>
      </c>
      <c r="L39" s="11" t="s">
        <v>81</v>
      </c>
      <c r="M39" s="146">
        <v>7600</v>
      </c>
      <c r="N39" s="147">
        <f t="shared" si="1"/>
        <v>53200</v>
      </c>
    </row>
    <row r="40" spans="1:14" ht="30" customHeight="1">
      <c r="A40" s="29">
        <v>38</v>
      </c>
      <c r="B40" s="5" t="s">
        <v>412</v>
      </c>
      <c r="C40" s="83">
        <v>30002650</v>
      </c>
      <c r="D40" s="51" t="s">
        <v>198</v>
      </c>
      <c r="E40" s="5" t="s">
        <v>10</v>
      </c>
      <c r="F40" s="98">
        <f>IFERROR(VLOOKUP(C40,[1]Sheet1!$A$1:$D$65536,3,0)/K40,"")</f>
        <v>0.63380000000000003</v>
      </c>
      <c r="G40" s="5"/>
      <c r="H40" s="13">
        <v>1</v>
      </c>
      <c r="I40" s="13">
        <v>3</v>
      </c>
      <c r="J40" s="56">
        <f t="shared" si="0"/>
        <v>13</v>
      </c>
      <c r="K40" s="5">
        <v>10</v>
      </c>
      <c r="L40" s="11" t="s">
        <v>81</v>
      </c>
      <c r="M40" s="146">
        <v>7000</v>
      </c>
      <c r="N40" s="147">
        <f t="shared" si="1"/>
        <v>91000</v>
      </c>
    </row>
    <row r="41" spans="1:14" ht="30" customHeight="1">
      <c r="A41" s="29">
        <v>39</v>
      </c>
      <c r="B41" s="5" t="s">
        <v>412</v>
      </c>
      <c r="C41" s="83">
        <v>30003310</v>
      </c>
      <c r="D41" s="51" t="s">
        <v>299</v>
      </c>
      <c r="E41" s="5" t="s">
        <v>10</v>
      </c>
      <c r="F41" s="98">
        <f>IFERROR(VLOOKUP(C41,[1]Sheet1!$A$1:$D$65536,3,0)/K41,"")</f>
        <v>0.3755</v>
      </c>
      <c r="G41" s="47"/>
      <c r="H41" s="13"/>
      <c r="I41" s="13"/>
      <c r="J41" s="56">
        <f t="shared" si="0"/>
        <v>0</v>
      </c>
      <c r="K41" s="5">
        <v>10</v>
      </c>
      <c r="L41" s="11" t="s">
        <v>81</v>
      </c>
      <c r="M41" s="146">
        <v>6200</v>
      </c>
      <c r="N41" s="147">
        <f t="shared" si="1"/>
        <v>0</v>
      </c>
    </row>
    <row r="42" spans="1:14" ht="30" customHeight="1">
      <c r="A42" s="29">
        <v>40</v>
      </c>
      <c r="B42" s="5" t="s">
        <v>412</v>
      </c>
      <c r="C42" s="83">
        <v>30003308</v>
      </c>
      <c r="D42" s="51" t="s">
        <v>298</v>
      </c>
      <c r="E42" s="5" t="s">
        <v>10</v>
      </c>
      <c r="F42" s="98">
        <f>IFERROR(VLOOKUP(C42,[1]Sheet1!$A$1:$D$65536,3,0)/K42,"")</f>
        <v>0.56609999999999994</v>
      </c>
      <c r="G42" s="47"/>
      <c r="H42" s="13">
        <v>2</v>
      </c>
      <c r="I42" s="13">
        <v>4</v>
      </c>
      <c r="J42" s="56">
        <f t="shared" si="0"/>
        <v>24</v>
      </c>
      <c r="K42" s="5">
        <v>10</v>
      </c>
      <c r="L42" s="11" t="s">
        <v>81</v>
      </c>
      <c r="M42" s="146">
        <v>7600</v>
      </c>
      <c r="N42" s="147">
        <f t="shared" si="1"/>
        <v>182400</v>
      </c>
    </row>
    <row r="43" spans="1:14" ht="30" customHeight="1">
      <c r="A43" s="29">
        <v>41</v>
      </c>
      <c r="B43" s="5" t="s">
        <v>412</v>
      </c>
      <c r="C43" s="83">
        <v>30000091</v>
      </c>
      <c r="D43" s="158" t="s">
        <v>267</v>
      </c>
      <c r="E43" s="156" t="s">
        <v>10</v>
      </c>
      <c r="F43" s="157">
        <f>IFERROR(VLOOKUP(C43,[1]Sheet1!$A$1:$D$65536,3,0)/K43,"")</f>
        <v>0.36399999999999999</v>
      </c>
      <c r="G43" s="156"/>
      <c r="H43" s="211"/>
      <c r="I43" s="211">
        <v>5</v>
      </c>
      <c r="J43" s="56">
        <f t="shared" si="0"/>
        <v>5</v>
      </c>
      <c r="K43" s="5">
        <v>8</v>
      </c>
      <c r="L43" s="11" t="s">
        <v>81</v>
      </c>
      <c r="M43" s="146">
        <v>11600</v>
      </c>
      <c r="N43" s="147">
        <f t="shared" si="1"/>
        <v>58000</v>
      </c>
    </row>
    <row r="44" spans="1:14" ht="30" customHeight="1">
      <c r="A44" s="29">
        <v>41</v>
      </c>
      <c r="B44" s="5" t="s">
        <v>412</v>
      </c>
      <c r="C44" s="83">
        <v>30003748</v>
      </c>
      <c r="D44" s="158" t="s">
        <v>1004</v>
      </c>
      <c r="E44" s="156" t="s">
        <v>10</v>
      </c>
      <c r="F44" s="157" t="str">
        <f>IFERROR(VLOOKUP(C44,[1]Sheet1!$A$1:$D$65536,3,0)/K44,"")</f>
        <v/>
      </c>
      <c r="G44" s="156"/>
      <c r="H44" s="211"/>
      <c r="I44" s="211">
        <v>3</v>
      </c>
      <c r="J44" s="56">
        <f t="shared" ref="J44" si="5">H44*K44+I44</f>
        <v>3</v>
      </c>
      <c r="K44" s="5">
        <v>10</v>
      </c>
      <c r="L44" s="11" t="s">
        <v>81</v>
      </c>
      <c r="M44" s="146">
        <v>6000</v>
      </c>
      <c r="N44" s="147">
        <f t="shared" ref="N44" si="6">M44*J44</f>
        <v>18000</v>
      </c>
    </row>
    <row r="45" spans="1:14" ht="30" customHeight="1">
      <c r="A45" s="29">
        <v>41</v>
      </c>
      <c r="B45" s="5" t="s">
        <v>412</v>
      </c>
      <c r="C45" s="83">
        <v>30003763</v>
      </c>
      <c r="D45" s="217" t="s">
        <v>1022</v>
      </c>
      <c r="E45" s="156" t="s">
        <v>10</v>
      </c>
      <c r="F45" s="157" t="str">
        <f>IFERROR(VLOOKUP(C45,[1]Sheet1!$A$1:$D$65536,3,0)/K45,"")</f>
        <v/>
      </c>
      <c r="G45" s="156"/>
      <c r="H45" s="211">
        <v>6</v>
      </c>
      <c r="I45" s="211"/>
      <c r="J45" s="56">
        <f t="shared" si="0"/>
        <v>4800</v>
      </c>
      <c r="K45" s="5">
        <v>800</v>
      </c>
      <c r="L45" s="11" t="s">
        <v>81</v>
      </c>
      <c r="M45" s="146">
        <v>110</v>
      </c>
      <c r="N45" s="147">
        <f t="shared" si="1"/>
        <v>528000</v>
      </c>
    </row>
    <row r="46" spans="1:14" ht="30" customHeight="1">
      <c r="A46" s="29">
        <v>41</v>
      </c>
      <c r="B46" s="5" t="s">
        <v>412</v>
      </c>
      <c r="C46" s="83">
        <v>30003758</v>
      </c>
      <c r="D46" s="217" t="s">
        <v>1023</v>
      </c>
      <c r="E46" s="156" t="s">
        <v>10</v>
      </c>
      <c r="F46" s="157" t="str">
        <f>IFERROR(VLOOKUP(C46,[1]Sheet1!$A$1:$D$65536,3,0)/K46,"")</f>
        <v/>
      </c>
      <c r="G46" s="156"/>
      <c r="H46" s="211">
        <v>9</v>
      </c>
      <c r="I46" s="211"/>
      <c r="J46" s="56">
        <f t="shared" si="0"/>
        <v>90</v>
      </c>
      <c r="K46" s="5">
        <v>10</v>
      </c>
      <c r="L46" s="11" t="s">
        <v>81</v>
      </c>
      <c r="M46" s="146">
        <v>5400</v>
      </c>
      <c r="N46" s="147">
        <f t="shared" si="1"/>
        <v>486000</v>
      </c>
    </row>
    <row r="47" spans="1:14" ht="30" customHeight="1">
      <c r="A47" s="29">
        <v>41</v>
      </c>
      <c r="B47" s="5" t="s">
        <v>412</v>
      </c>
      <c r="C47" s="83">
        <v>300003764</v>
      </c>
      <c r="D47" s="217" t="s">
        <v>1198</v>
      </c>
      <c r="E47" s="156" t="s">
        <v>10</v>
      </c>
      <c r="F47" s="157" t="str">
        <f>IFERROR(VLOOKUP(C47,[1]Sheet1!$A$1:$D$65536,3,0)/K47,"")</f>
        <v/>
      </c>
      <c r="G47" s="156"/>
      <c r="H47" s="211">
        <v>9.5</v>
      </c>
      <c r="I47" s="211"/>
      <c r="J47" s="56">
        <f t="shared" ref="J47" si="7">H47*K47+I47</f>
        <v>4560</v>
      </c>
      <c r="K47" s="5">
        <v>480</v>
      </c>
      <c r="L47" s="11" t="s">
        <v>81</v>
      </c>
      <c r="M47" s="146">
        <v>135</v>
      </c>
      <c r="N47" s="147">
        <f t="shared" ref="N47" si="8">M47*J47</f>
        <v>615600</v>
      </c>
    </row>
    <row r="48" spans="1:14" ht="30" customHeight="1">
      <c r="A48" s="29">
        <v>42</v>
      </c>
      <c r="B48" s="5" t="s">
        <v>661</v>
      </c>
      <c r="C48" s="83">
        <v>30002599</v>
      </c>
      <c r="D48" s="1" t="s">
        <v>194</v>
      </c>
      <c r="E48" s="5" t="s">
        <v>145</v>
      </c>
      <c r="F48" s="100">
        <f>IFERROR(VLOOKUP(C48,[1]Sheet1!$A$1:$D$65536,3,0)/K48,"")</f>
        <v>9.0694999999999997</v>
      </c>
      <c r="G48" s="5"/>
      <c r="H48" s="10">
        <v>19</v>
      </c>
      <c r="I48" s="10">
        <v>1</v>
      </c>
      <c r="J48" s="56">
        <f t="shared" ref="J48:J76" si="9">H48*K48+I48</f>
        <v>39</v>
      </c>
      <c r="K48" s="5">
        <v>2</v>
      </c>
      <c r="L48" s="11" t="s">
        <v>80</v>
      </c>
      <c r="M48" s="146">
        <v>31000</v>
      </c>
      <c r="N48" s="147">
        <f t="shared" ref="N48:N80" si="10">M48*J48</f>
        <v>1209000</v>
      </c>
    </row>
    <row r="49" spans="1:16" s="44" customFormat="1" ht="30" customHeight="1">
      <c r="A49" s="29">
        <v>43</v>
      </c>
      <c r="B49" s="5" t="s">
        <v>661</v>
      </c>
      <c r="C49" s="83">
        <v>30003400</v>
      </c>
      <c r="D49" s="1" t="s">
        <v>338</v>
      </c>
      <c r="E49" s="5" t="s">
        <v>14</v>
      </c>
      <c r="F49" s="100">
        <f>IFERROR(VLOOKUP(C49,[1]Sheet1!$A$1:$D$65536,3,0)/K49,"")</f>
        <v>3.262</v>
      </c>
      <c r="G49" s="5"/>
      <c r="H49" s="10">
        <v>15</v>
      </c>
      <c r="I49" s="10">
        <v>6</v>
      </c>
      <c r="J49" s="56">
        <f t="shared" si="9"/>
        <v>126</v>
      </c>
      <c r="K49" s="5">
        <v>8</v>
      </c>
      <c r="L49" s="11" t="s">
        <v>80</v>
      </c>
      <c r="M49" s="191">
        <v>14700</v>
      </c>
      <c r="N49" s="147">
        <f t="shared" si="10"/>
        <v>1852200</v>
      </c>
      <c r="O49" s="44" t="s">
        <v>713</v>
      </c>
    </row>
    <row r="50" spans="1:16" ht="30" customHeight="1">
      <c r="A50" s="29">
        <v>44</v>
      </c>
      <c r="B50" s="5" t="s">
        <v>119</v>
      </c>
      <c r="C50" s="83">
        <v>30000746</v>
      </c>
      <c r="D50" s="1" t="s">
        <v>120</v>
      </c>
      <c r="E50" s="5" t="s">
        <v>109</v>
      </c>
      <c r="F50" s="98">
        <f>IFERROR(VLOOKUP(C50,[1]Sheet1!$A$1:$D$65536,3,0)/K50,"")</f>
        <v>0.46174999999999999</v>
      </c>
      <c r="G50" s="5"/>
      <c r="H50" s="10">
        <v>1</v>
      </c>
      <c r="I50" s="10">
        <v>3</v>
      </c>
      <c r="J50" s="56">
        <f t="shared" si="9"/>
        <v>7</v>
      </c>
      <c r="K50" s="5">
        <v>4</v>
      </c>
      <c r="L50" s="11" t="s">
        <v>103</v>
      </c>
      <c r="M50" s="146">
        <v>10500</v>
      </c>
      <c r="N50" s="147">
        <f t="shared" si="10"/>
        <v>73500</v>
      </c>
    </row>
    <row r="51" spans="1:16" ht="30" customHeight="1">
      <c r="A51" s="29">
        <v>45</v>
      </c>
      <c r="B51" s="12" t="s">
        <v>675</v>
      </c>
      <c r="C51" s="83">
        <v>30002442</v>
      </c>
      <c r="D51" s="1" t="s">
        <v>122</v>
      </c>
      <c r="E51" s="5" t="s">
        <v>14</v>
      </c>
      <c r="F51" s="98">
        <f>IFERROR(VLOOKUP(C51,[1]Sheet1!$A$1:$D$65536,3,0)/K51,"")</f>
        <v>8.4176000000000002</v>
      </c>
      <c r="G51" s="5"/>
      <c r="H51" s="10">
        <v>8</v>
      </c>
      <c r="I51" s="10">
        <v>2</v>
      </c>
      <c r="J51" s="56">
        <f t="shared" si="9"/>
        <v>42</v>
      </c>
      <c r="K51" s="5">
        <v>5</v>
      </c>
      <c r="L51" s="11" t="s">
        <v>80</v>
      </c>
      <c r="M51" s="146">
        <v>15540</v>
      </c>
      <c r="N51" s="147">
        <f t="shared" si="10"/>
        <v>652680</v>
      </c>
    </row>
    <row r="52" spans="1:16" s="44" customFormat="1" ht="30" customHeight="1">
      <c r="A52" s="29">
        <v>46</v>
      </c>
      <c r="B52" s="12" t="s">
        <v>675</v>
      </c>
      <c r="C52" s="83">
        <v>30002092</v>
      </c>
      <c r="D52" s="1" t="s">
        <v>248</v>
      </c>
      <c r="E52" s="5" t="s">
        <v>14</v>
      </c>
      <c r="F52" s="98">
        <f>IFERROR(VLOOKUP(C52,[1]Sheet1!$A$1:$D$65536,3,0)/K52,"")</f>
        <v>2.0404</v>
      </c>
      <c r="G52" s="5"/>
      <c r="H52" s="10">
        <v>2</v>
      </c>
      <c r="I52" s="10">
        <v>3</v>
      </c>
      <c r="J52" s="56">
        <f t="shared" si="9"/>
        <v>23</v>
      </c>
      <c r="K52" s="5">
        <v>10</v>
      </c>
      <c r="L52" s="11" t="s">
        <v>80</v>
      </c>
      <c r="M52" s="191">
        <v>10900</v>
      </c>
      <c r="N52" s="147">
        <f t="shared" si="10"/>
        <v>250700</v>
      </c>
    </row>
    <row r="53" spans="1:16" s="44" customFormat="1" ht="30" customHeight="1">
      <c r="A53" s="29">
        <v>46</v>
      </c>
      <c r="B53" s="12" t="s">
        <v>675</v>
      </c>
      <c r="C53" s="83">
        <v>30001919</v>
      </c>
      <c r="D53" s="51" t="s">
        <v>978</v>
      </c>
      <c r="E53" s="5" t="s">
        <v>14</v>
      </c>
      <c r="F53" s="98" t="str">
        <f>IFERROR(VLOOKUP(C53,[1]Sheet1!$A$1:$D$65536,3,0)/K53,"")</f>
        <v/>
      </c>
      <c r="G53" s="5"/>
      <c r="H53" s="10">
        <v>3</v>
      </c>
      <c r="I53" s="10">
        <v>8</v>
      </c>
      <c r="J53" s="56">
        <f t="shared" ref="J53:J55" si="11">H53*K53+I53</f>
        <v>38</v>
      </c>
      <c r="K53" s="5">
        <v>10</v>
      </c>
      <c r="L53" s="11" t="s">
        <v>80</v>
      </c>
      <c r="M53" s="191">
        <v>10900</v>
      </c>
      <c r="N53" s="147">
        <f t="shared" ref="N53:N55" si="12">M53*J53</f>
        <v>414200</v>
      </c>
    </row>
    <row r="54" spans="1:16" s="44" customFormat="1" ht="30" customHeight="1">
      <c r="A54" s="29">
        <v>46</v>
      </c>
      <c r="B54" s="12" t="s">
        <v>675</v>
      </c>
      <c r="C54" s="83">
        <v>30003742</v>
      </c>
      <c r="D54" s="51" t="s">
        <v>979</v>
      </c>
      <c r="E54" s="5" t="s">
        <v>14</v>
      </c>
      <c r="F54" s="98" t="str">
        <f>IFERROR(VLOOKUP(C54,[1]Sheet1!$A$1:$D$65536,3,0)/K54,"")</f>
        <v/>
      </c>
      <c r="G54" s="5"/>
      <c r="H54" s="10">
        <v>20</v>
      </c>
      <c r="I54" s="10"/>
      <c r="J54" s="56">
        <f t="shared" si="11"/>
        <v>60</v>
      </c>
      <c r="K54" s="5">
        <v>3</v>
      </c>
      <c r="L54" s="11" t="s">
        <v>80</v>
      </c>
      <c r="M54" s="191">
        <v>10900</v>
      </c>
      <c r="N54" s="147">
        <f t="shared" si="12"/>
        <v>654000</v>
      </c>
    </row>
    <row r="55" spans="1:16" s="44" customFormat="1" ht="30" customHeight="1">
      <c r="A55" s="29">
        <v>46</v>
      </c>
      <c r="B55" s="12" t="s">
        <v>675</v>
      </c>
      <c r="C55" s="83">
        <v>30003601</v>
      </c>
      <c r="D55" s="51" t="s">
        <v>1002</v>
      </c>
      <c r="E55" s="5" t="s">
        <v>14</v>
      </c>
      <c r="F55" s="98">
        <f>IFERROR(VLOOKUP(C55,[1]Sheet1!$A$1:$D$65536,3,0)/K55,"")</f>
        <v>1.4684166666666665</v>
      </c>
      <c r="G55" s="5"/>
      <c r="H55" s="10">
        <v>6</v>
      </c>
      <c r="I55" s="10">
        <v>8</v>
      </c>
      <c r="J55" s="56">
        <f t="shared" si="11"/>
        <v>80</v>
      </c>
      <c r="K55" s="5">
        <v>12</v>
      </c>
      <c r="L55" s="11" t="s">
        <v>80</v>
      </c>
      <c r="M55" s="191">
        <v>10900</v>
      </c>
      <c r="N55" s="147">
        <f t="shared" si="12"/>
        <v>872000</v>
      </c>
    </row>
    <row r="56" spans="1:16" s="44" customFormat="1" ht="30" customHeight="1">
      <c r="A56" s="29">
        <v>46</v>
      </c>
      <c r="B56" s="12" t="s">
        <v>675</v>
      </c>
      <c r="C56" s="83">
        <v>30003757</v>
      </c>
      <c r="D56" s="2" t="s">
        <v>1012</v>
      </c>
      <c r="E56" s="5" t="s">
        <v>14</v>
      </c>
      <c r="F56" s="98" t="str">
        <f>IFERROR(VLOOKUP(C56,[1]Sheet1!$A$1:$D$65536,3,0)/K56,"")</f>
        <v/>
      </c>
      <c r="G56" s="5"/>
      <c r="H56" s="10">
        <v>14</v>
      </c>
      <c r="I56" s="10">
        <v>2</v>
      </c>
      <c r="J56" s="56">
        <f t="shared" si="9"/>
        <v>58</v>
      </c>
      <c r="K56" s="5">
        <v>4</v>
      </c>
      <c r="L56" s="11" t="s">
        <v>80</v>
      </c>
      <c r="M56" s="191">
        <v>10900</v>
      </c>
      <c r="N56" s="147">
        <f t="shared" si="10"/>
        <v>632200</v>
      </c>
    </row>
    <row r="57" spans="1:16" ht="30" customHeight="1">
      <c r="A57" s="29">
        <v>47</v>
      </c>
      <c r="B57" s="5" t="s">
        <v>914</v>
      </c>
      <c r="C57" s="83">
        <v>30000121</v>
      </c>
      <c r="D57" s="51" t="s">
        <v>913</v>
      </c>
      <c r="E57" s="47" t="s">
        <v>14</v>
      </c>
      <c r="F57" s="98"/>
      <c r="G57" s="47" t="s">
        <v>915</v>
      </c>
      <c r="H57" s="10"/>
      <c r="I57" s="10"/>
      <c r="J57" s="56">
        <f t="shared" ref="J57" si="13">H57*K57+I57</f>
        <v>0</v>
      </c>
      <c r="K57" s="5">
        <v>1</v>
      </c>
      <c r="L57" s="11" t="s">
        <v>80</v>
      </c>
      <c r="M57" s="146">
        <v>19700</v>
      </c>
      <c r="N57" s="147">
        <f t="shared" ref="N57" si="14">M57*J57</f>
        <v>0</v>
      </c>
    </row>
    <row r="58" spans="1:16" ht="30" customHeight="1">
      <c r="A58" s="29">
        <v>48</v>
      </c>
      <c r="B58" s="5" t="s">
        <v>256</v>
      </c>
      <c r="C58" s="83">
        <v>30003376</v>
      </c>
      <c r="D58" s="51" t="s">
        <v>454</v>
      </c>
      <c r="E58" s="5" t="s">
        <v>452</v>
      </c>
      <c r="F58" s="98">
        <f>IFERROR(VLOOKUP(C58,[1]Sheet1!$A$1:$D$65536,3,0)/K58,"")</f>
        <v>6.19</v>
      </c>
      <c r="G58" s="5"/>
      <c r="H58" s="10">
        <v>3</v>
      </c>
      <c r="I58" s="10"/>
      <c r="J58" s="56">
        <f t="shared" si="9"/>
        <v>3</v>
      </c>
      <c r="K58" s="5">
        <v>1</v>
      </c>
      <c r="L58" s="11" t="s">
        <v>456</v>
      </c>
      <c r="M58" s="191">
        <v>5000</v>
      </c>
      <c r="N58" s="147">
        <f t="shared" si="10"/>
        <v>15000</v>
      </c>
    </row>
    <row r="59" spans="1:16" ht="30" customHeight="1">
      <c r="A59" s="29">
        <v>49</v>
      </c>
      <c r="B59" s="5" t="s">
        <v>256</v>
      </c>
      <c r="C59" s="83">
        <v>30001166</v>
      </c>
      <c r="D59" s="51" t="s">
        <v>25</v>
      </c>
      <c r="E59" s="5" t="s">
        <v>10</v>
      </c>
      <c r="F59" s="98">
        <f>IFERROR(VLOOKUP(C59,[1]Sheet1!$A$1:$D$65536,3,0)/K59,"")</f>
        <v>2.0960000000000001</v>
      </c>
      <c r="G59" s="5"/>
      <c r="H59" s="10">
        <v>5</v>
      </c>
      <c r="I59" s="10">
        <v>4</v>
      </c>
      <c r="J59" s="56">
        <f t="shared" si="9"/>
        <v>29</v>
      </c>
      <c r="K59" s="5">
        <v>5</v>
      </c>
      <c r="L59" s="11" t="s">
        <v>83</v>
      </c>
      <c r="M59" s="191">
        <v>11000</v>
      </c>
      <c r="N59" s="147">
        <f t="shared" si="10"/>
        <v>319000</v>
      </c>
    </row>
    <row r="60" spans="1:16" ht="30" customHeight="1">
      <c r="A60" s="29">
        <v>50</v>
      </c>
      <c r="B60" s="5" t="s">
        <v>256</v>
      </c>
      <c r="C60" s="83">
        <v>30002298</v>
      </c>
      <c r="D60" s="51" t="s">
        <v>125</v>
      </c>
      <c r="E60" s="5" t="s">
        <v>10</v>
      </c>
      <c r="F60" s="98">
        <f>IFERROR(VLOOKUP(C60,[1]Sheet1!$A$1:$D$65536,3,0)/K60,"")</f>
        <v>4.4219999999999997</v>
      </c>
      <c r="G60" s="18"/>
      <c r="H60" s="10">
        <v>21</v>
      </c>
      <c r="I60" s="10"/>
      <c r="J60" s="56">
        <f t="shared" si="9"/>
        <v>21</v>
      </c>
      <c r="K60" s="5">
        <v>1</v>
      </c>
      <c r="L60" s="11" t="s">
        <v>83</v>
      </c>
      <c r="M60" s="146">
        <v>19000</v>
      </c>
      <c r="N60" s="147">
        <f t="shared" si="10"/>
        <v>399000</v>
      </c>
    </row>
    <row r="61" spans="1:16" ht="30" customHeight="1">
      <c r="A61" s="29">
        <v>51</v>
      </c>
      <c r="B61" s="5" t="s">
        <v>256</v>
      </c>
      <c r="C61" s="83">
        <v>30000124</v>
      </c>
      <c r="D61" s="51" t="s">
        <v>409</v>
      </c>
      <c r="E61" s="5" t="s">
        <v>10</v>
      </c>
      <c r="F61" s="98">
        <f>IFERROR(VLOOKUP(C61,[1]Sheet1!$A$1:$D$65536,3,0)/K61,"")</f>
        <v>3.5059999999999998</v>
      </c>
      <c r="G61" s="5"/>
      <c r="H61" s="10">
        <v>7</v>
      </c>
      <c r="I61" s="10"/>
      <c r="J61" s="56">
        <f t="shared" si="9"/>
        <v>14</v>
      </c>
      <c r="K61" s="5">
        <v>2</v>
      </c>
      <c r="L61" s="11" t="s">
        <v>86</v>
      </c>
      <c r="M61" s="146">
        <v>15000</v>
      </c>
      <c r="N61" s="147">
        <f t="shared" si="10"/>
        <v>210000</v>
      </c>
    </row>
    <row r="62" spans="1:16" ht="30" customHeight="1">
      <c r="A62" s="29">
        <v>52</v>
      </c>
      <c r="B62" s="5" t="s">
        <v>256</v>
      </c>
      <c r="C62" s="83">
        <v>30001136</v>
      </c>
      <c r="D62" s="51" t="s">
        <v>128</v>
      </c>
      <c r="E62" s="5" t="s">
        <v>10</v>
      </c>
      <c r="F62" s="98">
        <f>IFERROR(VLOOKUP(C62,[1]Sheet1!$A$1:$D$65536,3,0)/K62,"")</f>
        <v>8.8719999999999999</v>
      </c>
      <c r="G62" s="5"/>
      <c r="H62" s="10">
        <v>17</v>
      </c>
      <c r="I62" s="10"/>
      <c r="J62" s="56">
        <f t="shared" si="9"/>
        <v>17</v>
      </c>
      <c r="K62" s="5">
        <v>1</v>
      </c>
      <c r="L62" s="11" t="s">
        <v>83</v>
      </c>
      <c r="M62" s="146">
        <v>36000</v>
      </c>
      <c r="N62" s="147">
        <f t="shared" si="10"/>
        <v>612000</v>
      </c>
    </row>
    <row r="63" spans="1:16" ht="30" customHeight="1">
      <c r="A63" s="29">
        <v>53</v>
      </c>
      <c r="B63" s="5" t="s">
        <v>256</v>
      </c>
      <c r="C63" s="83">
        <v>30000081</v>
      </c>
      <c r="D63" s="51" t="s">
        <v>126</v>
      </c>
      <c r="E63" s="5" t="s">
        <v>10</v>
      </c>
      <c r="F63" s="98">
        <f>IFERROR(VLOOKUP(C63,[1]Sheet1!$A$1:$D$65536,3,0)/K63,"")</f>
        <v>0.59399999999999997</v>
      </c>
      <c r="G63" s="5"/>
      <c r="H63" s="10">
        <v>2</v>
      </c>
      <c r="I63" s="10"/>
      <c r="J63" s="56">
        <f t="shared" si="9"/>
        <v>2</v>
      </c>
      <c r="K63" s="5">
        <v>1</v>
      </c>
      <c r="L63" s="11" t="s">
        <v>83</v>
      </c>
      <c r="M63" s="146">
        <v>11000</v>
      </c>
      <c r="N63" s="147">
        <f t="shared" si="10"/>
        <v>22000</v>
      </c>
    </row>
    <row r="64" spans="1:16" ht="30" hidden="1" customHeight="1">
      <c r="A64" s="29">
        <v>54</v>
      </c>
      <c r="B64" s="5" t="s">
        <v>256</v>
      </c>
      <c r="C64" s="83"/>
      <c r="D64" s="117" t="s">
        <v>433</v>
      </c>
      <c r="E64" s="118" t="s">
        <v>11</v>
      </c>
      <c r="F64" s="112" t="str">
        <f>IFERROR(VLOOKUP(C64,[1]Sheet1!$A$1:$D$65536,3,0)/K64,"")</f>
        <v/>
      </c>
      <c r="G64" s="243">
        <v>46300</v>
      </c>
      <c r="H64" s="211"/>
      <c r="I64" s="153"/>
      <c r="J64" s="56">
        <f t="shared" si="9"/>
        <v>0</v>
      </c>
      <c r="K64" s="5">
        <v>1</v>
      </c>
      <c r="L64" s="11" t="s">
        <v>188</v>
      </c>
      <c r="M64" s="146">
        <v>2250</v>
      </c>
      <c r="N64" s="147">
        <f t="shared" si="10"/>
        <v>0</v>
      </c>
      <c r="O64" s="241" t="s">
        <v>841</v>
      </c>
      <c r="P64" s="241"/>
    </row>
    <row r="65" spans="1:16" ht="30" hidden="1" customHeight="1">
      <c r="A65" s="29">
        <v>55</v>
      </c>
      <c r="B65" s="5" t="s">
        <v>455</v>
      </c>
      <c r="C65" s="83"/>
      <c r="D65" s="117" t="s">
        <v>649</v>
      </c>
      <c r="E65" s="118" t="s">
        <v>452</v>
      </c>
      <c r="F65" s="112" t="str">
        <f>IFERROR(VLOOKUP(C65,[1]Sheet1!$A$1:$D$65536,3,0)/K65,"")</f>
        <v/>
      </c>
      <c r="G65" s="118" t="s">
        <v>453</v>
      </c>
      <c r="H65" s="153"/>
      <c r="I65" s="10"/>
      <c r="J65" s="56">
        <f t="shared" si="9"/>
        <v>0</v>
      </c>
      <c r="K65" s="5">
        <v>1</v>
      </c>
      <c r="L65" s="11" t="s">
        <v>456</v>
      </c>
      <c r="M65" s="191">
        <f>4500*7</f>
        <v>31500</v>
      </c>
      <c r="N65" s="147">
        <f t="shared" si="10"/>
        <v>0</v>
      </c>
    </row>
    <row r="66" spans="1:16" ht="30" customHeight="1">
      <c r="A66" s="29">
        <v>56</v>
      </c>
      <c r="B66" s="5" t="s">
        <v>256</v>
      </c>
      <c r="C66" s="83">
        <v>30001823</v>
      </c>
      <c r="D66" s="1" t="s">
        <v>72</v>
      </c>
      <c r="E66" s="5" t="s">
        <v>10</v>
      </c>
      <c r="F66" s="98">
        <f>IFERROR(VLOOKUP(C66,[1]Sheet1!$A$1:$D$65536,3,0)/K66,"")</f>
        <v>0.63</v>
      </c>
      <c r="G66" s="5"/>
      <c r="H66" s="10">
        <v>4</v>
      </c>
      <c r="I66" s="10"/>
      <c r="J66" s="56">
        <f t="shared" si="9"/>
        <v>4</v>
      </c>
      <c r="K66" s="5">
        <v>1</v>
      </c>
      <c r="L66" s="11" t="s">
        <v>86</v>
      </c>
      <c r="M66" s="191">
        <v>29000</v>
      </c>
      <c r="N66" s="147">
        <f t="shared" si="10"/>
        <v>116000</v>
      </c>
    </row>
    <row r="67" spans="1:16" ht="30" customHeight="1">
      <c r="A67" s="29">
        <v>57</v>
      </c>
      <c r="B67" s="5" t="s">
        <v>256</v>
      </c>
      <c r="C67" s="81">
        <v>30001126</v>
      </c>
      <c r="D67" s="51" t="s">
        <v>130</v>
      </c>
      <c r="E67" s="5" t="s">
        <v>10</v>
      </c>
      <c r="F67" s="98">
        <f>IFERROR(VLOOKUP(C67,[1]Sheet1!$A$1:$D$65536,3,0)/K67,"")</f>
        <v>16.805</v>
      </c>
      <c r="G67" s="5"/>
      <c r="H67" s="10">
        <v>35</v>
      </c>
      <c r="I67" s="10"/>
      <c r="J67" s="56">
        <f t="shared" si="9"/>
        <v>35</v>
      </c>
      <c r="K67" s="5">
        <v>1</v>
      </c>
      <c r="L67" s="11" t="s">
        <v>83</v>
      </c>
      <c r="M67" s="146">
        <v>20000</v>
      </c>
      <c r="N67" s="147">
        <f t="shared" si="10"/>
        <v>700000</v>
      </c>
    </row>
    <row r="68" spans="1:16" ht="30" customHeight="1">
      <c r="A68" s="29">
        <v>58</v>
      </c>
      <c r="B68" s="5" t="s">
        <v>256</v>
      </c>
      <c r="C68" s="81">
        <v>30000086</v>
      </c>
      <c r="D68" s="51" t="s">
        <v>127</v>
      </c>
      <c r="E68" s="5" t="s">
        <v>10</v>
      </c>
      <c r="F68" s="98">
        <f>IFERROR(VLOOKUP(C68,[1]Sheet1!$A$1:$D$65536,3,0)/K68,"")</f>
        <v>6.3529999999999998</v>
      </c>
      <c r="G68" s="5"/>
      <c r="H68" s="10">
        <v>33</v>
      </c>
      <c r="I68" s="10"/>
      <c r="J68" s="56">
        <f t="shared" si="9"/>
        <v>33</v>
      </c>
      <c r="K68" s="5">
        <v>1</v>
      </c>
      <c r="L68" s="11" t="s">
        <v>83</v>
      </c>
      <c r="M68" s="146">
        <v>5200</v>
      </c>
      <c r="N68" s="147">
        <f t="shared" si="10"/>
        <v>171600</v>
      </c>
    </row>
    <row r="69" spans="1:16" ht="30" customHeight="1">
      <c r="A69" s="29">
        <v>59</v>
      </c>
      <c r="B69" s="5" t="s">
        <v>256</v>
      </c>
      <c r="C69" s="81">
        <v>30003416</v>
      </c>
      <c r="D69" s="1" t="s">
        <v>357</v>
      </c>
      <c r="E69" s="5" t="s">
        <v>10</v>
      </c>
      <c r="F69" s="100">
        <f>IFERROR(VLOOKUP(C69,[1]Sheet1!$A$1:$D$65536,3,0)/K69,"")</f>
        <v>0.26800000000000002</v>
      </c>
      <c r="G69" s="5"/>
      <c r="H69" s="10">
        <v>1</v>
      </c>
      <c r="I69" s="10"/>
      <c r="J69" s="56">
        <f t="shared" si="9"/>
        <v>1</v>
      </c>
      <c r="K69" s="5">
        <v>1</v>
      </c>
      <c r="L69" s="11" t="s">
        <v>86</v>
      </c>
      <c r="M69" s="191">
        <v>31000</v>
      </c>
      <c r="N69" s="147">
        <f t="shared" si="10"/>
        <v>31000</v>
      </c>
    </row>
    <row r="70" spans="1:16" ht="30" customHeight="1">
      <c r="A70" s="29">
        <v>61</v>
      </c>
      <c r="B70" s="5" t="s">
        <v>256</v>
      </c>
      <c r="C70" s="81">
        <v>30003068</v>
      </c>
      <c r="D70" s="51" t="s">
        <v>887</v>
      </c>
      <c r="E70" s="47" t="s">
        <v>10</v>
      </c>
      <c r="F70" s="98" t="str">
        <f>IFERROR(VLOOKUP(C70,[1]Sheet1!$A$1:$D$65536,3,0)/K70,"")</f>
        <v/>
      </c>
      <c r="G70" s="47"/>
      <c r="H70" s="10"/>
      <c r="I70" s="10">
        <v>4</v>
      </c>
      <c r="J70" s="56">
        <f>H70*K70+I70</f>
        <v>4</v>
      </c>
      <c r="K70" s="5">
        <v>5</v>
      </c>
      <c r="L70" s="11" t="s">
        <v>86</v>
      </c>
      <c r="M70" s="191">
        <v>8500</v>
      </c>
      <c r="N70" s="147">
        <f>M70*J70</f>
        <v>34000</v>
      </c>
    </row>
    <row r="71" spans="1:16" ht="30" customHeight="1">
      <c r="A71" s="29"/>
      <c r="B71" s="5" t="s">
        <v>1199</v>
      </c>
      <c r="C71" s="81">
        <v>30003765</v>
      </c>
      <c r="D71" s="2" t="s">
        <v>1201</v>
      </c>
      <c r="E71" s="5" t="s">
        <v>12</v>
      </c>
      <c r="F71" s="100"/>
      <c r="G71" s="5"/>
      <c r="H71" s="10">
        <v>7</v>
      </c>
      <c r="I71" s="10">
        <v>5</v>
      </c>
      <c r="J71" s="56">
        <f>H71*K71+I71</f>
        <v>75</v>
      </c>
      <c r="K71" s="5">
        <v>10</v>
      </c>
      <c r="L71" s="11" t="s">
        <v>1202</v>
      </c>
      <c r="M71" s="191">
        <v>2700</v>
      </c>
      <c r="N71" s="147">
        <f>M71*J71</f>
        <v>202500</v>
      </c>
    </row>
    <row r="72" spans="1:16" ht="30" customHeight="1">
      <c r="A72" s="29"/>
      <c r="B72" s="5"/>
      <c r="C72" s="81"/>
      <c r="D72" s="1"/>
      <c r="E72" s="5"/>
      <c r="F72" s="100"/>
      <c r="G72" s="5"/>
      <c r="H72" s="10"/>
      <c r="I72" s="10"/>
      <c r="J72" s="56"/>
      <c r="K72" s="5"/>
      <c r="L72" s="11"/>
      <c r="M72" s="191"/>
      <c r="N72" s="147"/>
    </row>
    <row r="73" spans="1:16" ht="30" customHeight="1">
      <c r="A73" s="29"/>
      <c r="B73" s="5"/>
      <c r="C73" s="81"/>
      <c r="D73" s="1"/>
      <c r="E73" s="5"/>
      <c r="F73" s="100"/>
      <c r="G73" s="5"/>
      <c r="H73" s="10"/>
      <c r="I73" s="10"/>
      <c r="J73" s="56"/>
      <c r="K73" s="5"/>
      <c r="L73" s="11"/>
      <c r="M73" s="191"/>
      <c r="N73" s="147"/>
    </row>
    <row r="74" spans="1:16" ht="30" customHeight="1">
      <c r="A74" s="29"/>
      <c r="B74" s="5"/>
      <c r="C74" s="81"/>
      <c r="D74" s="1"/>
      <c r="E74" s="5"/>
      <c r="F74" s="100"/>
      <c r="G74" s="5"/>
      <c r="H74" s="10"/>
      <c r="I74" s="10"/>
      <c r="J74" s="56"/>
      <c r="K74" s="5"/>
      <c r="L74" s="11"/>
      <c r="M74" s="191"/>
      <c r="N74" s="147"/>
    </row>
    <row r="75" spans="1:16" ht="30" customHeight="1">
      <c r="A75" s="29"/>
      <c r="B75" s="5"/>
      <c r="C75" s="81"/>
      <c r="D75" s="1"/>
      <c r="E75" s="5"/>
      <c r="F75" s="100"/>
      <c r="G75" s="5"/>
      <c r="H75" s="10"/>
      <c r="I75" s="10"/>
      <c r="J75" s="56"/>
      <c r="K75" s="5"/>
      <c r="L75" s="11"/>
      <c r="M75" s="191"/>
      <c r="N75" s="147"/>
    </row>
    <row r="76" spans="1:16" ht="30" hidden="1" customHeight="1">
      <c r="A76" s="29">
        <v>62</v>
      </c>
      <c r="B76" s="5" t="s">
        <v>55</v>
      </c>
      <c r="C76" s="81">
        <v>30003320</v>
      </c>
      <c r="D76" s="51" t="s">
        <v>249</v>
      </c>
      <c r="E76" s="5" t="s">
        <v>14</v>
      </c>
      <c r="F76" s="98">
        <f>IFERROR(VLOOKUP(C76,[1]Sheet1!$A$1:$D$65536,3,0)/K76,"")/6</f>
        <v>5.6388888888888893</v>
      </c>
      <c r="G76" s="5"/>
      <c r="H76" s="48"/>
      <c r="I76" s="10"/>
      <c r="J76" s="56">
        <f t="shared" si="9"/>
        <v>0</v>
      </c>
      <c r="K76" s="5">
        <v>6</v>
      </c>
      <c r="L76" s="11" t="s">
        <v>86</v>
      </c>
      <c r="M76" s="192">
        <v>900</v>
      </c>
      <c r="N76" s="147">
        <f t="shared" si="10"/>
        <v>0</v>
      </c>
      <c r="O76" s="195">
        <v>46206</v>
      </c>
      <c r="P76" s="240"/>
    </row>
    <row r="77" spans="1:16" ht="30" hidden="1" customHeight="1">
      <c r="A77" s="29">
        <v>63</v>
      </c>
      <c r="B77" s="5" t="s">
        <v>55</v>
      </c>
      <c r="C77" s="81">
        <v>30003320</v>
      </c>
      <c r="D77" s="2" t="s">
        <v>861</v>
      </c>
      <c r="E77" s="5" t="s">
        <v>14</v>
      </c>
      <c r="F77" s="98"/>
      <c r="G77" s="5" t="s">
        <v>860</v>
      </c>
      <c r="H77" s="48"/>
      <c r="I77" s="10"/>
      <c r="J77" s="56">
        <f t="shared" ref="J77" si="15">H77*K77+I77</f>
        <v>0</v>
      </c>
      <c r="K77" s="5">
        <v>6</v>
      </c>
      <c r="L77" s="11" t="s">
        <v>86</v>
      </c>
      <c r="M77" s="192">
        <v>900</v>
      </c>
      <c r="N77" s="147">
        <f t="shared" ref="N77" si="16">M77*J77</f>
        <v>0</v>
      </c>
      <c r="O77" s="195">
        <v>46206</v>
      </c>
      <c r="P77" s="240"/>
    </row>
    <row r="78" spans="1:16" ht="30" hidden="1" customHeight="1">
      <c r="A78" s="29">
        <v>64</v>
      </c>
      <c r="B78" s="47"/>
      <c r="C78" s="248"/>
      <c r="D78" s="51"/>
      <c r="E78" s="47"/>
      <c r="F78" s="98"/>
      <c r="G78" s="47"/>
      <c r="H78" s="48"/>
      <c r="I78" s="48"/>
      <c r="J78" s="249"/>
      <c r="K78" s="47"/>
      <c r="L78" s="144"/>
      <c r="M78" s="192">
        <v>900</v>
      </c>
      <c r="N78" s="147">
        <f t="shared" si="10"/>
        <v>0</v>
      </c>
      <c r="O78" s="195">
        <v>46206</v>
      </c>
      <c r="P78" s="240"/>
    </row>
    <row r="79" spans="1:16" ht="30" hidden="1" customHeight="1">
      <c r="A79" s="29">
        <v>65</v>
      </c>
      <c r="B79" s="47"/>
      <c r="C79" s="248"/>
      <c r="D79" s="51"/>
      <c r="E79" s="47"/>
      <c r="F79" s="98"/>
      <c r="G79" s="47"/>
      <c r="H79" s="48"/>
      <c r="I79" s="48"/>
      <c r="J79" s="249"/>
      <c r="K79" s="47"/>
      <c r="L79" s="144"/>
      <c r="M79" s="192">
        <v>900</v>
      </c>
      <c r="N79" s="147">
        <f t="shared" ref="N79" si="17">M79*J79</f>
        <v>0</v>
      </c>
      <c r="O79" s="195">
        <v>46206</v>
      </c>
      <c r="P79" s="240"/>
    </row>
    <row r="80" spans="1:16" ht="30" hidden="1" customHeight="1">
      <c r="A80" s="29">
        <v>66</v>
      </c>
      <c r="B80" s="47"/>
      <c r="C80" s="248"/>
      <c r="D80" s="51"/>
      <c r="E80" s="47"/>
      <c r="F80" s="98"/>
      <c r="G80" s="47"/>
      <c r="H80" s="48"/>
      <c r="I80" s="48"/>
      <c r="J80" s="249"/>
      <c r="K80" s="47"/>
      <c r="L80" s="144"/>
      <c r="M80" s="192">
        <v>900</v>
      </c>
      <c r="N80" s="147">
        <f t="shared" si="10"/>
        <v>0</v>
      </c>
      <c r="O80" s="195">
        <v>46206</v>
      </c>
      <c r="P80" s="240"/>
    </row>
    <row r="81" spans="1:15" ht="30" customHeight="1">
      <c r="A81" s="29"/>
      <c r="B81" s="5"/>
      <c r="C81" s="81"/>
      <c r="D81" s="51"/>
      <c r="E81" s="5"/>
      <c r="F81" s="98"/>
      <c r="G81" s="5"/>
      <c r="H81" s="10"/>
      <c r="I81" s="10"/>
      <c r="J81" s="56"/>
      <c r="K81" s="5"/>
      <c r="L81" s="14"/>
      <c r="M81" s="150" t="s">
        <v>528</v>
      </c>
      <c r="N81" s="149">
        <f>SUM(N10:N80)</f>
        <v>18804903</v>
      </c>
    </row>
    <row r="82" spans="1:15" ht="30" customHeight="1">
      <c r="A82" s="29">
        <v>61</v>
      </c>
      <c r="B82" s="5" t="s">
        <v>256</v>
      </c>
      <c r="C82" s="81">
        <v>30003040</v>
      </c>
      <c r="D82" s="51" t="s">
        <v>847</v>
      </c>
      <c r="E82" s="47" t="s">
        <v>10</v>
      </c>
      <c r="F82" s="98" t="str">
        <f>IFERROR(VLOOKUP(C82,[1]Sheet1!$A$1:$D$65536,3,0)/K82,"")</f>
        <v/>
      </c>
      <c r="G82" s="47"/>
      <c r="H82" s="10"/>
      <c r="I82" s="10"/>
      <c r="J82" s="56">
        <f>H82*K82+I82</f>
        <v>0</v>
      </c>
      <c r="K82" s="5">
        <v>1</v>
      </c>
      <c r="L82" s="11" t="s">
        <v>86</v>
      </c>
      <c r="M82" s="191">
        <v>45000</v>
      </c>
      <c r="N82" s="147">
        <f>M82*J82</f>
        <v>0</v>
      </c>
    </row>
    <row r="83" spans="1:15" ht="30" customHeight="1">
      <c r="A83" s="29">
        <v>59</v>
      </c>
      <c r="B83" s="5" t="s">
        <v>256</v>
      </c>
      <c r="C83" s="81">
        <v>20195180</v>
      </c>
      <c r="D83" s="1" t="s">
        <v>829</v>
      </c>
      <c r="E83" s="5" t="s">
        <v>10</v>
      </c>
      <c r="F83" s="100" t="str">
        <f>IFERROR(VLOOKUP(C83,[1]Sheet1!$A$1:$D$65536,3,0)/K83,"")</f>
        <v/>
      </c>
      <c r="G83" s="5"/>
      <c r="H83" s="10"/>
      <c r="I83" s="10"/>
      <c r="J83" s="56">
        <f>H83*K83+I83</f>
        <v>0</v>
      </c>
      <c r="K83" s="5">
        <v>1</v>
      </c>
      <c r="L83" s="11" t="s">
        <v>86</v>
      </c>
      <c r="M83" s="191">
        <v>14000</v>
      </c>
      <c r="N83" s="147">
        <f>M83*J83</f>
        <v>0</v>
      </c>
    </row>
    <row r="84" spans="1:15" ht="30" customHeight="1">
      <c r="A84" s="29">
        <v>60</v>
      </c>
      <c r="B84" s="5" t="s">
        <v>256</v>
      </c>
      <c r="C84" s="81">
        <v>30003549</v>
      </c>
      <c r="D84" s="1" t="s">
        <v>830</v>
      </c>
      <c r="E84" s="5" t="s">
        <v>10</v>
      </c>
      <c r="F84" s="100" t="str">
        <f>IFERROR(VLOOKUP(C84,[1]Sheet1!$A$1:$D$65536,3,0)/K84,"")</f>
        <v/>
      </c>
      <c r="G84" s="5"/>
      <c r="H84" s="10"/>
      <c r="I84" s="10"/>
      <c r="J84" s="56">
        <f>H84*K84+I84</f>
        <v>0</v>
      </c>
      <c r="K84" s="5">
        <v>34</v>
      </c>
      <c r="L84" s="11" t="s">
        <v>86</v>
      </c>
      <c r="M84" s="193">
        <f>13750/34</f>
        <v>404.41176470588238</v>
      </c>
      <c r="N84" s="147">
        <f>M84*J84</f>
        <v>0</v>
      </c>
    </row>
    <row r="85" spans="1:15" ht="30" customHeight="1">
      <c r="A85" s="29"/>
      <c r="B85" s="5" t="s">
        <v>412</v>
      </c>
      <c r="C85" s="83">
        <v>30003584</v>
      </c>
      <c r="D85" s="199" t="s">
        <v>681</v>
      </c>
      <c r="E85" s="5" t="s">
        <v>10</v>
      </c>
      <c r="F85" s="98" t="str">
        <f>IFERROR(VLOOKUP(C85,[2]Sheet1!$A$1:$D$65536,3,0)/K85,"")</f>
        <v/>
      </c>
      <c r="G85" s="216" t="s">
        <v>720</v>
      </c>
      <c r="H85" s="200"/>
      <c r="I85" s="200"/>
      <c r="J85" s="56">
        <f t="shared" ref="J85:J114" si="18">H85*K85+I85</f>
        <v>0</v>
      </c>
      <c r="K85" s="5">
        <v>9</v>
      </c>
      <c r="L85" s="11" t="s">
        <v>672</v>
      </c>
      <c r="M85" s="191">
        <v>9000</v>
      </c>
      <c r="N85" s="147">
        <f t="shared" ref="N85:N92" si="19">M85*J85</f>
        <v>0</v>
      </c>
      <c r="O85" s="21" t="s">
        <v>710</v>
      </c>
    </row>
    <row r="86" spans="1:15" s="22" customFormat="1" ht="30" customHeight="1">
      <c r="A86" s="29"/>
      <c r="B86" s="5" t="s">
        <v>412</v>
      </c>
      <c r="C86" s="83">
        <v>30003586</v>
      </c>
      <c r="D86" s="199" t="s">
        <v>682</v>
      </c>
      <c r="E86" s="5" t="s">
        <v>10</v>
      </c>
      <c r="F86" s="98" t="str">
        <f>IFERROR(VLOOKUP(C86,[2]Sheet1!$A$1:$D$65536,3,0)/K86,"")</f>
        <v/>
      </c>
      <c r="G86" s="216" t="s">
        <v>720</v>
      </c>
      <c r="H86" s="200"/>
      <c r="I86" s="200"/>
      <c r="J86" s="56">
        <f t="shared" si="18"/>
        <v>0</v>
      </c>
      <c r="K86" s="5">
        <v>10</v>
      </c>
      <c r="L86" s="11" t="s">
        <v>81</v>
      </c>
      <c r="M86" s="191">
        <v>7900</v>
      </c>
      <c r="N86" s="147">
        <f t="shared" si="19"/>
        <v>0</v>
      </c>
      <c r="O86" s="22" t="s">
        <v>710</v>
      </c>
    </row>
    <row r="87" spans="1:15" s="39" customFormat="1" ht="30" customHeight="1">
      <c r="A87" s="29"/>
      <c r="B87" s="5" t="s">
        <v>256</v>
      </c>
      <c r="C87" s="81">
        <v>30002523</v>
      </c>
      <c r="D87" s="199" t="s">
        <v>138</v>
      </c>
      <c r="E87" s="5" t="s">
        <v>10</v>
      </c>
      <c r="F87" s="100">
        <f>IFERROR(VLOOKUP(C87,[3]Sheet1!$A$1:$D$65536,3,0)/K87,"")</f>
        <v>0.93859999999999988</v>
      </c>
      <c r="G87" s="187" t="s">
        <v>697</v>
      </c>
      <c r="H87" s="200"/>
      <c r="I87" s="200"/>
      <c r="J87" s="56">
        <f t="shared" si="18"/>
        <v>0</v>
      </c>
      <c r="K87" s="5">
        <v>5</v>
      </c>
      <c r="L87" s="11" t="s">
        <v>86</v>
      </c>
      <c r="M87" s="146">
        <v>7000</v>
      </c>
      <c r="N87" s="147">
        <f t="shared" si="19"/>
        <v>0</v>
      </c>
    </row>
    <row r="88" spans="1:15" ht="30" customHeight="1">
      <c r="A88" s="29"/>
      <c r="B88" s="5" t="s">
        <v>256</v>
      </c>
      <c r="C88" s="81">
        <v>30003549</v>
      </c>
      <c r="D88" s="199" t="s">
        <v>612</v>
      </c>
      <c r="E88" s="5" t="s">
        <v>10</v>
      </c>
      <c r="F88" s="20">
        <f>IFERROR(VLOOKUP(C88,[3]Sheet1!$A$1:$D$65536,3,0)/K88,"")</f>
        <v>2.2735294117647058E-2</v>
      </c>
      <c r="G88" s="187" t="s">
        <v>700</v>
      </c>
      <c r="H88" s="10"/>
      <c r="I88" s="200"/>
      <c r="J88" s="56">
        <f t="shared" si="18"/>
        <v>0</v>
      </c>
      <c r="K88" s="5">
        <v>34</v>
      </c>
      <c r="L88" s="11" t="s">
        <v>86</v>
      </c>
      <c r="M88" s="146">
        <v>404.4</v>
      </c>
      <c r="N88" s="147">
        <f t="shared" si="19"/>
        <v>0</v>
      </c>
    </row>
    <row r="89" spans="1:15" ht="30" customHeight="1">
      <c r="A89" s="29"/>
      <c r="B89" s="5" t="s">
        <v>256</v>
      </c>
      <c r="C89" s="81">
        <v>30003548</v>
      </c>
      <c r="D89" s="199" t="s">
        <v>611</v>
      </c>
      <c r="E89" s="5" t="s">
        <v>10</v>
      </c>
      <c r="F89" s="20">
        <f>IFERROR(VLOOKUP(C89,[3]Sheet1!$A$1:$D$65536,3,0)/K89,"")</f>
        <v>3.5000000000000003E-2</v>
      </c>
      <c r="G89" s="187" t="s">
        <v>700</v>
      </c>
      <c r="H89" s="200"/>
      <c r="I89" s="10"/>
      <c r="J89" s="56">
        <f t="shared" si="18"/>
        <v>0</v>
      </c>
      <c r="K89" s="5">
        <v>1</v>
      </c>
      <c r="L89" s="11" t="s">
        <v>86</v>
      </c>
      <c r="M89" s="146">
        <v>14000</v>
      </c>
      <c r="N89" s="147">
        <f t="shared" si="19"/>
        <v>0</v>
      </c>
    </row>
    <row r="90" spans="1:15" ht="30" customHeight="1">
      <c r="A90" s="29"/>
      <c r="B90" s="5" t="s">
        <v>412</v>
      </c>
      <c r="C90" s="83">
        <v>30003471</v>
      </c>
      <c r="D90" s="199" t="s">
        <v>516</v>
      </c>
      <c r="E90" s="187" t="s">
        <v>10</v>
      </c>
      <c r="F90" s="207">
        <f>IFERROR(VLOOKUP(C90,[3]Sheet1!$A$1:$D$65536,3,0)/K90,"")</f>
        <v>4.3E-3</v>
      </c>
      <c r="G90" s="187" t="s">
        <v>684</v>
      </c>
      <c r="H90" s="10"/>
      <c r="I90" s="200"/>
      <c r="J90" s="56">
        <f t="shared" si="18"/>
        <v>0</v>
      </c>
      <c r="K90" s="5">
        <v>10</v>
      </c>
      <c r="L90" s="11" t="s">
        <v>524</v>
      </c>
      <c r="M90" s="146">
        <v>7000</v>
      </c>
      <c r="N90" s="147">
        <f t="shared" si="19"/>
        <v>0</v>
      </c>
    </row>
    <row r="91" spans="1:15" ht="30" customHeight="1">
      <c r="A91" s="29"/>
      <c r="B91" s="5" t="s">
        <v>412</v>
      </c>
      <c r="C91" s="83">
        <v>30000094</v>
      </c>
      <c r="D91" s="199" t="s">
        <v>116</v>
      </c>
      <c r="E91" s="5" t="s">
        <v>10</v>
      </c>
      <c r="F91" s="98">
        <f>IFERROR(VLOOKUP(C91,[3]Sheet1!$A$1:$D$65536,3,0)/K91,"")</f>
        <v>0.36399999999999999</v>
      </c>
      <c r="G91" s="187" t="s">
        <v>702</v>
      </c>
      <c r="H91" s="200"/>
      <c r="I91" s="200"/>
      <c r="J91" s="56">
        <f t="shared" si="18"/>
        <v>0</v>
      </c>
      <c r="K91" s="5">
        <v>10</v>
      </c>
      <c r="L91" s="11" t="s">
        <v>82</v>
      </c>
      <c r="M91" s="146">
        <v>8200</v>
      </c>
      <c r="N91" s="147">
        <f t="shared" si="19"/>
        <v>0</v>
      </c>
    </row>
    <row r="92" spans="1:15" s="44" customFormat="1" ht="30" customHeight="1">
      <c r="A92" s="29"/>
      <c r="B92" s="5" t="s">
        <v>20</v>
      </c>
      <c r="C92" s="83">
        <v>30003531</v>
      </c>
      <c r="D92" s="155" t="s">
        <v>588</v>
      </c>
      <c r="E92" s="156" t="s">
        <v>14</v>
      </c>
      <c r="F92" s="174"/>
      <c r="G92" s="156" t="s">
        <v>627</v>
      </c>
      <c r="H92" s="10"/>
      <c r="I92" s="10"/>
      <c r="J92" s="56">
        <f t="shared" si="18"/>
        <v>0</v>
      </c>
      <c r="K92" s="5">
        <v>2</v>
      </c>
      <c r="L92" s="11" t="s">
        <v>80</v>
      </c>
      <c r="M92" s="146">
        <v>47000</v>
      </c>
      <c r="N92" s="147">
        <f t="shared" si="19"/>
        <v>0</v>
      </c>
    </row>
    <row r="93" spans="1:15" ht="30" customHeight="1">
      <c r="A93" s="29"/>
      <c r="B93" s="5" t="s">
        <v>412</v>
      </c>
      <c r="C93" s="83"/>
      <c r="D93" s="107" t="s">
        <v>347</v>
      </c>
      <c r="E93" s="108" t="s">
        <v>10</v>
      </c>
      <c r="F93" s="105"/>
      <c r="G93" s="108" t="s">
        <v>474</v>
      </c>
      <c r="H93" s="10"/>
      <c r="I93" s="10"/>
      <c r="J93" s="56">
        <f t="shared" si="18"/>
        <v>0</v>
      </c>
      <c r="K93" s="5">
        <v>9</v>
      </c>
      <c r="L93" s="11" t="s">
        <v>81</v>
      </c>
    </row>
    <row r="94" spans="1:15" ht="30" customHeight="1">
      <c r="A94" s="29"/>
      <c r="B94" s="12" t="s">
        <v>416</v>
      </c>
      <c r="C94" s="82"/>
      <c r="D94" s="107" t="s">
        <v>220</v>
      </c>
      <c r="E94" s="108" t="s">
        <v>109</v>
      </c>
      <c r="F94" s="105"/>
      <c r="G94" s="108" t="s">
        <v>462</v>
      </c>
      <c r="H94" s="10"/>
      <c r="I94" s="10"/>
      <c r="J94" s="56">
        <f t="shared" si="18"/>
        <v>0</v>
      </c>
      <c r="K94" s="5">
        <v>1</v>
      </c>
      <c r="L94" s="14" t="s">
        <v>80</v>
      </c>
    </row>
    <row r="95" spans="1:15" ht="30" customHeight="1">
      <c r="A95" s="29"/>
      <c r="B95" s="5" t="s">
        <v>412</v>
      </c>
      <c r="C95" s="83"/>
      <c r="D95" s="54" t="s">
        <v>243</v>
      </c>
      <c r="E95" s="5" t="s">
        <v>10</v>
      </c>
      <c r="F95" s="98"/>
      <c r="G95" s="53" t="s">
        <v>375</v>
      </c>
      <c r="H95" s="10"/>
      <c r="I95" s="10"/>
      <c r="J95" s="56">
        <f t="shared" si="18"/>
        <v>0</v>
      </c>
      <c r="K95" s="5">
        <v>10</v>
      </c>
      <c r="L95" s="11" t="s">
        <v>81</v>
      </c>
    </row>
    <row r="96" spans="1:15" ht="30" customHeight="1">
      <c r="A96" s="29"/>
      <c r="B96" s="5" t="s">
        <v>412</v>
      </c>
      <c r="C96" s="83"/>
      <c r="D96" s="2" t="s">
        <v>283</v>
      </c>
      <c r="E96" s="16" t="s">
        <v>10</v>
      </c>
      <c r="F96" s="99"/>
      <c r="G96" s="16" t="s">
        <v>450</v>
      </c>
      <c r="H96" s="10"/>
      <c r="I96" s="10"/>
      <c r="J96" s="56">
        <f t="shared" si="18"/>
        <v>0</v>
      </c>
      <c r="K96" s="5">
        <v>10</v>
      </c>
      <c r="L96" s="11" t="s">
        <v>81</v>
      </c>
    </row>
    <row r="97" spans="1:12" ht="30" customHeight="1">
      <c r="A97" s="29"/>
      <c r="B97" s="5" t="s">
        <v>412</v>
      </c>
      <c r="C97" s="84"/>
      <c r="D97" s="107" t="s">
        <v>377</v>
      </c>
      <c r="E97" s="108" t="s">
        <v>10</v>
      </c>
      <c r="F97" s="105"/>
      <c r="G97" s="113" t="s">
        <v>459</v>
      </c>
      <c r="H97" s="10"/>
      <c r="I97" s="10"/>
      <c r="J97" s="56">
        <f t="shared" si="18"/>
        <v>0</v>
      </c>
      <c r="K97" s="5">
        <v>9</v>
      </c>
      <c r="L97" s="11" t="s">
        <v>387</v>
      </c>
    </row>
    <row r="98" spans="1:12" ht="30" customHeight="1">
      <c r="A98" s="29"/>
      <c r="B98" s="5" t="s">
        <v>412</v>
      </c>
      <c r="C98" s="84"/>
      <c r="D98" s="107" t="s">
        <v>376</v>
      </c>
      <c r="E98" s="108" t="s">
        <v>10</v>
      </c>
      <c r="F98" s="105"/>
      <c r="G98" s="113" t="s">
        <v>459</v>
      </c>
      <c r="H98" s="10"/>
      <c r="I98" s="10"/>
      <c r="J98" s="56">
        <f t="shared" si="18"/>
        <v>0</v>
      </c>
      <c r="K98" s="5">
        <v>9</v>
      </c>
      <c r="L98" s="11" t="s">
        <v>387</v>
      </c>
    </row>
    <row r="99" spans="1:12" ht="30" customHeight="1">
      <c r="A99" s="29"/>
      <c r="B99" s="45" t="s">
        <v>417</v>
      </c>
      <c r="C99" s="80"/>
      <c r="D99" s="107" t="s">
        <v>379</v>
      </c>
      <c r="E99" s="108" t="s">
        <v>14</v>
      </c>
      <c r="F99" s="105"/>
      <c r="G99" s="108" t="s">
        <v>459</v>
      </c>
      <c r="H99" s="10"/>
      <c r="I99" s="10"/>
      <c r="J99" s="56">
        <f t="shared" si="18"/>
        <v>0</v>
      </c>
      <c r="K99" s="5">
        <v>5</v>
      </c>
      <c r="L99" s="14" t="s">
        <v>389</v>
      </c>
    </row>
    <row r="100" spans="1:12" ht="30" customHeight="1">
      <c r="A100" s="29"/>
      <c r="B100" s="5" t="s">
        <v>412</v>
      </c>
      <c r="C100" s="84"/>
      <c r="D100" s="107" t="s">
        <v>378</v>
      </c>
      <c r="E100" s="108" t="s">
        <v>10</v>
      </c>
      <c r="F100" s="105"/>
      <c r="G100" s="113" t="s">
        <v>459</v>
      </c>
      <c r="H100" s="10"/>
      <c r="I100" s="10"/>
      <c r="J100" s="56">
        <f t="shared" si="18"/>
        <v>0</v>
      </c>
      <c r="K100" s="5">
        <v>10</v>
      </c>
      <c r="L100" s="11" t="s">
        <v>388</v>
      </c>
    </row>
    <row r="101" spans="1:12" ht="30" customHeight="1">
      <c r="A101" s="29"/>
      <c r="B101" s="5" t="s">
        <v>412</v>
      </c>
      <c r="C101" s="83"/>
      <c r="D101" s="2" t="s">
        <v>346</v>
      </c>
      <c r="E101" s="16" t="s">
        <v>10</v>
      </c>
      <c r="F101" s="99"/>
      <c r="G101" s="16" t="s">
        <v>450</v>
      </c>
      <c r="H101" s="10"/>
      <c r="I101" s="10"/>
      <c r="J101" s="56">
        <f t="shared" si="18"/>
        <v>0</v>
      </c>
      <c r="K101" s="5">
        <v>10</v>
      </c>
      <c r="L101" s="11" t="s">
        <v>81</v>
      </c>
    </row>
    <row r="102" spans="1:12" s="33" customFormat="1" ht="30" customHeight="1">
      <c r="A102" s="29"/>
      <c r="B102" s="5" t="s">
        <v>412</v>
      </c>
      <c r="C102" s="83"/>
      <c r="D102" s="54" t="s">
        <v>206</v>
      </c>
      <c r="E102" s="5" t="s">
        <v>10</v>
      </c>
      <c r="F102" s="98"/>
      <c r="G102" s="53" t="s">
        <v>352</v>
      </c>
      <c r="H102" s="10"/>
      <c r="I102" s="10"/>
      <c r="J102" s="56">
        <f t="shared" si="18"/>
        <v>0</v>
      </c>
      <c r="K102" s="5">
        <v>9</v>
      </c>
      <c r="L102" s="11" t="s">
        <v>81</v>
      </c>
    </row>
    <row r="103" spans="1:12" s="33" customFormat="1" ht="30" customHeight="1">
      <c r="A103" s="29"/>
      <c r="B103" s="5" t="s">
        <v>412</v>
      </c>
      <c r="C103" s="83"/>
      <c r="D103" s="54" t="s">
        <v>207</v>
      </c>
      <c r="E103" s="5" t="s">
        <v>10</v>
      </c>
      <c r="F103" s="98"/>
      <c r="G103" s="53" t="s">
        <v>374</v>
      </c>
      <c r="H103" s="10"/>
      <c r="I103" s="10"/>
      <c r="J103" s="56">
        <f t="shared" si="18"/>
        <v>0</v>
      </c>
      <c r="K103" s="5">
        <v>10</v>
      </c>
      <c r="L103" s="11" t="s">
        <v>81</v>
      </c>
    </row>
    <row r="104" spans="1:12" ht="30" customHeight="1">
      <c r="A104" s="29"/>
      <c r="B104" s="5" t="s">
        <v>412</v>
      </c>
      <c r="C104" s="83"/>
      <c r="D104" s="54" t="s">
        <v>294</v>
      </c>
      <c r="E104" s="5" t="s">
        <v>10</v>
      </c>
      <c r="F104" s="98"/>
      <c r="G104" s="53" t="s">
        <v>385</v>
      </c>
      <c r="H104" s="10"/>
      <c r="I104" s="10"/>
      <c r="J104" s="56">
        <f t="shared" si="18"/>
        <v>0</v>
      </c>
      <c r="K104" s="5">
        <v>10</v>
      </c>
      <c r="L104" s="11" t="s">
        <v>81</v>
      </c>
    </row>
    <row r="105" spans="1:12" ht="30" customHeight="1">
      <c r="A105" s="29"/>
      <c r="B105" s="5" t="s">
        <v>412</v>
      </c>
      <c r="C105" s="83"/>
      <c r="D105" s="2" t="s">
        <v>318</v>
      </c>
      <c r="E105" s="16" t="s">
        <v>10</v>
      </c>
      <c r="F105" s="99"/>
      <c r="G105" s="16" t="s">
        <v>390</v>
      </c>
      <c r="H105" s="10"/>
      <c r="I105" s="10"/>
      <c r="J105" s="56">
        <f t="shared" si="18"/>
        <v>0</v>
      </c>
      <c r="K105" s="5">
        <v>9</v>
      </c>
      <c r="L105" s="11" t="s">
        <v>81</v>
      </c>
    </row>
    <row r="106" spans="1:12" ht="30" customHeight="1">
      <c r="A106" s="29"/>
      <c r="B106" s="5" t="s">
        <v>412</v>
      </c>
      <c r="C106" s="83"/>
      <c r="D106" s="2" t="s">
        <v>324</v>
      </c>
      <c r="E106" s="16" t="s">
        <v>10</v>
      </c>
      <c r="F106" s="99"/>
      <c r="G106" s="16" t="s">
        <v>390</v>
      </c>
      <c r="H106" s="10"/>
      <c r="I106" s="10"/>
      <c r="J106" s="56">
        <f t="shared" si="18"/>
        <v>0</v>
      </c>
      <c r="K106" s="5">
        <v>10</v>
      </c>
      <c r="L106" s="11" t="s">
        <v>81</v>
      </c>
    </row>
    <row r="107" spans="1:12" ht="30" customHeight="1">
      <c r="A107" s="29"/>
      <c r="B107" s="45" t="s">
        <v>54</v>
      </c>
      <c r="C107" s="80"/>
      <c r="D107" s="54" t="s">
        <v>197</v>
      </c>
      <c r="E107" s="47" t="s">
        <v>10</v>
      </c>
      <c r="F107" s="98"/>
      <c r="G107" s="53" t="s">
        <v>386</v>
      </c>
      <c r="H107" s="10"/>
      <c r="I107" s="10"/>
      <c r="J107" s="56">
        <f t="shared" si="18"/>
        <v>0</v>
      </c>
      <c r="K107" s="5">
        <v>2</v>
      </c>
      <c r="L107" s="14"/>
    </row>
    <row r="108" spans="1:12" ht="30" customHeight="1">
      <c r="A108" s="29"/>
      <c r="B108" s="45" t="s">
        <v>256</v>
      </c>
      <c r="C108" s="80"/>
      <c r="D108" s="54" t="s">
        <v>340</v>
      </c>
      <c r="E108" s="5" t="s">
        <v>10</v>
      </c>
      <c r="F108" s="98"/>
      <c r="G108" s="53" t="s">
        <v>385</v>
      </c>
      <c r="H108" s="10"/>
      <c r="I108" s="10"/>
      <c r="J108" s="56">
        <f t="shared" si="18"/>
        <v>0</v>
      </c>
      <c r="K108" s="5">
        <v>1</v>
      </c>
      <c r="L108" s="14" t="s">
        <v>86</v>
      </c>
    </row>
    <row r="109" spans="1:12" ht="30" customHeight="1">
      <c r="A109" s="29"/>
      <c r="B109" s="45" t="s">
        <v>256</v>
      </c>
      <c r="C109" s="80"/>
      <c r="D109" s="2" t="s">
        <v>273</v>
      </c>
      <c r="E109" s="16" t="s">
        <v>10</v>
      </c>
      <c r="F109" s="99"/>
      <c r="G109" s="16" t="s">
        <v>390</v>
      </c>
      <c r="H109" s="10"/>
      <c r="I109" s="10"/>
      <c r="J109" s="56">
        <f t="shared" si="18"/>
        <v>0</v>
      </c>
      <c r="K109" s="5">
        <v>1</v>
      </c>
      <c r="L109" s="14" t="s">
        <v>83</v>
      </c>
    </row>
    <row r="110" spans="1:12" ht="30" customHeight="1">
      <c r="A110" s="29"/>
      <c r="B110" s="45" t="s">
        <v>256</v>
      </c>
      <c r="C110" s="80"/>
      <c r="D110" s="2" t="s">
        <v>129</v>
      </c>
      <c r="E110" s="16" t="s">
        <v>10</v>
      </c>
      <c r="F110" s="99"/>
      <c r="G110" s="16" t="s">
        <v>390</v>
      </c>
      <c r="H110" s="10"/>
      <c r="I110" s="10"/>
      <c r="J110" s="56">
        <f t="shared" si="18"/>
        <v>0</v>
      </c>
      <c r="K110" s="5">
        <v>3</v>
      </c>
      <c r="L110" s="14" t="s">
        <v>83</v>
      </c>
    </row>
    <row r="111" spans="1:12" ht="30" customHeight="1">
      <c r="A111" s="29"/>
      <c r="B111" s="45" t="s">
        <v>256</v>
      </c>
      <c r="C111" s="80"/>
      <c r="D111" s="2" t="s">
        <v>418</v>
      </c>
      <c r="E111" s="16" t="s">
        <v>10</v>
      </c>
      <c r="F111" s="99"/>
      <c r="G111" s="16" t="s">
        <v>450</v>
      </c>
      <c r="H111" s="10"/>
      <c r="I111" s="10"/>
      <c r="J111" s="56">
        <f t="shared" si="18"/>
        <v>0</v>
      </c>
      <c r="K111" s="5">
        <v>1</v>
      </c>
      <c r="L111" s="14" t="s">
        <v>86</v>
      </c>
    </row>
    <row r="112" spans="1:12" ht="30" customHeight="1">
      <c r="A112" s="29"/>
      <c r="B112" s="45" t="s">
        <v>55</v>
      </c>
      <c r="C112" s="80"/>
      <c r="D112" s="54" t="s">
        <v>123</v>
      </c>
      <c r="E112" s="53" t="s">
        <v>110</v>
      </c>
      <c r="F112" s="102"/>
      <c r="G112" s="53" t="s">
        <v>457</v>
      </c>
      <c r="H112" s="10"/>
      <c r="I112" s="10"/>
      <c r="J112" s="56">
        <f t="shared" si="18"/>
        <v>0</v>
      </c>
      <c r="K112" s="5">
        <v>4</v>
      </c>
      <c r="L112" s="14" t="s">
        <v>225</v>
      </c>
    </row>
    <row r="113" spans="1:12" s="33" customFormat="1" ht="30" customHeight="1">
      <c r="A113" s="29"/>
      <c r="B113" s="5" t="s">
        <v>412</v>
      </c>
      <c r="C113" s="83"/>
      <c r="D113" s="54" t="s">
        <v>261</v>
      </c>
      <c r="E113" s="53" t="s">
        <v>10</v>
      </c>
      <c r="F113" s="102"/>
      <c r="G113" s="53" t="s">
        <v>410</v>
      </c>
      <c r="H113" s="10"/>
      <c r="I113" s="10"/>
      <c r="J113" s="56">
        <f t="shared" si="18"/>
        <v>0</v>
      </c>
      <c r="K113" s="5">
        <v>9</v>
      </c>
      <c r="L113" s="11" t="s">
        <v>81</v>
      </c>
    </row>
    <row r="114" spans="1:12" s="23" customFormat="1" ht="30" customHeight="1">
      <c r="A114" s="29"/>
      <c r="B114" s="5" t="s">
        <v>412</v>
      </c>
      <c r="C114" s="83"/>
      <c r="D114" s="8" t="s">
        <v>79</v>
      </c>
      <c r="E114" s="16" t="s">
        <v>10</v>
      </c>
      <c r="F114" s="99"/>
      <c r="G114" s="101" t="s">
        <v>451</v>
      </c>
      <c r="H114" s="10"/>
      <c r="I114" s="3"/>
      <c r="J114" s="56">
        <f t="shared" si="18"/>
        <v>0</v>
      </c>
      <c r="K114" s="4">
        <v>10</v>
      </c>
      <c r="L114" s="4" t="s">
        <v>81</v>
      </c>
    </row>
    <row r="117" spans="1:12" ht="39.950000000000003" customHeight="1"/>
  </sheetData>
  <mergeCells count="2">
    <mergeCell ref="A1:B2"/>
    <mergeCell ref="D1:I2"/>
  </mergeCells>
  <phoneticPr fontId="1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8" fitToHeight="0" orientation="portrait" r:id="rId1"/>
  <rowBreaks count="3" manualBreakCount="3">
    <brk id="47" max="11" man="1"/>
    <brk id="77" max="11" man="1"/>
    <brk id="93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6"/>
  <sheetViews>
    <sheetView showGridLines="0" view="pageBreakPreview" topLeftCell="A63" zoomScale="70" zoomScaleNormal="70" zoomScaleSheetLayoutView="70" workbookViewId="0">
      <selection activeCell="A5" sqref="A5:XFD68"/>
    </sheetView>
  </sheetViews>
  <sheetFormatPr defaultRowHeight="17.25"/>
  <cols>
    <col min="1" max="1" width="5.25" style="24" bestFit="1" customWidth="1"/>
    <col min="2" max="2" width="24.125" style="24" customWidth="1"/>
    <col min="3" max="3" width="11.625" style="24" customWidth="1"/>
    <col min="4" max="4" width="56.375" style="24" bestFit="1" customWidth="1"/>
    <col min="5" max="5" width="10.125" style="24" customWidth="1"/>
    <col min="6" max="6" width="12.875" style="25" customWidth="1"/>
    <col min="7" max="7" width="14.5" style="24" customWidth="1"/>
    <col min="8" max="9" width="14.75" style="32" customWidth="1"/>
    <col min="10" max="10" width="13.625" style="21" customWidth="1"/>
    <col min="11" max="11" width="13.625" style="32" customWidth="1"/>
    <col min="12" max="12" width="13.625" style="24" customWidth="1"/>
    <col min="13" max="13" width="12.625" style="21" bestFit="1" customWidth="1"/>
    <col min="14" max="14" width="21.875" style="21" bestFit="1" customWidth="1"/>
    <col min="15" max="16384" width="9" style="21"/>
  </cols>
  <sheetData>
    <row r="1" spans="1:15" ht="27" customHeight="1">
      <c r="A1" s="273" t="s">
        <v>7</v>
      </c>
      <c r="B1" s="274"/>
      <c r="C1" s="77"/>
      <c r="D1" s="261">
        <f ca="1">냉장1!D1</f>
        <v>46324</v>
      </c>
      <c r="E1" s="262"/>
      <c r="F1" s="262"/>
      <c r="G1" s="262"/>
      <c r="H1" s="262"/>
      <c r="I1" s="263"/>
      <c r="J1" s="64" t="s">
        <v>280</v>
      </c>
      <c r="K1" s="64" t="s">
        <v>281</v>
      </c>
      <c r="L1" s="64" t="s">
        <v>282</v>
      </c>
    </row>
    <row r="2" spans="1:15" ht="55.5" customHeight="1">
      <c r="A2" s="275"/>
      <c r="B2" s="276"/>
      <c r="C2" s="78"/>
      <c r="D2" s="264"/>
      <c r="E2" s="265"/>
      <c r="F2" s="265"/>
      <c r="G2" s="265"/>
      <c r="H2" s="265"/>
      <c r="I2" s="266"/>
      <c r="J2" s="65"/>
      <c r="K2" s="65"/>
      <c r="L2" s="65"/>
    </row>
    <row r="3" spans="1:15" ht="27" customHeight="1">
      <c r="A3" s="88" t="s">
        <v>227</v>
      </c>
      <c r="B3" s="90"/>
      <c r="C3" s="91"/>
      <c r="D3" s="74"/>
      <c r="E3" s="75"/>
      <c r="F3" s="132" t="str">
        <f>냉장1!F3</f>
        <v>6/14 기준</v>
      </c>
      <c r="G3" s="73"/>
      <c r="H3" s="74" t="s">
        <v>228</v>
      </c>
      <c r="I3" s="76"/>
      <c r="J3" s="74"/>
      <c r="K3" s="75"/>
      <c r="L3" s="76"/>
    </row>
    <row r="4" spans="1:15" ht="26.25" customHeight="1">
      <c r="A4" s="93" t="s">
        <v>0</v>
      </c>
      <c r="B4" s="93" t="s">
        <v>1</v>
      </c>
      <c r="C4" s="93" t="s">
        <v>358</v>
      </c>
      <c r="D4" s="93" t="s">
        <v>2</v>
      </c>
      <c r="E4" s="93" t="s">
        <v>6</v>
      </c>
      <c r="F4" s="164" t="s">
        <v>537</v>
      </c>
      <c r="G4" s="93" t="s">
        <v>21</v>
      </c>
      <c r="H4" s="93" t="s">
        <v>3</v>
      </c>
      <c r="I4" s="93" t="s">
        <v>5</v>
      </c>
      <c r="J4" s="93" t="s">
        <v>19</v>
      </c>
      <c r="K4" s="93" t="s">
        <v>16</v>
      </c>
      <c r="L4" s="93" t="s">
        <v>17</v>
      </c>
      <c r="M4" s="145" t="s">
        <v>469</v>
      </c>
      <c r="N4" s="145" t="s">
        <v>470</v>
      </c>
    </row>
    <row r="5" spans="1:15" s="33" customFormat="1" ht="30" customHeight="1">
      <c r="A5" s="29">
        <v>3</v>
      </c>
      <c r="B5" s="5" t="s">
        <v>422</v>
      </c>
      <c r="C5" s="81">
        <v>30003442</v>
      </c>
      <c r="D5" s="1" t="s">
        <v>442</v>
      </c>
      <c r="E5" s="5" t="s">
        <v>441</v>
      </c>
      <c r="F5" s="100">
        <f>IFERROR(VLOOKUP(C5,[1]Sheet1!$A$1:$D$65536,3,0)/K5,"")</f>
        <v>6.3</v>
      </c>
      <c r="G5" s="5"/>
      <c r="H5" s="10">
        <v>8</v>
      </c>
      <c r="I5" s="10"/>
      <c r="J5" s="56">
        <f>H5*K5+I5</f>
        <v>48</v>
      </c>
      <c r="K5" s="5">
        <v>6</v>
      </c>
      <c r="L5" s="11" t="s">
        <v>445</v>
      </c>
      <c r="M5" s="146">
        <v>8190</v>
      </c>
      <c r="N5" s="147">
        <f>M5*J5</f>
        <v>393120</v>
      </c>
    </row>
    <row r="6" spans="1:15" s="39" customFormat="1" ht="30" hidden="1" customHeight="1">
      <c r="A6" s="29">
        <v>4</v>
      </c>
      <c r="B6" s="5" t="s">
        <v>422</v>
      </c>
      <c r="C6" s="81">
        <v>30003393</v>
      </c>
      <c r="D6" s="1" t="s">
        <v>420</v>
      </c>
      <c r="E6" s="5" t="s">
        <v>14</v>
      </c>
      <c r="F6" s="100">
        <f>IFERROR(VLOOKUP(C6,[1]Sheet1!$A$1:$D$65536,3,0)/K6,"")</f>
        <v>6.1749999999999998</v>
      </c>
      <c r="G6" s="5"/>
      <c r="H6" s="10"/>
      <c r="I6" s="10"/>
      <c r="J6" s="56">
        <f t="shared" ref="J6" si="0">H6*K6+I6</f>
        <v>0</v>
      </c>
      <c r="K6" s="5">
        <v>6</v>
      </c>
      <c r="L6" s="11" t="s">
        <v>82</v>
      </c>
      <c r="M6" s="146">
        <v>7500</v>
      </c>
      <c r="N6" s="147">
        <f t="shared" ref="N6" si="1">M6*J6</f>
        <v>0</v>
      </c>
    </row>
    <row r="7" spans="1:15" ht="30" customHeight="1">
      <c r="A7" s="29">
        <v>5</v>
      </c>
      <c r="B7" s="5" t="s">
        <v>423</v>
      </c>
      <c r="C7" s="81">
        <v>30003294</v>
      </c>
      <c r="D7" s="1" t="s">
        <v>308</v>
      </c>
      <c r="E7" s="5" t="s">
        <v>11</v>
      </c>
      <c r="F7" s="100">
        <f>IFERROR(VLOOKUP(C7,[1]Sheet1!$A$1:$D$65536,3,0)/K7,"")</f>
        <v>2.2688333333333333</v>
      </c>
      <c r="G7" s="5"/>
      <c r="H7" s="10">
        <v>10</v>
      </c>
      <c r="I7" s="10"/>
      <c r="J7" s="56">
        <f t="shared" ref="J7:J8" si="2">H7*K7+I7</f>
        <v>60</v>
      </c>
      <c r="K7" s="5">
        <v>6</v>
      </c>
      <c r="L7" s="11" t="s">
        <v>103</v>
      </c>
      <c r="M7" s="146">
        <v>18600</v>
      </c>
      <c r="N7" s="147">
        <f t="shared" ref="N7:N8" si="3">M7*J7</f>
        <v>1116000</v>
      </c>
    </row>
    <row r="8" spans="1:15" ht="30" customHeight="1">
      <c r="A8" s="29">
        <v>5</v>
      </c>
      <c r="B8" s="5" t="s">
        <v>411</v>
      </c>
      <c r="C8" s="81">
        <v>30003606</v>
      </c>
      <c r="D8" s="51" t="s">
        <v>987</v>
      </c>
      <c r="E8" s="5" t="s">
        <v>11</v>
      </c>
      <c r="F8" s="100">
        <f>IFERROR(VLOOKUP(C8,[1]Sheet1!$A$1:$D$65536,3,0)/K8,"")</f>
        <v>0.58319999999999994</v>
      </c>
      <c r="G8" s="5"/>
      <c r="H8" s="10">
        <v>2</v>
      </c>
      <c r="I8" s="10"/>
      <c r="J8" s="56">
        <f t="shared" si="2"/>
        <v>20</v>
      </c>
      <c r="K8" s="5">
        <v>10</v>
      </c>
      <c r="L8" s="11" t="s">
        <v>103</v>
      </c>
      <c r="M8" s="146">
        <v>18600</v>
      </c>
      <c r="N8" s="147">
        <f t="shared" si="3"/>
        <v>372000</v>
      </c>
    </row>
    <row r="9" spans="1:15" ht="30" customHeight="1">
      <c r="A9" s="29">
        <v>4</v>
      </c>
      <c r="B9" s="5" t="s">
        <v>411</v>
      </c>
      <c r="C9" s="81">
        <v>30003532</v>
      </c>
      <c r="D9" s="51" t="s">
        <v>927</v>
      </c>
      <c r="E9" s="159" t="s">
        <v>218</v>
      </c>
      <c r="F9" s="157"/>
      <c r="G9" s="159" t="s">
        <v>925</v>
      </c>
      <c r="H9" s="10">
        <v>1</v>
      </c>
      <c r="I9" s="10">
        <v>7</v>
      </c>
      <c r="J9" s="56">
        <f>H9*K9+I9</f>
        <v>17</v>
      </c>
      <c r="K9" s="5">
        <v>10</v>
      </c>
      <c r="L9" s="11" t="s">
        <v>80</v>
      </c>
      <c r="M9" s="146">
        <v>19700</v>
      </c>
      <c r="N9" s="147">
        <f>M9*J9</f>
        <v>334900</v>
      </c>
    </row>
    <row r="10" spans="1:15" ht="30" customHeight="1">
      <c r="A10" s="29">
        <v>4</v>
      </c>
      <c r="B10" s="5" t="s">
        <v>411</v>
      </c>
      <c r="C10" s="81">
        <v>30003745</v>
      </c>
      <c r="D10" s="51" t="s">
        <v>1008</v>
      </c>
      <c r="E10" s="159" t="s">
        <v>218</v>
      </c>
      <c r="F10" s="157"/>
      <c r="G10" s="159"/>
      <c r="H10" s="10">
        <v>1</v>
      </c>
      <c r="I10" s="10"/>
      <c r="J10" s="56">
        <f>H10*K10+I10</f>
        <v>10</v>
      </c>
      <c r="K10" s="5">
        <v>10</v>
      </c>
      <c r="L10" s="11" t="s">
        <v>80</v>
      </c>
      <c r="M10" s="146">
        <v>19700</v>
      </c>
      <c r="N10" s="147">
        <f>M10*J10</f>
        <v>197000</v>
      </c>
    </row>
    <row r="11" spans="1:15" ht="30" customHeight="1">
      <c r="A11" s="29">
        <v>4</v>
      </c>
      <c r="B11" s="5" t="s">
        <v>417</v>
      </c>
      <c r="C11" s="81">
        <v>30003489</v>
      </c>
      <c r="D11" s="51" t="s">
        <v>1009</v>
      </c>
      <c r="E11" s="159" t="s">
        <v>218</v>
      </c>
      <c r="F11" s="157"/>
      <c r="G11" s="159"/>
      <c r="H11" s="10">
        <v>1</v>
      </c>
      <c r="I11" s="10"/>
      <c r="J11" s="56">
        <f>H11*K11+I11</f>
        <v>10</v>
      </c>
      <c r="K11" s="5">
        <v>10</v>
      </c>
      <c r="L11" s="11" t="s">
        <v>80</v>
      </c>
      <c r="M11" s="146">
        <v>19700</v>
      </c>
      <c r="N11" s="147">
        <f>M11*J11</f>
        <v>197000</v>
      </c>
    </row>
    <row r="12" spans="1:15" ht="30" customHeight="1">
      <c r="A12" s="29">
        <v>6</v>
      </c>
      <c r="B12" s="5" t="s">
        <v>257</v>
      </c>
      <c r="C12" s="81">
        <v>30003575</v>
      </c>
      <c r="D12" s="51" t="s">
        <v>652</v>
      </c>
      <c r="E12" s="5" t="s">
        <v>10</v>
      </c>
      <c r="F12" s="100">
        <f>IFERROR(VLOOKUP(C12,[1]Sheet1!$A$1:$D$65536,3,0)/K12,"")</f>
        <v>0.57166666666666666</v>
      </c>
      <c r="G12" s="5"/>
      <c r="H12" s="10"/>
      <c r="I12" s="10"/>
      <c r="J12" s="56">
        <f t="shared" ref="J12" si="4">H12*K12+I12</f>
        <v>0</v>
      </c>
      <c r="K12" s="5">
        <v>3</v>
      </c>
      <c r="L12" s="11" t="s">
        <v>653</v>
      </c>
      <c r="M12" s="146">
        <f>17700/3</f>
        <v>5900</v>
      </c>
      <c r="N12" s="147">
        <f t="shared" ref="N12" si="5">M12*J12</f>
        <v>0</v>
      </c>
      <c r="O12" s="21" t="s">
        <v>716</v>
      </c>
    </row>
    <row r="13" spans="1:15" ht="30" customHeight="1">
      <c r="A13" s="29">
        <v>7</v>
      </c>
      <c r="B13" s="5" t="s">
        <v>257</v>
      </c>
      <c r="C13" s="81">
        <v>30003391</v>
      </c>
      <c r="D13" s="51" t="s">
        <v>223</v>
      </c>
      <c r="E13" s="5" t="s">
        <v>10</v>
      </c>
      <c r="F13" s="100">
        <f>IFERROR(VLOOKUP(C13,[1]Sheet1!$A$1:$D$65536,3,0)/K13,"")</f>
        <v>11.671999999999999</v>
      </c>
      <c r="G13" s="5"/>
      <c r="H13" s="10"/>
      <c r="I13" s="10"/>
      <c r="J13" s="56">
        <f t="shared" ref="J13" si="6">H13*K13+I13</f>
        <v>0</v>
      </c>
      <c r="K13" s="5">
        <v>3</v>
      </c>
      <c r="L13" s="11" t="s">
        <v>88</v>
      </c>
      <c r="M13" s="146">
        <v>17700</v>
      </c>
      <c r="N13" s="147">
        <f>M13*J13</f>
        <v>0</v>
      </c>
    </row>
    <row r="14" spans="1:15" ht="30" customHeight="1">
      <c r="A14" s="29">
        <v>8</v>
      </c>
      <c r="B14" s="5" t="s">
        <v>257</v>
      </c>
      <c r="C14" s="81">
        <v>30002894</v>
      </c>
      <c r="D14" s="51" t="s">
        <v>241</v>
      </c>
      <c r="E14" s="47" t="s">
        <v>10</v>
      </c>
      <c r="F14" s="98">
        <f>IFERROR(VLOOKUP(C14,[1]Sheet1!$A$1:$D$65536,3,0)/K14,"")</f>
        <v>3.6038749999999999</v>
      </c>
      <c r="G14" s="47"/>
      <c r="H14" s="10"/>
      <c r="I14" s="10"/>
      <c r="J14" s="56">
        <f t="shared" ref="J14:J15" si="7">H14*K14+I14</f>
        <v>0</v>
      </c>
      <c r="K14" s="5">
        <v>8</v>
      </c>
      <c r="L14" s="11" t="s">
        <v>88</v>
      </c>
      <c r="M14" s="146">
        <v>7100</v>
      </c>
      <c r="N14" s="147">
        <f>M14*J14</f>
        <v>0</v>
      </c>
    </row>
    <row r="15" spans="1:15" ht="30" customHeight="1">
      <c r="A15" s="29">
        <v>9</v>
      </c>
      <c r="B15" s="5" t="s">
        <v>257</v>
      </c>
      <c r="C15" s="81">
        <v>30003072</v>
      </c>
      <c r="D15" s="51" t="s">
        <v>312</v>
      </c>
      <c r="E15" s="47" t="s">
        <v>10</v>
      </c>
      <c r="F15" s="98">
        <f>IFERROR(VLOOKUP(C15,[1]Sheet1!$A$1:$D$65536,3,0)/K15,"")</f>
        <v>6.4720000000000004</v>
      </c>
      <c r="G15" s="47"/>
      <c r="H15" s="10">
        <v>11</v>
      </c>
      <c r="I15" s="10">
        <v>6</v>
      </c>
      <c r="J15" s="56">
        <f t="shared" si="7"/>
        <v>94</v>
      </c>
      <c r="K15" s="5">
        <v>8</v>
      </c>
      <c r="L15" s="11" t="s">
        <v>88</v>
      </c>
      <c r="M15" s="146">
        <v>4900</v>
      </c>
      <c r="N15" s="147">
        <f>M15*J15</f>
        <v>460600</v>
      </c>
    </row>
    <row r="16" spans="1:15" ht="30" customHeight="1">
      <c r="A16" s="29">
        <v>9</v>
      </c>
      <c r="B16" s="5" t="s">
        <v>257</v>
      </c>
      <c r="C16" s="81">
        <v>30003072</v>
      </c>
      <c r="D16" s="51" t="s">
        <v>902</v>
      </c>
      <c r="E16" s="47" t="s">
        <v>903</v>
      </c>
      <c r="F16" s="98">
        <f>IFERROR(VLOOKUP(C16,[1]Sheet1!$A$1:$D$65536,3,0)/K16,"")</f>
        <v>0.45819469026548676</v>
      </c>
      <c r="G16" s="47"/>
      <c r="H16" s="10"/>
      <c r="I16" s="10"/>
      <c r="J16" s="56">
        <f t="shared" ref="J16:J17" si="8">H16*K16+I16</f>
        <v>0</v>
      </c>
      <c r="K16" s="5">
        <v>113</v>
      </c>
      <c r="L16" s="11" t="s">
        <v>88</v>
      </c>
      <c r="M16" s="146">
        <v>4900</v>
      </c>
      <c r="N16" s="147">
        <f>M16*J16</f>
        <v>0</v>
      </c>
    </row>
    <row r="17" spans="1:15" ht="30" customHeight="1">
      <c r="A17" s="29">
        <v>12</v>
      </c>
      <c r="B17" s="18" t="s">
        <v>633</v>
      </c>
      <c r="C17" s="81">
        <v>20195320</v>
      </c>
      <c r="D17" s="51" t="s">
        <v>957</v>
      </c>
      <c r="E17" s="47" t="s">
        <v>14</v>
      </c>
      <c r="F17" s="98" t="str">
        <f>IFERROR(VLOOKUP(C17,[1]Sheet1!$A$1:$D$65536,3,0)/K17,"")</f>
        <v/>
      </c>
      <c r="G17" s="47"/>
      <c r="H17" s="10">
        <v>35</v>
      </c>
      <c r="I17" s="10"/>
      <c r="J17" s="56">
        <f t="shared" si="8"/>
        <v>175</v>
      </c>
      <c r="K17" s="5">
        <v>5</v>
      </c>
      <c r="L17" s="11" t="s">
        <v>82</v>
      </c>
      <c r="M17" s="191">
        <v>12870</v>
      </c>
      <c r="N17" s="147">
        <f t="shared" ref="N17" si="9">M17*J17</f>
        <v>2252250</v>
      </c>
      <c r="O17" s="21" t="s">
        <v>711</v>
      </c>
    </row>
    <row r="18" spans="1:15" ht="30" customHeight="1">
      <c r="A18" s="29">
        <v>13</v>
      </c>
      <c r="B18" s="18" t="s">
        <v>633</v>
      </c>
      <c r="C18" s="81">
        <v>30002747</v>
      </c>
      <c r="D18" s="51" t="s">
        <v>954</v>
      </c>
      <c r="E18" s="47" t="s">
        <v>109</v>
      </c>
      <c r="F18" s="98">
        <f>IFERROR(VLOOKUP(C18,[1]Sheet1!$A$1:$D$65536,3,0)/K18,"")</f>
        <v>6.1811999999999996</v>
      </c>
      <c r="G18" s="47" t="s">
        <v>955</v>
      </c>
      <c r="H18" s="10">
        <v>17</v>
      </c>
      <c r="I18" s="10"/>
      <c r="J18" s="56">
        <f t="shared" ref="J18:J21" si="10">H18*K18+I18</f>
        <v>85</v>
      </c>
      <c r="K18" s="5">
        <v>5</v>
      </c>
      <c r="L18" s="11" t="s">
        <v>82</v>
      </c>
      <c r="M18" s="191">
        <v>12470</v>
      </c>
      <c r="N18" s="147">
        <f t="shared" ref="N18:N22" si="11">M18*J18</f>
        <v>1059950</v>
      </c>
    </row>
    <row r="19" spans="1:15" ht="30" customHeight="1">
      <c r="A19" s="29">
        <v>14</v>
      </c>
      <c r="B19" s="18" t="s">
        <v>633</v>
      </c>
      <c r="C19" s="81">
        <v>30002748</v>
      </c>
      <c r="D19" s="51" t="s">
        <v>938</v>
      </c>
      <c r="E19" s="5" t="s">
        <v>14</v>
      </c>
      <c r="F19" s="100">
        <f>IFERROR(VLOOKUP(C19,[1]Sheet1!$A$1:$D$65536,3,0)/K19,"")</f>
        <v>24.799199999999999</v>
      </c>
      <c r="G19" s="5"/>
      <c r="H19" s="10">
        <v>11</v>
      </c>
      <c r="I19" s="10"/>
      <c r="J19" s="56">
        <f t="shared" si="10"/>
        <v>55</v>
      </c>
      <c r="K19" s="5">
        <v>5</v>
      </c>
      <c r="L19" s="11" t="s">
        <v>82</v>
      </c>
      <c r="M19" s="191">
        <v>12670</v>
      </c>
      <c r="N19" s="147">
        <f t="shared" si="11"/>
        <v>696850</v>
      </c>
    </row>
    <row r="20" spans="1:15" ht="30" customHeight="1">
      <c r="A20" s="29">
        <v>15</v>
      </c>
      <c r="B20" s="18" t="s">
        <v>633</v>
      </c>
      <c r="C20" s="81">
        <v>30002522</v>
      </c>
      <c r="D20" s="1" t="s">
        <v>141</v>
      </c>
      <c r="E20" s="5" t="s">
        <v>109</v>
      </c>
      <c r="F20" s="98">
        <f>IFERROR(VLOOKUP(C20,[1]Sheet1!$A$1:$D$65536,3,0)/K20,"")</f>
        <v>17.915799999999997</v>
      </c>
      <c r="G20" s="5"/>
      <c r="H20" s="10">
        <v>12</v>
      </c>
      <c r="I20" s="10"/>
      <c r="J20" s="56">
        <f t="shared" si="10"/>
        <v>60</v>
      </c>
      <c r="K20" s="5">
        <v>5</v>
      </c>
      <c r="L20" s="11" t="s">
        <v>88</v>
      </c>
      <c r="M20" s="191">
        <v>12670</v>
      </c>
      <c r="N20" s="147">
        <f t="shared" si="11"/>
        <v>760200</v>
      </c>
    </row>
    <row r="21" spans="1:15" ht="30" customHeight="1">
      <c r="A21" s="29">
        <v>16</v>
      </c>
      <c r="B21" s="18" t="s">
        <v>633</v>
      </c>
      <c r="C21" s="81">
        <v>30003415</v>
      </c>
      <c r="D21" s="1" t="s">
        <v>345</v>
      </c>
      <c r="E21" s="5" t="s">
        <v>14</v>
      </c>
      <c r="F21" s="100">
        <f>IFERROR(VLOOKUP(C21,[1]Sheet1!$A$1:$D$65536,3,0)/K21,"")</f>
        <v>0.33260000000000001</v>
      </c>
      <c r="G21" s="5"/>
      <c r="H21" s="10">
        <v>9</v>
      </c>
      <c r="I21" s="10"/>
      <c r="J21" s="56">
        <f t="shared" si="10"/>
        <v>45</v>
      </c>
      <c r="K21" s="5">
        <v>5</v>
      </c>
      <c r="L21" s="11" t="s">
        <v>88</v>
      </c>
      <c r="M21" s="191">
        <v>12870</v>
      </c>
      <c r="N21" s="147">
        <f t="shared" si="11"/>
        <v>579150</v>
      </c>
    </row>
    <row r="22" spans="1:15" s="22" customFormat="1" ht="30" customHeight="1">
      <c r="A22" s="29">
        <v>20</v>
      </c>
      <c r="B22" s="5" t="s">
        <v>661</v>
      </c>
      <c r="C22" s="81">
        <v>30003287</v>
      </c>
      <c r="D22" s="51" t="s">
        <v>296</v>
      </c>
      <c r="E22" s="47" t="s">
        <v>14</v>
      </c>
      <c r="F22" s="98">
        <f>IFERROR(VLOOKUP(C22,[1]Sheet1!$A$1:$D$65536,3,0)/K22,"")</f>
        <v>1.0150000000000001</v>
      </c>
      <c r="G22" s="47"/>
      <c r="H22" s="10">
        <v>3</v>
      </c>
      <c r="I22" s="10">
        <v>6</v>
      </c>
      <c r="J22" s="56">
        <f t="shared" ref="J22:J25" si="12">H22*K22+I22</f>
        <v>36</v>
      </c>
      <c r="K22" s="5">
        <v>10</v>
      </c>
      <c r="L22" s="11" t="s">
        <v>88</v>
      </c>
      <c r="M22" s="191">
        <v>7330</v>
      </c>
      <c r="N22" s="147">
        <f t="shared" si="11"/>
        <v>263880</v>
      </c>
    </row>
    <row r="23" spans="1:15" ht="30" customHeight="1">
      <c r="A23" s="29">
        <v>21</v>
      </c>
      <c r="B23" s="5" t="s">
        <v>661</v>
      </c>
      <c r="C23" s="81">
        <v>30002893</v>
      </c>
      <c r="D23" s="1" t="s">
        <v>239</v>
      </c>
      <c r="E23" s="5" t="s">
        <v>14</v>
      </c>
      <c r="F23" s="100">
        <f>IFERROR(VLOOKUP(C23,[1]Sheet1!$A$1:$D$65536,3,0)/K23,"")</f>
        <v>2.5505</v>
      </c>
      <c r="G23" s="5"/>
      <c r="H23" s="10">
        <v>5</v>
      </c>
      <c r="I23" s="10">
        <v>4</v>
      </c>
      <c r="J23" s="56">
        <f t="shared" si="12"/>
        <v>44</v>
      </c>
      <c r="K23" s="5">
        <v>8</v>
      </c>
      <c r="L23" s="11" t="s">
        <v>88</v>
      </c>
      <c r="M23" s="191">
        <v>6210</v>
      </c>
      <c r="N23" s="147">
        <f t="shared" ref="N23" si="13">M23*J23</f>
        <v>273240</v>
      </c>
    </row>
    <row r="24" spans="1:15" ht="30" customHeight="1">
      <c r="A24" s="29">
        <v>21</v>
      </c>
      <c r="B24" s="5" t="s">
        <v>661</v>
      </c>
      <c r="C24" s="81">
        <v>30002324</v>
      </c>
      <c r="D24" s="51" t="s">
        <v>900</v>
      </c>
      <c r="E24" s="47" t="s">
        <v>14</v>
      </c>
      <c r="F24" s="98"/>
      <c r="G24" s="47"/>
      <c r="H24" s="10">
        <v>17</v>
      </c>
      <c r="I24" s="10">
        <v>7</v>
      </c>
      <c r="J24" s="56">
        <f t="shared" ref="J24" si="14">H24*K24+I24</f>
        <v>143</v>
      </c>
      <c r="K24" s="5">
        <v>8</v>
      </c>
      <c r="L24" s="11" t="s">
        <v>88</v>
      </c>
      <c r="M24" s="191"/>
      <c r="N24" s="147">
        <f t="shared" ref="N24" si="15">M24*J24</f>
        <v>0</v>
      </c>
    </row>
    <row r="25" spans="1:15" ht="30" customHeight="1">
      <c r="A25" s="29">
        <v>21</v>
      </c>
      <c r="B25" s="5" t="s">
        <v>661</v>
      </c>
      <c r="C25" s="81">
        <v>30003743</v>
      </c>
      <c r="D25" s="2" t="s">
        <v>1005</v>
      </c>
      <c r="E25" s="47" t="s">
        <v>14</v>
      </c>
      <c r="F25" s="98"/>
      <c r="G25" s="47"/>
      <c r="H25" s="10">
        <v>7</v>
      </c>
      <c r="I25" s="10"/>
      <c r="J25" s="56">
        <f t="shared" si="12"/>
        <v>35</v>
      </c>
      <c r="K25" s="5">
        <v>5</v>
      </c>
      <c r="L25" s="11" t="s">
        <v>88</v>
      </c>
      <c r="M25" s="191"/>
      <c r="N25" s="147">
        <f t="shared" ref="N25" si="16">M25*J25</f>
        <v>0</v>
      </c>
    </row>
    <row r="26" spans="1:15" ht="30" customHeight="1">
      <c r="A26" s="29">
        <v>22</v>
      </c>
      <c r="B26" s="5" t="s">
        <v>909</v>
      </c>
      <c r="C26" s="81">
        <v>30003637</v>
      </c>
      <c r="D26" s="51" t="s">
        <v>910</v>
      </c>
      <c r="E26" s="47" t="s">
        <v>14</v>
      </c>
      <c r="F26" s="98" t="str">
        <f>IFERROR(VLOOKUP(C26,[1]Sheet1!$A$1:$D$65536,3,0)/K26,"")</f>
        <v/>
      </c>
      <c r="G26" s="47"/>
      <c r="H26" s="10"/>
      <c r="I26" s="10"/>
      <c r="J26" s="56">
        <f t="shared" ref="J26:J27" si="17">H26*K26+I26</f>
        <v>0</v>
      </c>
      <c r="K26" s="5">
        <v>10</v>
      </c>
      <c r="L26" s="11" t="s">
        <v>844</v>
      </c>
      <c r="M26" s="191">
        <v>6850</v>
      </c>
      <c r="N26" s="147">
        <f t="shared" ref="N26:N27" si="18">M26*J26</f>
        <v>0</v>
      </c>
    </row>
    <row r="27" spans="1:15" s="22" customFormat="1" ht="30" customHeight="1">
      <c r="A27" s="29">
        <v>23</v>
      </c>
      <c r="B27" s="5" t="s">
        <v>75</v>
      </c>
      <c r="C27" s="81">
        <v>30003373</v>
      </c>
      <c r="D27" s="51" t="s">
        <v>904</v>
      </c>
      <c r="E27" s="47" t="s">
        <v>14</v>
      </c>
      <c r="F27" s="98" t="str">
        <f>IFERROR(VLOOKUP(C27,[1]Sheet1!$A$1:$D$65536,3,0)/K27,"")</f>
        <v/>
      </c>
      <c r="G27" s="47"/>
      <c r="H27" s="10">
        <v>27</v>
      </c>
      <c r="I27" s="10"/>
      <c r="J27" s="56">
        <f t="shared" si="17"/>
        <v>135</v>
      </c>
      <c r="K27" s="5">
        <v>5</v>
      </c>
      <c r="L27" s="11" t="s">
        <v>88</v>
      </c>
      <c r="M27" s="191">
        <v>6496</v>
      </c>
      <c r="N27" s="147">
        <f t="shared" si="18"/>
        <v>876960</v>
      </c>
    </row>
    <row r="28" spans="1:15" s="22" customFormat="1" ht="30" customHeight="1">
      <c r="A28" s="29">
        <v>23</v>
      </c>
      <c r="B28" s="5" t="s">
        <v>75</v>
      </c>
      <c r="C28" s="81">
        <v>30003640</v>
      </c>
      <c r="D28" s="51" t="s">
        <v>905</v>
      </c>
      <c r="E28" s="47" t="s">
        <v>14</v>
      </c>
      <c r="F28" s="98" t="str">
        <f>IFERROR(VLOOKUP(C28,[1]Sheet1!$A$1:$D$65536,3,0)/K28,"")</f>
        <v/>
      </c>
      <c r="G28" s="47" t="s">
        <v>906</v>
      </c>
      <c r="H28" s="10">
        <v>14</v>
      </c>
      <c r="I28" s="10">
        <v>3</v>
      </c>
      <c r="J28" s="56">
        <f t="shared" ref="J28:J29" si="19">H28*K28+I28</f>
        <v>87</v>
      </c>
      <c r="K28" s="5">
        <v>6</v>
      </c>
      <c r="L28" s="11" t="s">
        <v>88</v>
      </c>
      <c r="M28" s="191">
        <v>6496</v>
      </c>
      <c r="N28" s="147">
        <f t="shared" ref="N28" si="20">M28*J28</f>
        <v>565152</v>
      </c>
    </row>
    <row r="29" spans="1:15" s="22" customFormat="1" ht="30" customHeight="1">
      <c r="A29" s="29">
        <v>24</v>
      </c>
      <c r="B29" s="5" t="s">
        <v>662</v>
      </c>
      <c r="C29" s="81">
        <v>30003051</v>
      </c>
      <c r="D29" s="1" t="s">
        <v>961</v>
      </c>
      <c r="E29" s="5" t="s">
        <v>14</v>
      </c>
      <c r="F29" s="100" t="str">
        <f>IFERROR(VLOOKUP(C29,[1]Sheet1!$A$1:$D$65536,3,0)/K29,"")</f>
        <v/>
      </c>
      <c r="G29" s="5"/>
      <c r="H29" s="10">
        <v>31</v>
      </c>
      <c r="I29" s="10">
        <v>8</v>
      </c>
      <c r="J29" s="56">
        <f t="shared" si="19"/>
        <v>318</v>
      </c>
      <c r="K29" s="5">
        <v>10</v>
      </c>
      <c r="L29" s="11" t="s">
        <v>88</v>
      </c>
      <c r="M29" s="191">
        <v>11325</v>
      </c>
      <c r="N29" s="147">
        <f>M29*J29</f>
        <v>3601350</v>
      </c>
    </row>
    <row r="30" spans="1:15" s="22" customFormat="1" ht="30" customHeight="1">
      <c r="A30" s="29">
        <v>24</v>
      </c>
      <c r="B30" s="5" t="s">
        <v>662</v>
      </c>
      <c r="C30" s="81">
        <v>20001437</v>
      </c>
      <c r="D30" s="1" t="s">
        <v>132</v>
      </c>
      <c r="E30" s="5" t="s">
        <v>14</v>
      </c>
      <c r="F30" s="100">
        <f>IFERROR(VLOOKUP(C30,[1]Sheet1!$A$1:$D$65536,3,0)/K30,"")</f>
        <v>0.7843</v>
      </c>
      <c r="G30" s="5"/>
      <c r="H30" s="10">
        <v>6</v>
      </c>
      <c r="I30" s="10">
        <v>6</v>
      </c>
      <c r="J30" s="56">
        <f t="shared" ref="J30:J42" si="21">H30*K30+I30</f>
        <v>66</v>
      </c>
      <c r="K30" s="5">
        <v>10</v>
      </c>
      <c r="L30" s="11" t="s">
        <v>88</v>
      </c>
      <c r="M30" s="191">
        <v>11325</v>
      </c>
      <c r="N30" s="147">
        <f>M30*J30</f>
        <v>747450</v>
      </c>
    </row>
    <row r="31" spans="1:15" s="22" customFormat="1" ht="30" customHeight="1">
      <c r="A31" s="29">
        <v>25</v>
      </c>
      <c r="B31" s="5" t="s">
        <v>662</v>
      </c>
      <c r="C31" s="81">
        <v>30003527</v>
      </c>
      <c r="D31" s="1" t="s">
        <v>597</v>
      </c>
      <c r="E31" s="5" t="s">
        <v>14</v>
      </c>
      <c r="F31" s="100">
        <f>IFERROR(VLOOKUP(C31,[1]Sheet1!$A$1:$D$65536,3,0)/K31,"")</f>
        <v>5.8566666666666665</v>
      </c>
      <c r="G31" s="5"/>
      <c r="H31" s="10">
        <v>9</v>
      </c>
      <c r="I31" s="10"/>
      <c r="J31" s="56">
        <f t="shared" ref="J31" si="22">H31*K31+I31</f>
        <v>54</v>
      </c>
      <c r="K31" s="5">
        <v>6</v>
      </c>
      <c r="L31" s="11" t="s">
        <v>598</v>
      </c>
      <c r="M31" s="193">
        <f>77030/6</f>
        <v>12838.333333333334</v>
      </c>
      <c r="N31" s="147">
        <f t="shared" ref="N31" si="23">M31*J31</f>
        <v>693270</v>
      </c>
    </row>
    <row r="32" spans="1:15" s="22" customFormat="1" ht="30" customHeight="1">
      <c r="A32" s="29">
        <v>26</v>
      </c>
      <c r="B32" s="5" t="s">
        <v>662</v>
      </c>
      <c r="C32" s="81">
        <v>30003652</v>
      </c>
      <c r="D32" s="123" t="s">
        <v>866</v>
      </c>
      <c r="E32" s="5" t="s">
        <v>14</v>
      </c>
      <c r="F32" s="100" t="str">
        <f>IFERROR(VLOOKUP(C32,[1]Sheet1!$A$1:$D$65536,3,0)/K32,"")</f>
        <v/>
      </c>
      <c r="G32" s="18"/>
      <c r="H32" s="10">
        <v>18</v>
      </c>
      <c r="I32" s="10"/>
      <c r="J32" s="56">
        <f t="shared" ref="J32" si="24">H32*K32+I32</f>
        <v>108</v>
      </c>
      <c r="K32" s="5">
        <v>6</v>
      </c>
      <c r="L32" s="11" t="s">
        <v>103</v>
      </c>
      <c r="M32" s="210"/>
      <c r="N32" s="147">
        <f t="shared" ref="N32" si="25">M32*J32</f>
        <v>0</v>
      </c>
    </row>
    <row r="33" spans="1:15" ht="30" customHeight="1">
      <c r="A33" s="29">
        <v>27</v>
      </c>
      <c r="B33" s="5" t="s">
        <v>662</v>
      </c>
      <c r="C33" s="81">
        <v>30002988</v>
      </c>
      <c r="D33" s="1" t="s">
        <v>251</v>
      </c>
      <c r="E33" s="5" t="s">
        <v>14</v>
      </c>
      <c r="F33" s="100">
        <f>IFERROR(VLOOKUP(C33,[1]Sheet1!$A$1:$D$65536,3,0)/K33,"")</f>
        <v>0.98230000000000006</v>
      </c>
      <c r="G33" s="5"/>
      <c r="H33" s="10">
        <v>5</v>
      </c>
      <c r="I33" s="10">
        <v>1</v>
      </c>
      <c r="J33" s="56">
        <f t="shared" si="21"/>
        <v>51</v>
      </c>
      <c r="K33" s="5">
        <v>10</v>
      </c>
      <c r="L33" s="11" t="s">
        <v>88</v>
      </c>
      <c r="M33" s="146">
        <v>7370</v>
      </c>
      <c r="N33" s="147">
        <f t="shared" ref="N33:N39" si="26">M33*J33</f>
        <v>375870</v>
      </c>
    </row>
    <row r="34" spans="1:15" s="22" customFormat="1" ht="30" customHeight="1">
      <c r="A34" s="29">
        <v>30</v>
      </c>
      <c r="B34" s="5" t="s">
        <v>662</v>
      </c>
      <c r="C34" s="81">
        <v>30003440</v>
      </c>
      <c r="D34" s="66" t="s">
        <v>439</v>
      </c>
      <c r="E34" s="47" t="s">
        <v>391</v>
      </c>
      <c r="F34" s="98">
        <f>IFERROR(VLOOKUP(C34,[1]Sheet1!$A$1:$D$65536,3,0)/K34,"")</f>
        <v>2.9114999999999998</v>
      </c>
      <c r="G34" s="46"/>
      <c r="H34" s="10"/>
      <c r="I34" s="10"/>
      <c r="J34" s="56">
        <f t="shared" si="21"/>
        <v>0</v>
      </c>
      <c r="K34" s="5">
        <v>10</v>
      </c>
      <c r="L34" s="11" t="s">
        <v>434</v>
      </c>
      <c r="M34" s="146">
        <v>6400</v>
      </c>
      <c r="N34" s="147">
        <f t="shared" si="26"/>
        <v>0</v>
      </c>
    </row>
    <row r="35" spans="1:15" s="22" customFormat="1" ht="30" customHeight="1">
      <c r="A35" s="29">
        <v>31</v>
      </c>
      <c r="B35" s="5" t="s">
        <v>662</v>
      </c>
      <c r="C35" s="81">
        <v>30002549</v>
      </c>
      <c r="D35" s="51" t="s">
        <v>147</v>
      </c>
      <c r="E35" s="47" t="s">
        <v>14</v>
      </c>
      <c r="F35" s="98">
        <f>IFERROR(VLOOKUP(C35,[1]Sheet1!$A$1:$D$65536,3,0)/K35,"")</f>
        <v>11.50625</v>
      </c>
      <c r="G35" s="47"/>
      <c r="H35" s="10">
        <v>8</v>
      </c>
      <c r="I35" s="10">
        <v>7</v>
      </c>
      <c r="J35" s="56">
        <f t="shared" si="21"/>
        <v>71</v>
      </c>
      <c r="K35" s="5">
        <v>8</v>
      </c>
      <c r="L35" s="11" t="s">
        <v>88</v>
      </c>
      <c r="M35" s="210">
        <f>72050/8</f>
        <v>9006.25</v>
      </c>
      <c r="N35" s="147">
        <f t="shared" si="26"/>
        <v>639443.75</v>
      </c>
    </row>
    <row r="36" spans="1:15" s="33" customFormat="1" ht="30" customHeight="1">
      <c r="A36" s="29">
        <v>32</v>
      </c>
      <c r="B36" s="5" t="s">
        <v>662</v>
      </c>
      <c r="C36" s="81">
        <v>30003295</v>
      </c>
      <c r="D36" s="66" t="s">
        <v>307</v>
      </c>
      <c r="E36" s="47" t="s">
        <v>14</v>
      </c>
      <c r="F36" s="98">
        <f>IFERROR(VLOOKUP(C36,[1]Sheet1!$A$1:$D$65536,3,0)/K36,"")</f>
        <v>4.9783333333333335</v>
      </c>
      <c r="G36" s="46"/>
      <c r="H36" s="10">
        <v>46</v>
      </c>
      <c r="I36" s="10"/>
      <c r="J36" s="56">
        <f t="shared" si="21"/>
        <v>552</v>
      </c>
      <c r="K36" s="5">
        <v>12</v>
      </c>
      <c r="L36" s="11" t="s">
        <v>88</v>
      </c>
      <c r="M36" s="193">
        <f>60700/12</f>
        <v>5058.333333333333</v>
      </c>
      <c r="N36" s="147">
        <f t="shared" si="26"/>
        <v>2792200</v>
      </c>
    </row>
    <row r="37" spans="1:15" s="33" customFormat="1" ht="30" customHeight="1">
      <c r="A37" s="29">
        <v>32</v>
      </c>
      <c r="B37" s="5" t="s">
        <v>662</v>
      </c>
      <c r="C37" s="81">
        <v>30003674</v>
      </c>
      <c r="D37" s="66" t="s">
        <v>894</v>
      </c>
      <c r="E37" s="47" t="s">
        <v>14</v>
      </c>
      <c r="F37" s="98" t="str">
        <f>IFERROR(VLOOKUP(C37,[1]Sheet1!$A$1:$D$65536,3,0)/K37,"")</f>
        <v/>
      </c>
      <c r="G37" s="46"/>
      <c r="H37" s="10">
        <v>10</v>
      </c>
      <c r="I37" s="10">
        <v>6</v>
      </c>
      <c r="J37" s="56">
        <f t="shared" si="21"/>
        <v>106</v>
      </c>
      <c r="K37" s="5">
        <v>10</v>
      </c>
      <c r="L37" s="11" t="s">
        <v>88</v>
      </c>
      <c r="M37" s="193">
        <f>60700/12</f>
        <v>5058.333333333333</v>
      </c>
      <c r="N37" s="147">
        <f t="shared" si="26"/>
        <v>536183.33333333326</v>
      </c>
    </row>
    <row r="38" spans="1:15" s="33" customFormat="1" ht="30" customHeight="1">
      <c r="A38" s="29">
        <v>32</v>
      </c>
      <c r="B38" s="5" t="s">
        <v>662</v>
      </c>
      <c r="C38" s="81">
        <v>30003063</v>
      </c>
      <c r="D38" s="66" t="s">
        <v>901</v>
      </c>
      <c r="E38" s="47" t="s">
        <v>14</v>
      </c>
      <c r="F38" s="98" t="str">
        <f>IFERROR(VLOOKUP(C38,[1]Sheet1!$A$1:$D$65536,3,0)/K38,"")</f>
        <v/>
      </c>
      <c r="G38" s="46"/>
      <c r="H38" s="10"/>
      <c r="I38" s="10">
        <v>7</v>
      </c>
      <c r="J38" s="56">
        <f t="shared" si="21"/>
        <v>7</v>
      </c>
      <c r="K38" s="5">
        <v>10</v>
      </c>
      <c r="L38" s="11" t="s">
        <v>88</v>
      </c>
      <c r="M38" s="193">
        <f>60700/12</f>
        <v>5058.333333333333</v>
      </c>
      <c r="N38" s="147">
        <f t="shared" si="26"/>
        <v>35408.333333333328</v>
      </c>
    </row>
    <row r="39" spans="1:15" s="33" customFormat="1" ht="30" customHeight="1">
      <c r="A39" s="29">
        <v>32</v>
      </c>
      <c r="B39" s="5" t="s">
        <v>662</v>
      </c>
      <c r="C39" s="81">
        <v>30003754</v>
      </c>
      <c r="D39" s="252" t="s">
        <v>1011</v>
      </c>
      <c r="E39" s="47" t="s">
        <v>14</v>
      </c>
      <c r="F39" s="98" t="str">
        <f>IFERROR(VLOOKUP(C39,[1]Sheet1!$A$1:$D$65536,3,0)/K39,"")</f>
        <v/>
      </c>
      <c r="G39" s="46"/>
      <c r="H39" s="10">
        <v>20</v>
      </c>
      <c r="I39" s="10"/>
      <c r="J39" s="56">
        <f t="shared" si="21"/>
        <v>200</v>
      </c>
      <c r="K39" s="5">
        <v>10</v>
      </c>
      <c r="L39" s="11" t="s">
        <v>88</v>
      </c>
      <c r="M39" s="193">
        <f>60700/12</f>
        <v>5058.333333333333</v>
      </c>
      <c r="N39" s="147">
        <f t="shared" si="26"/>
        <v>1011666.6666666666</v>
      </c>
    </row>
    <row r="40" spans="1:15" s="22" customFormat="1" ht="30" customHeight="1">
      <c r="A40" s="29">
        <v>34</v>
      </c>
      <c r="B40" s="5" t="s">
        <v>628</v>
      </c>
      <c r="C40" s="81">
        <v>30001804</v>
      </c>
      <c r="D40" s="51" t="s">
        <v>135</v>
      </c>
      <c r="E40" s="47" t="s">
        <v>110</v>
      </c>
      <c r="F40" s="98">
        <f>IFERROR(VLOOKUP(C40,[1]Sheet1!$A$1:$D$65536,3,0)/K40,"")</f>
        <v>21.220874999999999</v>
      </c>
      <c r="G40" s="47"/>
      <c r="H40" s="10">
        <v>32</v>
      </c>
      <c r="I40" s="10">
        <v>6</v>
      </c>
      <c r="J40" s="56">
        <f t="shared" si="21"/>
        <v>262</v>
      </c>
      <c r="K40" s="5">
        <v>8</v>
      </c>
      <c r="L40" s="11" t="s">
        <v>88</v>
      </c>
      <c r="M40" s="191">
        <v>5900</v>
      </c>
      <c r="N40" s="147">
        <f t="shared" ref="N40:N43" si="27">M40*J40</f>
        <v>1545800</v>
      </c>
    </row>
    <row r="41" spans="1:15" ht="30" customHeight="1">
      <c r="A41" s="29">
        <v>35</v>
      </c>
      <c r="B41" s="5" t="s">
        <v>628</v>
      </c>
      <c r="C41" s="81">
        <v>30002098</v>
      </c>
      <c r="D41" s="51" t="s">
        <v>32</v>
      </c>
      <c r="E41" s="47" t="s">
        <v>110</v>
      </c>
      <c r="F41" s="98">
        <f>IFERROR(VLOOKUP(C41,[1]Sheet1!$A$1:$D$65536,3,0)/K41,"")</f>
        <v>8.3570999999999991</v>
      </c>
      <c r="G41" s="47"/>
      <c r="H41" s="10">
        <v>6</v>
      </c>
      <c r="I41" s="10"/>
      <c r="J41" s="56">
        <f t="shared" si="21"/>
        <v>60</v>
      </c>
      <c r="K41" s="5">
        <v>10</v>
      </c>
      <c r="L41" s="11" t="s">
        <v>88</v>
      </c>
      <c r="M41" s="191">
        <v>6050</v>
      </c>
      <c r="N41" s="147">
        <f t="shared" si="27"/>
        <v>363000</v>
      </c>
    </row>
    <row r="42" spans="1:15" ht="30" customHeight="1">
      <c r="A42" s="29">
        <v>36</v>
      </c>
      <c r="B42" s="5" t="s">
        <v>628</v>
      </c>
      <c r="C42" s="81">
        <v>30002987</v>
      </c>
      <c r="D42" s="51" t="s">
        <v>252</v>
      </c>
      <c r="E42" s="47" t="s">
        <v>14</v>
      </c>
      <c r="F42" s="98">
        <f>IFERROR(VLOOKUP(C42,[1]Sheet1!$A$1:$D$65536,3,0)/K42,"")</f>
        <v>11.05</v>
      </c>
      <c r="G42" s="47"/>
      <c r="H42" s="10">
        <v>19</v>
      </c>
      <c r="I42" s="10">
        <v>6</v>
      </c>
      <c r="J42" s="56">
        <f t="shared" si="21"/>
        <v>158</v>
      </c>
      <c r="K42" s="5">
        <v>8</v>
      </c>
      <c r="L42" s="11" t="s">
        <v>88</v>
      </c>
      <c r="M42" s="191">
        <v>10100</v>
      </c>
      <c r="N42" s="147">
        <f t="shared" si="27"/>
        <v>1595800</v>
      </c>
    </row>
    <row r="43" spans="1:15" ht="30" customHeight="1">
      <c r="A43" s="29">
        <v>39</v>
      </c>
      <c r="B43" s="5" t="s">
        <v>628</v>
      </c>
      <c r="C43" s="81">
        <v>30003364</v>
      </c>
      <c r="D43" s="51" t="s">
        <v>427</v>
      </c>
      <c r="E43" s="47" t="s">
        <v>110</v>
      </c>
      <c r="F43" s="98">
        <f>IFERROR(VLOOKUP(C43,[1]Sheet1!$A$1:$D$65536,3,0)/K43,"")</f>
        <v>4.3561249999999996</v>
      </c>
      <c r="G43" s="47"/>
      <c r="H43" s="10">
        <v>18</v>
      </c>
      <c r="I43" s="10"/>
      <c r="J43" s="56">
        <f t="shared" ref="J43:J54" si="28">H43*K43+I43</f>
        <v>144</v>
      </c>
      <c r="K43" s="5">
        <v>8</v>
      </c>
      <c r="L43" s="11" t="s">
        <v>88</v>
      </c>
      <c r="M43" s="146">
        <v>11800</v>
      </c>
      <c r="N43" s="147">
        <f t="shared" si="27"/>
        <v>1699200</v>
      </c>
    </row>
    <row r="44" spans="1:15" ht="30" customHeight="1">
      <c r="A44" s="29">
        <v>40</v>
      </c>
      <c r="B44" s="5" t="s">
        <v>816</v>
      </c>
      <c r="C44" s="81">
        <v>30003464</v>
      </c>
      <c r="D44" s="155" t="s">
        <v>502</v>
      </c>
      <c r="E44" s="156" t="s">
        <v>11</v>
      </c>
      <c r="F44" s="174">
        <f>IFERROR(VLOOKUP(C44,[1]Sheet1!$A$1:$D$65536,3,0)/K44,"")</f>
        <v>2.0019</v>
      </c>
      <c r="G44" s="156"/>
      <c r="H44" s="13">
        <v>3</v>
      </c>
      <c r="I44" s="13"/>
      <c r="J44" s="56">
        <f t="shared" ref="J44" si="29">H44*K44+I44</f>
        <v>30</v>
      </c>
      <c r="K44" s="5">
        <v>10</v>
      </c>
      <c r="L44" s="11" t="s">
        <v>82</v>
      </c>
      <c r="M44" s="191">
        <v>7650</v>
      </c>
      <c r="N44" s="147">
        <f t="shared" ref="N44" si="30">M44*J44</f>
        <v>229500</v>
      </c>
    </row>
    <row r="45" spans="1:15" ht="30" customHeight="1">
      <c r="A45" s="29">
        <v>41</v>
      </c>
      <c r="B45" s="5" t="s">
        <v>832</v>
      </c>
      <c r="C45" s="81">
        <v>20195171</v>
      </c>
      <c r="D45" s="51" t="s">
        <v>833</v>
      </c>
      <c r="E45" s="47" t="s">
        <v>11</v>
      </c>
      <c r="F45" s="185" t="str">
        <f>IFERROR(VLOOKUP(C45,[1]Sheet1!$A$1:$D$65536,3,0)/K45,"")</f>
        <v/>
      </c>
      <c r="G45" s="47"/>
      <c r="H45" s="10">
        <v>13</v>
      </c>
      <c r="I45" s="10"/>
      <c r="J45" s="56">
        <f t="shared" si="28"/>
        <v>91</v>
      </c>
      <c r="K45" s="5">
        <v>7</v>
      </c>
      <c r="L45" s="11" t="s">
        <v>836</v>
      </c>
      <c r="M45" s="146">
        <v>13500</v>
      </c>
      <c r="N45" s="147">
        <v>94500</v>
      </c>
    </row>
    <row r="46" spans="1:15" ht="30" customHeight="1">
      <c r="A46" s="29">
        <v>42</v>
      </c>
      <c r="B46" s="5" t="s">
        <v>832</v>
      </c>
      <c r="C46" s="81">
        <v>30003631</v>
      </c>
      <c r="D46" s="51" t="s">
        <v>834</v>
      </c>
      <c r="E46" s="47" t="s">
        <v>11</v>
      </c>
      <c r="F46" s="185" t="str">
        <f>IFERROR(VLOOKUP(C46,[1]Sheet1!$A$1:$D$65536,3,0)/K46,"")</f>
        <v/>
      </c>
      <c r="G46" s="47"/>
      <c r="H46" s="10">
        <v>13</v>
      </c>
      <c r="I46" s="10"/>
      <c r="J46" s="56">
        <f t="shared" si="28"/>
        <v>91</v>
      </c>
      <c r="K46" s="5">
        <v>7</v>
      </c>
      <c r="L46" s="11" t="s">
        <v>103</v>
      </c>
      <c r="M46" s="146">
        <v>13500</v>
      </c>
      <c r="N46" s="147">
        <v>94500</v>
      </c>
    </row>
    <row r="47" spans="1:15" ht="30" customHeight="1">
      <c r="A47" s="29">
        <v>42</v>
      </c>
      <c r="B47" s="5" t="s">
        <v>832</v>
      </c>
      <c r="C47" s="81">
        <v>20194323</v>
      </c>
      <c r="D47" s="2" t="s">
        <v>958</v>
      </c>
      <c r="E47" s="47" t="s">
        <v>11</v>
      </c>
      <c r="F47" s="185" t="str">
        <f>IFERROR(VLOOKUP(C47,[1]Sheet1!$A$1:$D$65536,3,0)/K47,"")</f>
        <v/>
      </c>
      <c r="G47" s="47"/>
      <c r="H47" s="10">
        <v>11</v>
      </c>
      <c r="I47" s="10"/>
      <c r="J47" s="56">
        <f t="shared" ref="J47" si="31">H47*K47+I47</f>
        <v>77</v>
      </c>
      <c r="K47" s="5">
        <v>7</v>
      </c>
      <c r="L47" s="11" t="s">
        <v>836</v>
      </c>
      <c r="M47" s="146">
        <v>13500</v>
      </c>
      <c r="N47" s="147">
        <v>94500</v>
      </c>
    </row>
    <row r="48" spans="1:15" ht="30" hidden="1" customHeight="1">
      <c r="A48" s="29">
        <v>43</v>
      </c>
      <c r="B48" s="5" t="s">
        <v>817</v>
      </c>
      <c r="C48" s="81">
        <v>30003487</v>
      </c>
      <c r="D48" s="1" t="s">
        <v>602</v>
      </c>
      <c r="E48" s="5" t="s">
        <v>11</v>
      </c>
      <c r="F48" s="20">
        <f>IFERROR(VLOOKUP(C48,[1]Sheet1!$A$1:$D$65536,3,0)/K48,"")</f>
        <v>9.9999999999999992E-2</v>
      </c>
      <c r="G48" s="5"/>
      <c r="H48" s="10"/>
      <c r="I48" s="10"/>
      <c r="J48" s="56">
        <f t="shared" si="28"/>
        <v>0</v>
      </c>
      <c r="K48" s="5">
        <v>6</v>
      </c>
      <c r="L48" s="11" t="s">
        <v>103</v>
      </c>
      <c r="M48" s="146">
        <f>74400/6</f>
        <v>12400</v>
      </c>
      <c r="N48" s="147">
        <f>M48*J48</f>
        <v>0</v>
      </c>
      <c r="O48" s="21" t="s">
        <v>707</v>
      </c>
    </row>
    <row r="49" spans="1:16" ht="30" hidden="1" customHeight="1">
      <c r="A49" s="29">
        <v>44</v>
      </c>
      <c r="B49" s="5" t="s">
        <v>818</v>
      </c>
      <c r="C49" s="81">
        <v>30003600</v>
      </c>
      <c r="D49" s="199" t="s">
        <v>733</v>
      </c>
      <c r="E49" s="187" t="s">
        <v>14</v>
      </c>
      <c r="F49" s="208">
        <f>IFERROR(VLOOKUP(C49,[1]Sheet1!$A$1:$D$65536,3,0)/K49,"")</f>
        <v>2.3249999999999997</v>
      </c>
      <c r="G49" s="187" t="s">
        <v>828</v>
      </c>
      <c r="H49" s="10"/>
      <c r="I49" s="10"/>
      <c r="J49" s="56">
        <f t="shared" si="28"/>
        <v>0</v>
      </c>
      <c r="K49" s="5">
        <v>12</v>
      </c>
      <c r="L49" s="11" t="s">
        <v>732</v>
      </c>
      <c r="M49" s="146">
        <v>7800</v>
      </c>
      <c r="N49" s="147">
        <f>M49*J49</f>
        <v>0</v>
      </c>
    </row>
    <row r="50" spans="1:16" ht="30" hidden="1" customHeight="1">
      <c r="A50" s="29">
        <v>45</v>
      </c>
      <c r="B50" s="5" t="s">
        <v>819</v>
      </c>
      <c r="C50" s="81">
        <v>30003297</v>
      </c>
      <c r="D50" s="1" t="s">
        <v>297</v>
      </c>
      <c r="E50" s="5" t="s">
        <v>10</v>
      </c>
      <c r="F50" s="100">
        <f>IFERROR(VLOOKUP(C50,[1]Sheet1!$A$1:$D$65536,3,0)/K50,"")</f>
        <v>4.1818</v>
      </c>
      <c r="G50" s="5"/>
      <c r="H50" s="10"/>
      <c r="I50" s="10"/>
      <c r="J50" s="56">
        <f t="shared" si="28"/>
        <v>0</v>
      </c>
      <c r="K50" s="5">
        <v>5</v>
      </c>
      <c r="L50" s="11" t="s">
        <v>527</v>
      </c>
      <c r="M50" s="146">
        <v>11080</v>
      </c>
      <c r="N50" s="147">
        <f t="shared" ref="N50:N51" si="32">M50*J50</f>
        <v>0</v>
      </c>
    </row>
    <row r="51" spans="1:16" ht="30" customHeight="1">
      <c r="A51" s="29">
        <v>46</v>
      </c>
      <c r="B51" s="5" t="s">
        <v>23</v>
      </c>
      <c r="C51" s="81">
        <v>30003663</v>
      </c>
      <c r="D51" s="1" t="s">
        <v>746</v>
      </c>
      <c r="E51" s="5" t="s">
        <v>928</v>
      </c>
      <c r="F51" s="100" t="str">
        <f>IFERROR(VLOOKUP(C51,[1]Sheet1!$A$1:$D$65536,3,0)/K51,"")</f>
        <v/>
      </c>
      <c r="G51" s="5"/>
      <c r="H51" s="10">
        <v>30</v>
      </c>
      <c r="I51" s="10"/>
      <c r="J51" s="56">
        <f t="shared" si="28"/>
        <v>60</v>
      </c>
      <c r="K51" s="5">
        <v>2</v>
      </c>
      <c r="L51" s="11"/>
      <c r="M51" s="146">
        <v>18900</v>
      </c>
      <c r="N51" s="147">
        <f t="shared" si="32"/>
        <v>1134000</v>
      </c>
    </row>
    <row r="52" spans="1:16" ht="30" customHeight="1">
      <c r="A52" s="29">
        <v>46</v>
      </c>
      <c r="B52" s="5" t="s">
        <v>23</v>
      </c>
      <c r="C52" s="81">
        <v>30003747</v>
      </c>
      <c r="D52" s="2" t="s">
        <v>1006</v>
      </c>
      <c r="E52" s="5" t="s">
        <v>928</v>
      </c>
      <c r="F52" s="100" t="str">
        <f>IFERROR(VLOOKUP(C52,[1]Sheet1!$A$1:$D$65536,3,0)/K52,"")</f>
        <v/>
      </c>
      <c r="G52" s="5"/>
      <c r="H52" s="10"/>
      <c r="I52" s="10"/>
      <c r="J52" s="56">
        <f t="shared" ref="J52" si="33">H52*K52+I52</f>
        <v>0</v>
      </c>
      <c r="K52" s="5">
        <v>2</v>
      </c>
      <c r="L52" s="11"/>
      <c r="M52" s="146">
        <v>18900</v>
      </c>
      <c r="N52" s="147">
        <f t="shared" ref="N52" si="34">M52*J52</f>
        <v>0</v>
      </c>
    </row>
    <row r="53" spans="1:16" s="33" customFormat="1" ht="30" customHeight="1">
      <c r="A53" s="29">
        <v>51</v>
      </c>
      <c r="B53" s="5" t="s">
        <v>820</v>
      </c>
      <c r="C53" s="81">
        <v>30001086</v>
      </c>
      <c r="D53" s="1" t="s">
        <v>38</v>
      </c>
      <c r="E53" s="5" t="s">
        <v>14</v>
      </c>
      <c r="F53" s="100">
        <f>IFERROR(VLOOKUP(C53,[1]Sheet1!$A$1:$D$65536,3,0)/K53,"")</f>
        <v>0.72950000000000004</v>
      </c>
      <c r="G53" s="5"/>
      <c r="H53" s="10">
        <v>2</v>
      </c>
      <c r="I53" s="10">
        <v>4</v>
      </c>
      <c r="J53" s="56">
        <f t="shared" si="28"/>
        <v>24</v>
      </c>
      <c r="K53" s="5">
        <v>10</v>
      </c>
      <c r="L53" s="11" t="s">
        <v>86</v>
      </c>
      <c r="M53" s="146">
        <v>2000</v>
      </c>
      <c r="N53" s="147">
        <f t="shared" ref="N53:N58" si="35">M53*J53</f>
        <v>48000</v>
      </c>
    </row>
    <row r="54" spans="1:16" ht="30" customHeight="1">
      <c r="A54" s="29">
        <v>52</v>
      </c>
      <c r="B54" s="5" t="s">
        <v>820</v>
      </c>
      <c r="C54" s="81">
        <v>30002949</v>
      </c>
      <c r="D54" s="1" t="s">
        <v>37</v>
      </c>
      <c r="E54" s="5" t="s">
        <v>14</v>
      </c>
      <c r="F54" s="98">
        <f>IFERROR(VLOOKUP(C54,[1]Sheet1!$A$1:$D$65536,3,0)/K54,"")</f>
        <v>0.57400000000000007</v>
      </c>
      <c r="G54" s="5"/>
      <c r="H54" s="13">
        <v>3</v>
      </c>
      <c r="I54" s="13">
        <v>5</v>
      </c>
      <c r="J54" s="56">
        <f t="shared" si="28"/>
        <v>35</v>
      </c>
      <c r="K54" s="5">
        <v>10</v>
      </c>
      <c r="L54" s="11" t="s">
        <v>83</v>
      </c>
      <c r="M54" s="146">
        <v>1850</v>
      </c>
      <c r="N54" s="147">
        <f t="shared" si="35"/>
        <v>64750</v>
      </c>
    </row>
    <row r="55" spans="1:16" ht="30" customHeight="1">
      <c r="A55" s="29">
        <v>53</v>
      </c>
      <c r="B55" s="5" t="s">
        <v>820</v>
      </c>
      <c r="C55" s="81">
        <v>20001843</v>
      </c>
      <c r="D55" s="1" t="s">
        <v>31</v>
      </c>
      <c r="E55" s="5" t="s">
        <v>14</v>
      </c>
      <c r="F55" s="98">
        <f>IFERROR(VLOOKUP(C55,[1]Sheet1!$A$1:$D$65536,3,0)/K55,"")</f>
        <v>11.9214</v>
      </c>
      <c r="G55" s="5"/>
      <c r="H55" s="13">
        <v>33</v>
      </c>
      <c r="I55" s="13">
        <v>8</v>
      </c>
      <c r="J55" s="56">
        <f t="shared" ref="J55:J58" si="36">H55*K55+I55</f>
        <v>338</v>
      </c>
      <c r="K55" s="5">
        <v>10</v>
      </c>
      <c r="L55" s="11" t="s">
        <v>87</v>
      </c>
      <c r="M55" s="146">
        <v>1900</v>
      </c>
      <c r="N55" s="147">
        <f t="shared" si="35"/>
        <v>642200</v>
      </c>
    </row>
    <row r="56" spans="1:16" ht="30" customHeight="1">
      <c r="A56" s="29">
        <v>54</v>
      </c>
      <c r="B56" s="5" t="s">
        <v>820</v>
      </c>
      <c r="C56" s="81">
        <v>30003603</v>
      </c>
      <c r="D56" s="1" t="s">
        <v>693</v>
      </c>
      <c r="E56" s="5" t="s">
        <v>14</v>
      </c>
      <c r="F56" s="100">
        <f>IFERROR(VLOOKUP(C56,[1]Sheet1!$A$1:$D$65536,3,0)/K56,"")</f>
        <v>7.5144000000000002</v>
      </c>
      <c r="G56" s="5"/>
      <c r="H56" s="13">
        <v>11</v>
      </c>
      <c r="I56" s="13">
        <v>4</v>
      </c>
      <c r="J56" s="56">
        <f>H56*K56+I56</f>
        <v>59</v>
      </c>
      <c r="K56" s="5">
        <v>5</v>
      </c>
      <c r="L56" s="11" t="s">
        <v>456</v>
      </c>
      <c r="M56" s="191">
        <v>2200</v>
      </c>
      <c r="N56" s="147">
        <f t="shared" si="35"/>
        <v>129800</v>
      </c>
    </row>
    <row r="57" spans="1:16" ht="30" customHeight="1">
      <c r="A57" s="29">
        <v>55</v>
      </c>
      <c r="B57" s="5" t="s">
        <v>820</v>
      </c>
      <c r="C57" s="81">
        <v>30002283</v>
      </c>
      <c r="D57" s="1" t="s">
        <v>94</v>
      </c>
      <c r="E57" s="5" t="s">
        <v>14</v>
      </c>
      <c r="F57" s="98">
        <f>IFERROR(VLOOKUP(C57,[1]Sheet1!$A$1:$D$65536,3,0)/K57,"")</f>
        <v>1.1164000000000001</v>
      </c>
      <c r="G57" s="5"/>
      <c r="H57" s="13">
        <v>6</v>
      </c>
      <c r="I57" s="13">
        <v>1</v>
      </c>
      <c r="J57" s="56">
        <v>7</v>
      </c>
      <c r="K57" s="5">
        <v>10</v>
      </c>
      <c r="L57" s="11" t="s">
        <v>83</v>
      </c>
      <c r="M57" s="146">
        <v>2500</v>
      </c>
      <c r="N57" s="147">
        <f t="shared" si="35"/>
        <v>17500</v>
      </c>
    </row>
    <row r="58" spans="1:16" ht="30" customHeight="1">
      <c r="A58" s="29">
        <v>56</v>
      </c>
      <c r="B58" s="5" t="s">
        <v>820</v>
      </c>
      <c r="C58" s="81">
        <v>30001145</v>
      </c>
      <c r="D58" s="1" t="s">
        <v>68</v>
      </c>
      <c r="E58" s="5" t="s">
        <v>14</v>
      </c>
      <c r="F58" s="98">
        <f>IFERROR(VLOOKUP(C58,[1]Sheet1!$A$1:$D$65536,3,0)/K58,"")</f>
        <v>0.99049999999999994</v>
      </c>
      <c r="G58" s="5"/>
      <c r="H58" s="13">
        <v>5</v>
      </c>
      <c r="I58" s="13">
        <v>7</v>
      </c>
      <c r="J58" s="56">
        <f t="shared" si="36"/>
        <v>57</v>
      </c>
      <c r="K58" s="5">
        <v>10</v>
      </c>
      <c r="L58" s="11" t="s">
        <v>86</v>
      </c>
      <c r="M58" s="146">
        <v>2400</v>
      </c>
      <c r="N58" s="147">
        <f t="shared" si="35"/>
        <v>136800</v>
      </c>
    </row>
    <row r="59" spans="1:16" ht="30" customHeight="1">
      <c r="A59" s="29">
        <v>58</v>
      </c>
      <c r="B59" s="5" t="s">
        <v>821</v>
      </c>
      <c r="C59" s="81">
        <v>30002109</v>
      </c>
      <c r="D59" s="51" t="s">
        <v>27</v>
      </c>
      <c r="E59" s="5" t="s">
        <v>11</v>
      </c>
      <c r="F59" s="98">
        <f>IFERROR(VLOOKUP(C59,[1]Sheet1!$A$1:$D$65536,3,0)/K59,"")</f>
        <v>3.4552</v>
      </c>
      <c r="G59" s="5"/>
      <c r="H59" s="13">
        <v>39</v>
      </c>
      <c r="I59" s="13"/>
      <c r="J59" s="56">
        <f t="shared" ref="J59" si="37">H59*K59+I59</f>
        <v>390</v>
      </c>
      <c r="K59" s="5">
        <v>10</v>
      </c>
      <c r="L59" s="11" t="s">
        <v>80</v>
      </c>
      <c r="M59" s="146">
        <v>5900</v>
      </c>
      <c r="N59" s="147">
        <f t="shared" ref="N59" si="38">M59*J59</f>
        <v>2301000</v>
      </c>
    </row>
    <row r="60" spans="1:16" ht="30" customHeight="1">
      <c r="A60" s="29">
        <v>58</v>
      </c>
      <c r="B60" s="5" t="s">
        <v>821</v>
      </c>
      <c r="C60" s="81">
        <v>30003013</v>
      </c>
      <c r="D60" s="51" t="s">
        <v>859</v>
      </c>
      <c r="E60" s="5" t="s">
        <v>11</v>
      </c>
      <c r="F60" s="98"/>
      <c r="G60" s="5"/>
      <c r="H60" s="10">
        <v>17</v>
      </c>
      <c r="I60" s="10"/>
      <c r="J60" s="56">
        <f t="shared" ref="J60:J68" si="39">H60*K60+I60</f>
        <v>170</v>
      </c>
      <c r="K60" s="5">
        <v>10</v>
      </c>
      <c r="L60" s="11" t="s">
        <v>80</v>
      </c>
      <c r="M60" s="146">
        <v>5900</v>
      </c>
      <c r="N60" s="147">
        <f t="shared" ref="N60:N71" si="40">M60*J60</f>
        <v>1003000</v>
      </c>
    </row>
    <row r="61" spans="1:16" ht="30" hidden="1" customHeight="1">
      <c r="A61" s="29">
        <v>59</v>
      </c>
      <c r="B61" s="5" t="s">
        <v>943</v>
      </c>
      <c r="C61" s="81"/>
      <c r="D61" s="1" t="s">
        <v>944</v>
      </c>
      <c r="E61" s="5" t="s">
        <v>10</v>
      </c>
      <c r="F61" s="100"/>
      <c r="G61" s="5"/>
      <c r="H61" s="10"/>
      <c r="I61" s="10"/>
      <c r="J61" s="56">
        <f t="shared" si="39"/>
        <v>0</v>
      </c>
      <c r="K61" s="5">
        <v>10</v>
      </c>
      <c r="L61" s="11" t="s">
        <v>86</v>
      </c>
      <c r="M61" s="191">
        <v>900</v>
      </c>
      <c r="N61" s="147">
        <f t="shared" si="40"/>
        <v>0</v>
      </c>
      <c r="P61" s="189" t="s">
        <v>626</v>
      </c>
    </row>
    <row r="62" spans="1:16" ht="30" customHeight="1">
      <c r="A62" s="29">
        <v>59</v>
      </c>
      <c r="B62" s="5" t="s">
        <v>933</v>
      </c>
      <c r="C62" s="81">
        <v>30003715</v>
      </c>
      <c r="D62" s="1" t="s">
        <v>945</v>
      </c>
      <c r="E62" s="5" t="s">
        <v>12</v>
      </c>
      <c r="F62" s="100">
        <v>5.6388888888888893</v>
      </c>
      <c r="G62" s="5"/>
      <c r="H62" s="10">
        <v>40</v>
      </c>
      <c r="I62" s="10"/>
      <c r="J62" s="56">
        <f t="shared" si="39"/>
        <v>240</v>
      </c>
      <c r="K62" s="5">
        <v>6</v>
      </c>
      <c r="L62" s="11" t="s">
        <v>86</v>
      </c>
      <c r="M62" s="191">
        <v>900</v>
      </c>
      <c r="N62" s="147">
        <f t="shared" si="40"/>
        <v>216000</v>
      </c>
      <c r="P62" s="189" t="s">
        <v>626</v>
      </c>
    </row>
    <row r="63" spans="1:16" ht="30" customHeight="1">
      <c r="A63" s="29">
        <v>59</v>
      </c>
      <c r="B63" s="5" t="s">
        <v>980</v>
      </c>
      <c r="C63" s="81">
        <v>30003733</v>
      </c>
      <c r="D63" s="51" t="s">
        <v>981</v>
      </c>
      <c r="E63" s="5" t="s">
        <v>10</v>
      </c>
      <c r="F63" s="100"/>
      <c r="G63" s="5"/>
      <c r="H63" s="10">
        <v>7</v>
      </c>
      <c r="I63" s="10">
        <v>12</v>
      </c>
      <c r="J63" s="56">
        <f t="shared" si="39"/>
        <v>82</v>
      </c>
      <c r="K63" s="5">
        <v>10</v>
      </c>
      <c r="L63" s="11" t="s">
        <v>86</v>
      </c>
      <c r="M63" s="191">
        <v>9600</v>
      </c>
      <c r="N63" s="147">
        <f t="shared" si="40"/>
        <v>787200</v>
      </c>
      <c r="P63" s="189" t="s">
        <v>626</v>
      </c>
    </row>
    <row r="64" spans="1:16" ht="30" customHeight="1">
      <c r="A64" s="29">
        <v>59</v>
      </c>
      <c r="B64" s="5" t="s">
        <v>982</v>
      </c>
      <c r="C64" s="81">
        <v>30003734</v>
      </c>
      <c r="D64" s="51" t="s">
        <v>983</v>
      </c>
      <c r="E64" s="5" t="s">
        <v>12</v>
      </c>
      <c r="F64" s="100"/>
      <c r="G64" s="5"/>
      <c r="H64" s="10">
        <v>17</v>
      </c>
      <c r="I64" s="10"/>
      <c r="J64" s="56">
        <f t="shared" si="39"/>
        <v>102</v>
      </c>
      <c r="K64" s="5">
        <v>6</v>
      </c>
      <c r="L64" s="11" t="s">
        <v>86</v>
      </c>
      <c r="M64" s="191">
        <v>17000</v>
      </c>
      <c r="N64" s="147">
        <f t="shared" si="40"/>
        <v>1734000</v>
      </c>
      <c r="P64" s="189" t="s">
        <v>626</v>
      </c>
    </row>
    <row r="65" spans="1:16" ht="30" customHeight="1">
      <c r="A65" s="29">
        <v>59</v>
      </c>
      <c r="B65" s="5" t="s">
        <v>982</v>
      </c>
      <c r="C65" s="81">
        <v>30003732</v>
      </c>
      <c r="D65" s="51" t="s">
        <v>984</v>
      </c>
      <c r="E65" s="5" t="s">
        <v>12</v>
      </c>
      <c r="F65" s="100"/>
      <c r="G65" s="5"/>
      <c r="H65" s="10">
        <v>43</v>
      </c>
      <c r="I65" s="10"/>
      <c r="J65" s="56">
        <f t="shared" si="39"/>
        <v>344</v>
      </c>
      <c r="K65" s="5">
        <v>8</v>
      </c>
      <c r="L65" s="11" t="s">
        <v>86</v>
      </c>
      <c r="M65" s="191">
        <v>8000</v>
      </c>
      <c r="N65" s="147">
        <f t="shared" si="40"/>
        <v>2752000</v>
      </c>
      <c r="P65" s="189" t="s">
        <v>626</v>
      </c>
    </row>
    <row r="66" spans="1:16" ht="30" customHeight="1">
      <c r="A66" s="29">
        <v>59</v>
      </c>
      <c r="B66" s="5" t="s">
        <v>982</v>
      </c>
      <c r="C66" s="81">
        <v>30003731</v>
      </c>
      <c r="D66" s="51" t="s">
        <v>985</v>
      </c>
      <c r="E66" s="5" t="s">
        <v>12</v>
      </c>
      <c r="F66" s="100"/>
      <c r="G66" s="5"/>
      <c r="H66" s="10">
        <v>29</v>
      </c>
      <c r="I66" s="10">
        <v>3</v>
      </c>
      <c r="J66" s="56">
        <f t="shared" si="39"/>
        <v>293</v>
      </c>
      <c r="K66" s="5">
        <v>10</v>
      </c>
      <c r="L66" s="11" t="s">
        <v>86</v>
      </c>
      <c r="M66" s="191">
        <v>11800</v>
      </c>
      <c r="N66" s="147">
        <f t="shared" si="40"/>
        <v>3457400</v>
      </c>
      <c r="P66" s="189" t="s">
        <v>626</v>
      </c>
    </row>
    <row r="67" spans="1:16" ht="30" customHeight="1">
      <c r="A67" s="29">
        <v>59</v>
      </c>
      <c r="B67" s="5" t="s">
        <v>982</v>
      </c>
      <c r="C67" s="81">
        <v>30003741</v>
      </c>
      <c r="D67" s="51" t="s">
        <v>986</v>
      </c>
      <c r="E67" s="5" t="s">
        <v>12</v>
      </c>
      <c r="F67" s="100"/>
      <c r="G67" s="5"/>
      <c r="H67" s="10">
        <v>9</v>
      </c>
      <c r="I67" s="10"/>
      <c r="J67" s="56">
        <f t="shared" si="39"/>
        <v>36</v>
      </c>
      <c r="K67" s="5">
        <v>4</v>
      </c>
      <c r="L67" s="11" t="s">
        <v>86</v>
      </c>
      <c r="M67" s="191">
        <v>19200</v>
      </c>
      <c r="N67" s="147">
        <f t="shared" si="40"/>
        <v>691200</v>
      </c>
      <c r="P67" s="189" t="s">
        <v>626</v>
      </c>
    </row>
    <row r="68" spans="1:16" ht="30" customHeight="1">
      <c r="A68" s="29">
        <v>59</v>
      </c>
      <c r="B68" s="5" t="s">
        <v>1007</v>
      </c>
      <c r="C68" s="81">
        <v>30003746</v>
      </c>
      <c r="D68" s="2" t="s">
        <v>1207</v>
      </c>
      <c r="E68" s="5" t="s">
        <v>12</v>
      </c>
      <c r="F68" s="100"/>
      <c r="G68" s="5"/>
      <c r="H68" s="10">
        <v>2</v>
      </c>
      <c r="I68" s="10">
        <v>2</v>
      </c>
      <c r="J68" s="56">
        <f t="shared" si="39"/>
        <v>8</v>
      </c>
      <c r="K68" s="5">
        <v>3</v>
      </c>
      <c r="L68" s="11"/>
      <c r="M68" s="191">
        <v>7000</v>
      </c>
      <c r="N68" s="147">
        <f t="shared" ref="N68" si="41">M68*J68</f>
        <v>56000</v>
      </c>
      <c r="P68" s="189" t="s">
        <v>626</v>
      </c>
    </row>
    <row r="69" spans="1:16" ht="30" customHeight="1">
      <c r="A69" s="29">
        <v>59</v>
      </c>
      <c r="B69" s="5"/>
      <c r="C69" s="81"/>
      <c r="D69" s="1"/>
      <c r="E69" s="5"/>
      <c r="F69" s="100"/>
      <c r="G69" s="5"/>
      <c r="H69" s="10"/>
      <c r="I69" s="10"/>
      <c r="J69" s="56"/>
      <c r="K69" s="5"/>
      <c r="L69" s="11"/>
      <c r="M69" s="191">
        <v>900</v>
      </c>
      <c r="N69" s="147">
        <f t="shared" si="40"/>
        <v>0</v>
      </c>
      <c r="P69" s="189" t="s">
        <v>626</v>
      </c>
    </row>
    <row r="70" spans="1:16" ht="30" customHeight="1">
      <c r="A70" s="29">
        <v>59</v>
      </c>
      <c r="B70" s="5"/>
      <c r="C70" s="81"/>
      <c r="D70" s="1"/>
      <c r="E70" s="5"/>
      <c r="F70" s="100"/>
      <c r="G70" s="5"/>
      <c r="H70" s="10"/>
      <c r="I70" s="10"/>
      <c r="J70" s="56"/>
      <c r="K70" s="5"/>
      <c r="L70" s="11"/>
      <c r="M70" s="191">
        <v>900</v>
      </c>
      <c r="N70" s="147">
        <f t="shared" ref="N70" si="42">M70*J70</f>
        <v>0</v>
      </c>
      <c r="P70" s="189" t="s">
        <v>626</v>
      </c>
    </row>
    <row r="71" spans="1:16" ht="30" customHeight="1">
      <c r="A71" s="29">
        <v>59</v>
      </c>
      <c r="B71" s="5"/>
      <c r="C71" s="81"/>
      <c r="D71" s="1"/>
      <c r="E71" s="5"/>
      <c r="F71" s="100"/>
      <c r="G71" s="5"/>
      <c r="H71" s="10"/>
      <c r="I71" s="10"/>
      <c r="J71" s="56"/>
      <c r="K71" s="5"/>
      <c r="L71" s="11"/>
      <c r="M71" s="191">
        <v>900</v>
      </c>
      <c r="N71" s="147">
        <f t="shared" si="40"/>
        <v>0</v>
      </c>
      <c r="P71" s="189" t="s">
        <v>626</v>
      </c>
    </row>
    <row r="72" spans="1:16" s="33" customFormat="1" ht="30" hidden="1" customHeight="1">
      <c r="A72" s="29">
        <v>60</v>
      </c>
      <c r="B72" s="5" t="s">
        <v>56</v>
      </c>
      <c r="C72" s="81"/>
      <c r="D72" s="117" t="s">
        <v>650</v>
      </c>
      <c r="E72" s="118" t="s">
        <v>14</v>
      </c>
      <c r="F72" s="112" t="str">
        <f>IFERROR(VLOOKUP(C72,[3]Sheet1!$A$1:$D$65536,3,0)/K72,"")</f>
        <v/>
      </c>
      <c r="G72" s="118" t="s">
        <v>651</v>
      </c>
      <c r="H72" s="10"/>
      <c r="I72" s="153"/>
      <c r="J72" s="56">
        <f>H72*K72+I72</f>
        <v>0</v>
      </c>
      <c r="K72" s="5">
        <v>5</v>
      </c>
      <c r="L72" s="11"/>
      <c r="M72" s="146">
        <f>21000/5</f>
        <v>4200</v>
      </c>
      <c r="N72" s="147">
        <f t="shared" ref="N72" si="43">M72*J72</f>
        <v>0</v>
      </c>
    </row>
    <row r="73" spans="1:16" ht="30" hidden="1" customHeight="1">
      <c r="A73" s="29">
        <v>61</v>
      </c>
      <c r="B73" s="18" t="s">
        <v>260</v>
      </c>
      <c r="C73" s="81"/>
      <c r="D73" s="117" t="s">
        <v>505</v>
      </c>
      <c r="E73" s="118" t="s">
        <v>11</v>
      </c>
      <c r="F73" s="112" t="str">
        <f>IFERROR(VLOOKUP(C73,[3]Sheet1!$A$1:$D$65536,3,0)/K73,"")</f>
        <v/>
      </c>
      <c r="G73" s="118" t="s">
        <v>499</v>
      </c>
      <c r="H73" s="10"/>
      <c r="I73" s="10"/>
      <c r="J73" s="56">
        <f>H73*K73+I73</f>
        <v>0</v>
      </c>
      <c r="K73" s="5">
        <v>5</v>
      </c>
      <c r="L73" s="11"/>
      <c r="M73" s="152">
        <v>10500</v>
      </c>
      <c r="N73" s="147">
        <f>M73*J73</f>
        <v>0</v>
      </c>
    </row>
    <row r="74" spans="1:16" ht="30" hidden="1" customHeight="1">
      <c r="A74" s="29">
        <v>62</v>
      </c>
      <c r="B74" s="5" t="s">
        <v>440</v>
      </c>
      <c r="C74" s="81"/>
      <c r="D74" s="117" t="s">
        <v>558</v>
      </c>
      <c r="E74" s="118" t="s">
        <v>14</v>
      </c>
      <c r="F74" s="118" t="s">
        <v>497</v>
      </c>
      <c r="G74" s="118" t="s">
        <v>688</v>
      </c>
      <c r="H74" s="200">
        <v>1</v>
      </c>
      <c r="I74" s="200">
        <v>8</v>
      </c>
      <c r="J74" s="56">
        <f t="shared" ref="J74:J77" si="44">H74*K74+I74</f>
        <v>18</v>
      </c>
      <c r="K74" s="5">
        <v>10</v>
      </c>
      <c r="L74" s="11"/>
      <c r="M74" s="146">
        <v>6720</v>
      </c>
      <c r="N74" s="147">
        <f t="shared" ref="N74:N77" si="45">M74*J74</f>
        <v>120960</v>
      </c>
    </row>
    <row r="75" spans="1:16" ht="30" hidden="1" customHeight="1">
      <c r="A75" s="29">
        <v>63</v>
      </c>
      <c r="B75" s="5" t="s">
        <v>274</v>
      </c>
      <c r="C75" s="81"/>
      <c r="D75" s="117" t="s">
        <v>557</v>
      </c>
      <c r="E75" s="118" t="s">
        <v>14</v>
      </c>
      <c r="F75" s="112" t="s">
        <v>686</v>
      </c>
      <c r="G75" s="118" t="s">
        <v>687</v>
      </c>
      <c r="H75" s="200"/>
      <c r="I75" s="200">
        <v>15</v>
      </c>
      <c r="J75" s="56">
        <f t="shared" ref="J75:J76" si="46">H75*K75+I75</f>
        <v>15</v>
      </c>
      <c r="K75" s="5">
        <v>20</v>
      </c>
      <c r="L75" s="11"/>
      <c r="M75" s="146">
        <f>39000/20</f>
        <v>1950</v>
      </c>
      <c r="N75" s="147">
        <f t="shared" ref="N75:N76" si="47">M75*J75</f>
        <v>29250</v>
      </c>
    </row>
    <row r="76" spans="1:16" ht="30" hidden="1" customHeight="1">
      <c r="A76" s="29">
        <v>64</v>
      </c>
      <c r="B76" s="5" t="s">
        <v>540</v>
      </c>
      <c r="C76" s="81"/>
      <c r="D76" s="117" t="s">
        <v>541</v>
      </c>
      <c r="E76" s="118" t="s">
        <v>14</v>
      </c>
      <c r="F76" s="118" t="s">
        <v>497</v>
      </c>
      <c r="G76" s="118" t="s">
        <v>689</v>
      </c>
      <c r="H76" s="200">
        <v>16</v>
      </c>
      <c r="I76" s="109"/>
      <c r="J76" s="56">
        <f t="shared" si="46"/>
        <v>16</v>
      </c>
      <c r="K76" s="5">
        <v>1</v>
      </c>
      <c r="L76" s="11"/>
      <c r="M76" s="146">
        <f>550*60</f>
        <v>33000</v>
      </c>
      <c r="N76" s="147">
        <f t="shared" si="47"/>
        <v>528000</v>
      </c>
    </row>
    <row r="77" spans="1:16" ht="30" hidden="1" customHeight="1">
      <c r="A77" s="29">
        <v>65</v>
      </c>
      <c r="B77" s="5" t="s">
        <v>560</v>
      </c>
      <c r="C77" s="81"/>
      <c r="D77" s="117" t="s">
        <v>559</v>
      </c>
      <c r="E77" s="118" t="s">
        <v>14</v>
      </c>
      <c r="F77" s="118" t="s">
        <v>497</v>
      </c>
      <c r="G77" s="118" t="s">
        <v>690</v>
      </c>
      <c r="H77" s="200">
        <v>5</v>
      </c>
      <c r="I77" s="109"/>
      <c r="J77" s="56">
        <f t="shared" si="44"/>
        <v>5</v>
      </c>
      <c r="K77" s="5">
        <v>1</v>
      </c>
      <c r="L77" s="11"/>
      <c r="M77" s="146">
        <f>500*50</f>
        <v>25000</v>
      </c>
      <c r="N77" s="147">
        <f t="shared" si="45"/>
        <v>125000</v>
      </c>
    </row>
    <row r="78" spans="1:16" ht="30" hidden="1" customHeight="1">
      <c r="A78" s="29">
        <v>66</v>
      </c>
      <c r="B78" s="5" t="s">
        <v>549</v>
      </c>
      <c r="C78" s="81"/>
      <c r="D78" s="117" t="s">
        <v>550</v>
      </c>
      <c r="E78" s="118" t="s">
        <v>14</v>
      </c>
      <c r="F78" s="118" t="s">
        <v>497</v>
      </c>
      <c r="G78" s="118" t="s">
        <v>691</v>
      </c>
      <c r="H78" s="200">
        <v>52</v>
      </c>
      <c r="I78" s="109"/>
      <c r="J78" s="56">
        <f t="shared" ref="J78:J154" si="48">H78*K78+I78</f>
        <v>52</v>
      </c>
      <c r="K78" s="5">
        <v>1</v>
      </c>
      <c r="L78" s="11"/>
      <c r="M78" s="146">
        <f>640*50</f>
        <v>32000</v>
      </c>
      <c r="N78" s="147">
        <f t="shared" ref="N78" si="49">M78*J78</f>
        <v>1664000</v>
      </c>
    </row>
    <row r="79" spans="1:16" s="33" customFormat="1" ht="30" customHeight="1">
      <c r="A79" s="29">
        <v>33</v>
      </c>
      <c r="B79" s="5" t="s">
        <v>662</v>
      </c>
      <c r="C79" s="81">
        <v>30002655</v>
      </c>
      <c r="D79" s="66" t="s">
        <v>961</v>
      </c>
      <c r="E79" s="47" t="s">
        <v>14</v>
      </c>
      <c r="F79" s="98">
        <f>IFERROR(VLOOKUP(C79,[1]Sheet1!$A$1:$D$65536,3,0)/K79,"")</f>
        <v>1.7207999999999999</v>
      </c>
      <c r="G79" s="46"/>
      <c r="H79" s="10">
        <v>21</v>
      </c>
      <c r="I79" s="10">
        <v>8</v>
      </c>
      <c r="J79" s="56">
        <f>H79*K79+I79</f>
        <v>218</v>
      </c>
      <c r="K79" s="5">
        <v>10</v>
      </c>
      <c r="L79" s="11" t="s">
        <v>579</v>
      </c>
      <c r="M79" s="191">
        <v>8373</v>
      </c>
      <c r="N79" s="147">
        <f>M79*J79</f>
        <v>1825314</v>
      </c>
      <c r="O79" s="33" t="s">
        <v>714</v>
      </c>
    </row>
    <row r="80" spans="1:16" s="22" customFormat="1" ht="30" customHeight="1">
      <c r="A80" s="29">
        <v>28</v>
      </c>
      <c r="B80" s="5" t="s">
        <v>662</v>
      </c>
      <c r="C80" s="81">
        <v>30002950</v>
      </c>
      <c r="D80" s="66" t="s">
        <v>425</v>
      </c>
      <c r="E80" s="47" t="s">
        <v>14</v>
      </c>
      <c r="F80" s="98">
        <f>IFERROR(VLOOKUP(C80,[1]Sheet1!$A$1:$D$65536,3,0)/K80,"")</f>
        <v>2.8275000000000001</v>
      </c>
      <c r="G80" s="46"/>
      <c r="H80" s="10">
        <v>1</v>
      </c>
      <c r="I80" s="10">
        <v>2</v>
      </c>
      <c r="J80" s="56">
        <f>H80*K80+I80</f>
        <v>8</v>
      </c>
      <c r="K80" s="5">
        <v>6</v>
      </c>
      <c r="L80" s="11" t="s">
        <v>88</v>
      </c>
      <c r="M80" s="191">
        <v>17150</v>
      </c>
      <c r="N80" s="147">
        <f>M80*J80</f>
        <v>137200</v>
      </c>
    </row>
    <row r="81" spans="1:15" s="22" customFormat="1" ht="30" customHeight="1">
      <c r="A81" s="29">
        <v>29</v>
      </c>
      <c r="B81" s="5" t="s">
        <v>662</v>
      </c>
      <c r="C81" s="81">
        <v>30002951</v>
      </c>
      <c r="D81" s="66" t="s">
        <v>426</v>
      </c>
      <c r="E81" s="47" t="s">
        <v>14</v>
      </c>
      <c r="F81" s="98">
        <f>IFERROR(VLOOKUP(C81,[1]Sheet1!$A$1:$D$65536,3,0)/K81,"")</f>
        <v>8.160166666666667</v>
      </c>
      <c r="G81" s="46"/>
      <c r="H81" s="10">
        <v>3</v>
      </c>
      <c r="I81" s="10"/>
      <c r="J81" s="56">
        <f>H81*K81+I81</f>
        <v>18</v>
      </c>
      <c r="K81" s="5">
        <v>6</v>
      </c>
      <c r="L81" s="11" t="s">
        <v>88</v>
      </c>
      <c r="M81" s="193">
        <f>78200/6</f>
        <v>13033.333333333334</v>
      </c>
      <c r="N81" s="147">
        <f>M81*J81</f>
        <v>234600</v>
      </c>
    </row>
    <row r="82" spans="1:15" s="22" customFormat="1" ht="30" customHeight="1">
      <c r="A82" s="29">
        <v>23</v>
      </c>
      <c r="B82" s="5" t="s">
        <v>75</v>
      </c>
      <c r="C82" s="81">
        <v>30003640</v>
      </c>
      <c r="D82" s="51" t="s">
        <v>939</v>
      </c>
      <c r="E82" s="47" t="s">
        <v>14</v>
      </c>
      <c r="F82" s="98" t="str">
        <f>IFERROR(VLOOKUP(C82,[1]Sheet1!$A$1:$D$65536,3,0)/K82,"")</f>
        <v/>
      </c>
      <c r="G82" s="47"/>
      <c r="H82" s="10"/>
      <c r="I82" s="10"/>
      <c r="J82" s="56">
        <f t="shared" ref="J82" si="50">H82*K82+I82</f>
        <v>0</v>
      </c>
      <c r="K82" s="5">
        <v>5</v>
      </c>
      <c r="L82" s="11" t="s">
        <v>88</v>
      </c>
      <c r="M82" s="191">
        <v>6496</v>
      </c>
      <c r="N82" s="147">
        <f t="shared" ref="N82" si="51">M82*J82</f>
        <v>0</v>
      </c>
    </row>
    <row r="83" spans="1:15" s="22" customFormat="1" ht="30" customHeight="1">
      <c r="A83" s="29">
        <v>23</v>
      </c>
      <c r="B83" s="5" t="s">
        <v>75</v>
      </c>
      <c r="C83" s="81">
        <v>30003640</v>
      </c>
      <c r="D83" s="51" t="s">
        <v>940</v>
      </c>
      <c r="E83" s="47" t="s">
        <v>14</v>
      </c>
      <c r="F83" s="98" t="str">
        <f>IFERROR(VLOOKUP(C83,[1]Sheet1!$A$1:$D$65536,3,0)/K83,"")</f>
        <v/>
      </c>
      <c r="G83" s="47"/>
      <c r="H83" s="10"/>
      <c r="I83" s="10"/>
      <c r="J83" s="56">
        <f>H83*K83+I83</f>
        <v>0</v>
      </c>
      <c r="K83" s="5">
        <v>4</v>
      </c>
      <c r="L83" s="11" t="s">
        <v>88</v>
      </c>
      <c r="M83" s="191">
        <v>6496</v>
      </c>
      <c r="N83" s="147">
        <f>M83*J83</f>
        <v>0</v>
      </c>
    </row>
    <row r="84" spans="1:15" s="22" customFormat="1" ht="30" customHeight="1">
      <c r="A84" s="29">
        <v>23</v>
      </c>
      <c r="B84" s="5" t="s">
        <v>879</v>
      </c>
      <c r="C84" s="81">
        <v>30003640</v>
      </c>
      <c r="D84" s="51" t="s">
        <v>880</v>
      </c>
      <c r="E84" s="47" t="s">
        <v>14</v>
      </c>
      <c r="F84" s="98" t="str">
        <f>IFERROR(VLOOKUP(C84,[1]Sheet1!$A$1:$D$65536,3,0)/K84,"")</f>
        <v/>
      </c>
      <c r="G84" s="47"/>
      <c r="H84" s="10"/>
      <c r="I84" s="10"/>
      <c r="J84" s="56">
        <f t="shared" ref="J84" si="52">H84*K84+I84</f>
        <v>0</v>
      </c>
      <c r="K84" s="5">
        <v>4</v>
      </c>
      <c r="L84" s="11" t="s">
        <v>88</v>
      </c>
      <c r="M84" s="191">
        <v>6496</v>
      </c>
      <c r="N84" s="147">
        <f t="shared" ref="N84" si="53">M84*J84</f>
        <v>0</v>
      </c>
    </row>
    <row r="85" spans="1:15" ht="30" customHeight="1">
      <c r="A85" s="29">
        <v>38</v>
      </c>
      <c r="B85" s="5" t="s">
        <v>628</v>
      </c>
      <c r="C85" s="81">
        <v>30003438</v>
      </c>
      <c r="D85" s="1" t="s">
        <v>438</v>
      </c>
      <c r="E85" s="5" t="s">
        <v>391</v>
      </c>
      <c r="F85" s="100">
        <f>IFERROR(VLOOKUP(C85,[1]Sheet1!$A$1:$D$65536,3,0)/K85,"")</f>
        <v>16.044333333333334</v>
      </c>
      <c r="G85" s="5"/>
      <c r="H85" s="10">
        <v>18</v>
      </c>
      <c r="I85" s="10"/>
      <c r="J85" s="56">
        <f>H85*K85+I85</f>
        <v>54</v>
      </c>
      <c r="K85" s="5">
        <v>3</v>
      </c>
      <c r="L85" s="11" t="s">
        <v>437</v>
      </c>
      <c r="M85" s="146">
        <v>18300</v>
      </c>
      <c r="N85" s="147">
        <f>M85*J85</f>
        <v>988200</v>
      </c>
    </row>
    <row r="86" spans="1:15" ht="30" customHeight="1">
      <c r="A86" s="29">
        <v>21</v>
      </c>
      <c r="B86" s="5" t="s">
        <v>661</v>
      </c>
      <c r="C86" s="81">
        <v>30002893</v>
      </c>
      <c r="D86" s="51" t="s">
        <v>873</v>
      </c>
      <c r="E86" s="47" t="s">
        <v>14</v>
      </c>
      <c r="F86" s="98"/>
      <c r="G86" s="47"/>
      <c r="H86" s="10"/>
      <c r="I86" s="10"/>
      <c r="J86" s="56">
        <f>H86*K86+I86</f>
        <v>0</v>
      </c>
      <c r="K86" s="5">
        <v>10</v>
      </c>
      <c r="L86" s="11" t="s">
        <v>88</v>
      </c>
      <c r="M86" s="191"/>
      <c r="N86" s="147">
        <f>M86*J86</f>
        <v>0</v>
      </c>
    </row>
    <row r="87" spans="1:15" ht="30" customHeight="1">
      <c r="A87" s="29">
        <v>17</v>
      </c>
      <c r="B87" s="18" t="s">
        <v>633</v>
      </c>
      <c r="C87" s="81">
        <v>30002895</v>
      </c>
      <c r="D87" s="1" t="s">
        <v>238</v>
      </c>
      <c r="E87" s="5" t="s">
        <v>14</v>
      </c>
      <c r="F87" s="98">
        <f>IFERROR(VLOOKUP(C87,[1]Sheet1!$A$1:$D$65536,3,0)/K87,"")</f>
        <v>6.2368000000000006</v>
      </c>
      <c r="G87" s="5"/>
      <c r="H87" s="10"/>
      <c r="I87" s="10"/>
      <c r="J87" s="56">
        <f>H87*K87+I87</f>
        <v>0</v>
      </c>
      <c r="K87" s="5">
        <v>5</v>
      </c>
      <c r="L87" s="11" t="s">
        <v>88</v>
      </c>
      <c r="M87" s="191">
        <v>12670</v>
      </c>
      <c r="N87" s="147">
        <f>M87*J87</f>
        <v>0</v>
      </c>
    </row>
    <row r="88" spans="1:15" ht="30" customHeight="1">
      <c r="A88" s="29">
        <v>37</v>
      </c>
      <c r="B88" s="5" t="s">
        <v>628</v>
      </c>
      <c r="C88" s="81">
        <v>30003285</v>
      </c>
      <c r="D88" s="1" t="s">
        <v>475</v>
      </c>
      <c r="E88" s="5" t="s">
        <v>14</v>
      </c>
      <c r="F88" s="100">
        <f>IFERROR(VLOOKUP(C88,[1]Sheet1!$A$1:$D$65536,3,0)/K88,"")</f>
        <v>6.8953999999999995</v>
      </c>
      <c r="G88" s="5" t="s">
        <v>476</v>
      </c>
      <c r="H88" s="10"/>
      <c r="I88" s="10"/>
      <c r="J88" s="56">
        <f t="shared" ref="J88" si="54">H88*K88+I88</f>
        <v>0</v>
      </c>
      <c r="K88" s="5">
        <v>10</v>
      </c>
      <c r="L88" s="11" t="s">
        <v>88</v>
      </c>
      <c r="M88" s="146">
        <v>3180</v>
      </c>
      <c r="N88" s="147">
        <f>M88*J88</f>
        <v>0</v>
      </c>
    </row>
    <row r="89" spans="1:15" ht="30" customHeight="1">
      <c r="A89" s="29">
        <v>47</v>
      </c>
      <c r="B89" s="5" t="s">
        <v>23</v>
      </c>
      <c r="C89" s="194">
        <v>30003192</v>
      </c>
      <c r="D89" s="51" t="s">
        <v>845</v>
      </c>
      <c r="E89" s="47" t="s">
        <v>10</v>
      </c>
      <c r="F89" s="98" t="str">
        <f>IFERROR(VLOOKUP(C89,[1]Sheet1!$A$1:$D$65536,3,0)/K89,"")</f>
        <v/>
      </c>
      <c r="G89" s="47" t="s">
        <v>930</v>
      </c>
      <c r="H89" s="10"/>
      <c r="I89" s="10"/>
      <c r="J89" s="56">
        <f t="shared" ref="J89" si="55">H89*K89+I89</f>
        <v>0</v>
      </c>
      <c r="K89" s="5">
        <v>10</v>
      </c>
      <c r="L89" s="11" t="s">
        <v>844</v>
      </c>
      <c r="M89" s="146">
        <v>6460</v>
      </c>
      <c r="N89" s="147">
        <f t="shared" ref="N89" si="56">M89*J89</f>
        <v>0</v>
      </c>
    </row>
    <row r="90" spans="1:15" ht="30" customHeight="1">
      <c r="A90" s="29">
        <v>48</v>
      </c>
      <c r="B90" s="5" t="s">
        <v>819</v>
      </c>
      <c r="C90" s="83">
        <v>30003609</v>
      </c>
      <c r="D90" s="199" t="s">
        <v>731</v>
      </c>
      <c r="E90" s="187" t="s">
        <v>10</v>
      </c>
      <c r="F90" s="198">
        <f>IFERROR(VLOOKUP(C90,[1]Sheet1!$A$1:$D$65536,3,0)/K90,"")</f>
        <v>8.9280000000000008</v>
      </c>
      <c r="G90" s="187" t="s">
        <v>828</v>
      </c>
      <c r="H90" s="10"/>
      <c r="I90" s="10"/>
      <c r="J90" s="56">
        <f>H90*K90+I90</f>
        <v>0</v>
      </c>
      <c r="K90" s="5">
        <v>5</v>
      </c>
      <c r="L90" s="11" t="s">
        <v>732</v>
      </c>
      <c r="M90" s="146">
        <v>12100</v>
      </c>
      <c r="N90" s="147">
        <f>M90*J90</f>
        <v>0</v>
      </c>
    </row>
    <row r="91" spans="1:15" ht="30" customHeight="1">
      <c r="A91" s="29">
        <v>49</v>
      </c>
      <c r="B91" s="5" t="s">
        <v>734</v>
      </c>
      <c r="C91" s="83">
        <v>30003611</v>
      </c>
      <c r="D91" s="199" t="s">
        <v>736</v>
      </c>
      <c r="E91" s="187" t="s">
        <v>14</v>
      </c>
      <c r="F91" s="198">
        <f>IFERROR(VLOOKUP(C91,[1]Sheet1!$A$1:$D$65536,3,0)/K91,"")</f>
        <v>1.2699999999999999E-2</v>
      </c>
      <c r="G91" s="187" t="s">
        <v>828</v>
      </c>
      <c r="H91" s="10"/>
      <c r="I91" s="200"/>
      <c r="J91" s="56">
        <f t="shared" ref="J91" si="57">H91*K91+I91</f>
        <v>0</v>
      </c>
      <c r="K91" s="5">
        <v>20</v>
      </c>
      <c r="L91" s="11" t="s">
        <v>188</v>
      </c>
      <c r="M91" s="146">
        <v>14500</v>
      </c>
      <c r="N91" s="147">
        <f>M91*J91</f>
        <v>0</v>
      </c>
    </row>
    <row r="92" spans="1:15" ht="30" customHeight="1">
      <c r="A92" s="29">
        <v>50</v>
      </c>
      <c r="B92" s="5" t="s">
        <v>734</v>
      </c>
      <c r="C92" s="83">
        <v>30003639</v>
      </c>
      <c r="D92" s="158" t="s">
        <v>843</v>
      </c>
      <c r="E92" s="159" t="s">
        <v>735</v>
      </c>
      <c r="F92" s="157" t="str">
        <f>IFERROR(VLOOKUP(C92,[1]Sheet1!$A$1:$D$65536,3,0)/K92,"")</f>
        <v/>
      </c>
      <c r="G92" s="47" t="s">
        <v>929</v>
      </c>
      <c r="H92" s="13"/>
      <c r="I92" s="211"/>
      <c r="J92" s="56">
        <f>H92*K92+I92</f>
        <v>0</v>
      </c>
      <c r="K92" s="5">
        <v>10</v>
      </c>
      <c r="L92" s="11" t="s">
        <v>842</v>
      </c>
      <c r="M92" s="146">
        <v>22000</v>
      </c>
      <c r="N92" s="147">
        <f t="shared" ref="N92" si="58">M92*J92</f>
        <v>0</v>
      </c>
    </row>
    <row r="93" spans="1:15" ht="30" customHeight="1">
      <c r="A93" s="29"/>
      <c r="B93" s="5" t="s">
        <v>637</v>
      </c>
      <c r="C93" s="194">
        <v>30003497</v>
      </c>
      <c r="D93" s="199" t="s">
        <v>638</v>
      </c>
      <c r="E93" s="187" t="s">
        <v>639</v>
      </c>
      <c r="F93" s="198" t="str">
        <f>IFERROR(VLOOKUP(C93,[2]Sheet1!$A$1:$D$65536,3,0)/K93,"")</f>
        <v/>
      </c>
      <c r="G93" s="187" t="s">
        <v>739</v>
      </c>
      <c r="H93" s="200"/>
      <c r="I93" s="200"/>
      <c r="J93" s="56">
        <f t="shared" ref="J93" si="59">H93*K93+I93</f>
        <v>0</v>
      </c>
      <c r="K93" s="5">
        <v>10</v>
      </c>
      <c r="L93" s="11" t="s">
        <v>635</v>
      </c>
      <c r="M93" s="191">
        <v>5760</v>
      </c>
      <c r="N93" s="147">
        <f t="shared" ref="N93" si="60">M93*J93</f>
        <v>0</v>
      </c>
      <c r="O93" s="21" t="s">
        <v>710</v>
      </c>
    </row>
    <row r="94" spans="1:15" s="33" customFormat="1" ht="30" customHeight="1">
      <c r="A94" s="29"/>
      <c r="B94" s="5" t="s">
        <v>411</v>
      </c>
      <c r="C94" s="83">
        <v>30003588</v>
      </c>
      <c r="D94" s="199" t="s">
        <v>673</v>
      </c>
      <c r="E94" s="5" t="s">
        <v>14</v>
      </c>
      <c r="F94" s="100">
        <f>IFERROR(VLOOKUP(C94,[2]Sheet1!$A$1:$D$65536,3,0)/K94,"")</f>
        <v>0.71199999999999997</v>
      </c>
      <c r="G94" s="187" t="s">
        <v>719</v>
      </c>
      <c r="H94" s="200"/>
      <c r="I94" s="200"/>
      <c r="J94" s="56">
        <f>H94*K94+I94</f>
        <v>0</v>
      </c>
      <c r="K94" s="5">
        <v>10</v>
      </c>
      <c r="L94" s="11" t="s">
        <v>188</v>
      </c>
      <c r="M94" s="191">
        <v>8190</v>
      </c>
      <c r="N94" s="147">
        <f t="shared" ref="N94" si="61">M94*J94</f>
        <v>0</v>
      </c>
      <c r="O94" s="33" t="s">
        <v>710</v>
      </c>
    </row>
    <row r="95" spans="1:15" s="33" customFormat="1" ht="30" customHeight="1">
      <c r="A95" s="29"/>
      <c r="B95" s="5" t="s">
        <v>411</v>
      </c>
      <c r="C95" s="83">
        <v>30003587</v>
      </c>
      <c r="D95" s="199" t="s">
        <v>674</v>
      </c>
      <c r="E95" s="5" t="s">
        <v>14</v>
      </c>
      <c r="F95" s="100">
        <f>IFERROR(VLOOKUP(C95,[2]Sheet1!$A$1:$D$65536,3,0)/K95,"")</f>
        <v>0.69720000000000004</v>
      </c>
      <c r="G95" s="187" t="s">
        <v>718</v>
      </c>
      <c r="H95" s="200"/>
      <c r="I95" s="200"/>
      <c r="J95" s="56">
        <f>H95*K95+I95</f>
        <v>0</v>
      </c>
      <c r="K95" s="5">
        <v>10</v>
      </c>
      <c r="L95" s="11" t="s">
        <v>188</v>
      </c>
      <c r="M95" s="191">
        <v>8190</v>
      </c>
      <c r="N95" s="147">
        <f t="shared" ref="N95" si="62">M95*J95</f>
        <v>0</v>
      </c>
      <c r="O95" s="33" t="s">
        <v>710</v>
      </c>
    </row>
    <row r="96" spans="1:15" ht="30" customHeight="1">
      <c r="A96" s="29"/>
      <c r="B96" s="5" t="s">
        <v>108</v>
      </c>
      <c r="C96" s="81">
        <v>30000023</v>
      </c>
      <c r="D96" s="199" t="s">
        <v>134</v>
      </c>
      <c r="E96" s="5" t="s">
        <v>133</v>
      </c>
      <c r="F96" s="98">
        <f>IFERROR(VLOOKUP(C96,[3]Sheet1!$A$1:$D$65536,3,0)/K96,"")</f>
        <v>3.2275</v>
      </c>
      <c r="G96" s="187" t="s">
        <v>697</v>
      </c>
      <c r="H96" s="200"/>
      <c r="I96" s="10"/>
      <c r="J96" s="56">
        <f>H96*K96+I96</f>
        <v>0</v>
      </c>
      <c r="K96" s="5">
        <v>10</v>
      </c>
      <c r="L96" s="11" t="s">
        <v>88</v>
      </c>
      <c r="M96" s="146">
        <v>5445</v>
      </c>
      <c r="N96" s="147">
        <f>M96*J96</f>
        <v>0</v>
      </c>
    </row>
    <row r="97" spans="1:16" s="33" customFormat="1" ht="30" customHeight="1">
      <c r="A97" s="26"/>
      <c r="B97" s="5" t="s">
        <v>23</v>
      </c>
      <c r="C97" s="83">
        <v>20194894</v>
      </c>
      <c r="D97" s="199" t="s">
        <v>522</v>
      </c>
      <c r="E97" s="187" t="s">
        <v>10</v>
      </c>
      <c r="F97" s="198">
        <f>IFERROR(VLOOKUP(C97,[3]Sheet1!$A$1:$D$65536,3,0)/K97,"")</f>
        <v>0.11120000000000001</v>
      </c>
      <c r="G97" s="187" t="s">
        <v>684</v>
      </c>
      <c r="H97" s="200"/>
      <c r="I97" s="10"/>
      <c r="J97" s="56">
        <f>H97*K97+I97</f>
        <v>0</v>
      </c>
      <c r="K97" s="16">
        <v>40</v>
      </c>
      <c r="L97" s="11" t="s">
        <v>103</v>
      </c>
      <c r="M97" s="146">
        <v>1461</v>
      </c>
      <c r="N97" s="147">
        <f>M97*J97</f>
        <v>0</v>
      </c>
    </row>
    <row r="98" spans="1:16" ht="30" customHeight="1">
      <c r="A98" s="29"/>
      <c r="B98" s="5" t="s">
        <v>73</v>
      </c>
      <c r="C98" s="81">
        <v>30002526</v>
      </c>
      <c r="D98" s="199" t="s">
        <v>137</v>
      </c>
      <c r="E98" s="187" t="s">
        <v>11</v>
      </c>
      <c r="F98" s="208">
        <f>IFERROR(VLOOKUP(C98,[3]Sheet1!$A$1:$D$65536,3,0)/K98,"")</f>
        <v>2.1250000000000002E-2</v>
      </c>
      <c r="G98" s="187" t="s">
        <v>684</v>
      </c>
      <c r="H98" s="10"/>
      <c r="I98" s="200"/>
      <c r="J98" s="56">
        <f t="shared" ref="J98" si="63">H98*K98+I98</f>
        <v>0</v>
      </c>
      <c r="K98" s="5">
        <v>4</v>
      </c>
      <c r="L98" s="11" t="s">
        <v>525</v>
      </c>
      <c r="M98" s="146">
        <v>20600</v>
      </c>
      <c r="N98" s="147">
        <f>M98*J98</f>
        <v>0</v>
      </c>
    </row>
    <row r="99" spans="1:16" s="33" customFormat="1" ht="30" customHeight="1">
      <c r="A99" s="26"/>
      <c r="B99" s="5" t="s">
        <v>23</v>
      </c>
      <c r="C99" s="83">
        <v>30003470</v>
      </c>
      <c r="D99" s="199" t="s">
        <v>523</v>
      </c>
      <c r="E99" s="187" t="s">
        <v>10</v>
      </c>
      <c r="F99" s="198">
        <f>IFERROR(VLOOKUP(C99,[3]Sheet1!$A$1:$D$65536,3,0)/K99,"")</f>
        <v>1.0417999999999998</v>
      </c>
      <c r="G99" s="187" t="s">
        <v>684</v>
      </c>
      <c r="H99" s="10"/>
      <c r="I99" s="200"/>
      <c r="J99" s="56">
        <f t="shared" ref="J99" si="64">H99*K99+I99</f>
        <v>0</v>
      </c>
      <c r="K99" s="5">
        <v>10</v>
      </c>
      <c r="L99" s="11" t="s">
        <v>527</v>
      </c>
      <c r="M99" s="146">
        <v>2300</v>
      </c>
      <c r="N99" s="147">
        <f>M99*J99</f>
        <v>0</v>
      </c>
    </row>
    <row r="100" spans="1:16" ht="30" customHeight="1">
      <c r="A100" s="29"/>
      <c r="B100" s="18" t="s">
        <v>633</v>
      </c>
      <c r="C100" s="81">
        <v>30003530</v>
      </c>
      <c r="D100" s="199" t="s">
        <v>330</v>
      </c>
      <c r="E100" s="5" t="s">
        <v>14</v>
      </c>
      <c r="F100" s="20">
        <f>IFERROR(VLOOKUP(C100,[3]Sheet1!$A$1:$D$65536,3,0)/K100,"")</f>
        <v>1.2E-2</v>
      </c>
      <c r="G100" s="187" t="s">
        <v>700</v>
      </c>
      <c r="H100" s="10"/>
      <c r="I100" s="10"/>
      <c r="J100" s="56">
        <f t="shared" ref="J100" si="65">H100*K100+I100</f>
        <v>0</v>
      </c>
      <c r="K100" s="5">
        <v>5</v>
      </c>
      <c r="L100" s="11" t="s">
        <v>88</v>
      </c>
      <c r="M100" s="191">
        <v>12970</v>
      </c>
      <c r="N100" s="147">
        <f t="shared" ref="N100" si="66">M100*J100</f>
        <v>0</v>
      </c>
    </row>
    <row r="101" spans="1:16" s="33" customFormat="1" ht="30" customHeight="1">
      <c r="A101" s="26"/>
      <c r="B101" s="5" t="s">
        <v>520</v>
      </c>
      <c r="C101" s="83">
        <v>30003472</v>
      </c>
      <c r="D101" s="155" t="s">
        <v>521</v>
      </c>
      <c r="E101" s="156" t="s">
        <v>10</v>
      </c>
      <c r="F101" s="174">
        <f>IFERROR(VLOOKUP(C101,[4]Sheet1!$A$1:$D$65536,3,0)/K101,"")</f>
        <v>2.6094999999999997</v>
      </c>
      <c r="G101" s="156" t="s">
        <v>660</v>
      </c>
      <c r="H101" s="200"/>
      <c r="I101" s="200"/>
      <c r="J101" s="56">
        <f>H101*K101+I101</f>
        <v>0</v>
      </c>
      <c r="K101" s="5">
        <v>10</v>
      </c>
      <c r="L101" s="11" t="s">
        <v>527</v>
      </c>
      <c r="M101" s="146">
        <v>5800</v>
      </c>
      <c r="N101" s="147">
        <f t="shared" ref="N101" si="67">M101*J101</f>
        <v>0</v>
      </c>
    </row>
    <row r="102" spans="1:16" ht="30" customHeight="1">
      <c r="A102" s="29"/>
      <c r="B102" s="5" t="s">
        <v>23</v>
      </c>
      <c r="C102" s="83">
        <v>30003562</v>
      </c>
      <c r="D102" s="155" t="s">
        <v>634</v>
      </c>
      <c r="E102" s="156" t="s">
        <v>10</v>
      </c>
      <c r="F102" s="174">
        <f>IFERROR(VLOOKUP(C102,[4]Sheet1!$A$1:$D$65536,3,0)/K102,"")</f>
        <v>2.8600000000000003</v>
      </c>
      <c r="G102" s="156" t="s">
        <v>665</v>
      </c>
      <c r="H102" s="200"/>
      <c r="I102" s="200"/>
      <c r="J102" s="56">
        <f>H102*K102+I102</f>
        <v>0</v>
      </c>
      <c r="K102" s="5">
        <v>5</v>
      </c>
      <c r="L102" s="11" t="s">
        <v>635</v>
      </c>
      <c r="M102" s="146">
        <v>9800</v>
      </c>
      <c r="N102" s="147">
        <f t="shared" ref="N102:N108" si="68">M102*J102</f>
        <v>0</v>
      </c>
    </row>
    <row r="103" spans="1:16" ht="30" customHeight="1">
      <c r="A103" s="29"/>
      <c r="B103" s="5" t="s">
        <v>503</v>
      </c>
      <c r="C103" s="83">
        <v>30003492</v>
      </c>
      <c r="D103" s="155" t="s">
        <v>581</v>
      </c>
      <c r="E103" s="156" t="s">
        <v>11</v>
      </c>
      <c r="F103" s="174">
        <f>IFERROR(VLOOKUP(C103,[4]Sheet1!$A$1:$D$65536,3,0)/K103,"")</f>
        <v>0.96620000000000006</v>
      </c>
      <c r="G103" s="156" t="s">
        <v>665</v>
      </c>
      <c r="H103" s="200"/>
      <c r="I103" s="200"/>
      <c r="J103" s="56">
        <f>H103*K103+I103</f>
        <v>0</v>
      </c>
      <c r="K103" s="5">
        <v>10</v>
      </c>
      <c r="L103" s="11" t="s">
        <v>635</v>
      </c>
      <c r="M103" s="146">
        <v>12900</v>
      </c>
      <c r="N103" s="147">
        <f t="shared" si="68"/>
        <v>0</v>
      </c>
    </row>
    <row r="104" spans="1:16" ht="30" customHeight="1">
      <c r="A104" s="29"/>
      <c r="B104" s="18" t="s">
        <v>633</v>
      </c>
      <c r="C104" s="81">
        <v>30003491</v>
      </c>
      <c r="D104" s="155" t="s">
        <v>548</v>
      </c>
      <c r="E104" s="156" t="s">
        <v>14</v>
      </c>
      <c r="F104" s="174">
        <f>IFERROR(VLOOKUP(C104,[4]Sheet1!$A$1:$D$65536,3,0)/K104,"")</f>
        <v>7.0069999999999997</v>
      </c>
      <c r="G104" s="156" t="s">
        <v>665</v>
      </c>
      <c r="H104" s="10"/>
      <c r="I104" s="10"/>
      <c r="J104" s="56">
        <f t="shared" ref="J104" si="69">H104*K104+I104</f>
        <v>0</v>
      </c>
      <c r="K104" s="5">
        <v>5</v>
      </c>
      <c r="L104" s="11" t="s">
        <v>82</v>
      </c>
      <c r="M104" s="146">
        <v>13200</v>
      </c>
      <c r="N104" s="147">
        <f t="shared" si="68"/>
        <v>0</v>
      </c>
    </row>
    <row r="105" spans="1:16" ht="30" customHeight="1">
      <c r="A105" s="29"/>
      <c r="B105" s="18" t="s">
        <v>41</v>
      </c>
      <c r="C105" s="81">
        <v>30003018</v>
      </c>
      <c r="D105" s="155" t="s">
        <v>636</v>
      </c>
      <c r="E105" s="156" t="s">
        <v>14</v>
      </c>
      <c r="F105" s="174">
        <f>IFERROR(VLOOKUP(C105,[4]Sheet1!$A$1:$D$65536,3,0)/K105,"")</f>
        <v>4.46875</v>
      </c>
      <c r="G105" s="156" t="s">
        <v>665</v>
      </c>
      <c r="H105" s="10"/>
      <c r="I105" s="10"/>
      <c r="J105" s="56">
        <f t="shared" ref="J105" si="70">H105*K105+I105</f>
        <v>0</v>
      </c>
      <c r="K105" s="5">
        <v>8</v>
      </c>
      <c r="L105" s="11" t="s">
        <v>635</v>
      </c>
      <c r="M105" s="146">
        <v>7000</v>
      </c>
      <c r="N105" s="147">
        <f t="shared" si="68"/>
        <v>0</v>
      </c>
    </row>
    <row r="106" spans="1:16" s="39" customFormat="1" ht="30" customHeight="1">
      <c r="A106" s="29"/>
      <c r="B106" s="5" t="s">
        <v>422</v>
      </c>
      <c r="C106" s="85">
        <v>30003568</v>
      </c>
      <c r="D106" s="155" t="s">
        <v>645</v>
      </c>
      <c r="E106" s="156" t="s">
        <v>14</v>
      </c>
      <c r="F106" s="174">
        <f>IFERROR(VLOOKUP(C106,[4]Sheet1!$A$1:$D$65536,3,0)/K106,"")</f>
        <v>3.5749999999999997</v>
      </c>
      <c r="G106" s="156" t="s">
        <v>665</v>
      </c>
      <c r="H106" s="10"/>
      <c r="I106" s="10"/>
      <c r="J106" s="56">
        <f t="shared" ref="J106" si="71">H106*K106+I106</f>
        <v>0</v>
      </c>
      <c r="K106" s="5">
        <v>6</v>
      </c>
      <c r="L106" s="11" t="s">
        <v>646</v>
      </c>
      <c r="M106" s="146">
        <v>5980</v>
      </c>
      <c r="N106" s="147">
        <f t="shared" si="68"/>
        <v>0</v>
      </c>
    </row>
    <row r="107" spans="1:16" s="33" customFormat="1" ht="30" customHeight="1">
      <c r="A107" s="26"/>
      <c r="B107" s="5" t="s">
        <v>411</v>
      </c>
      <c r="C107" s="83">
        <v>30003567</v>
      </c>
      <c r="D107" s="155" t="s">
        <v>644</v>
      </c>
      <c r="E107" s="156" t="s">
        <v>14</v>
      </c>
      <c r="F107" s="174">
        <f>IFERROR(VLOOKUP(C107,[4]Sheet1!$A$1:$D$65536,3,0)/K107,"")</f>
        <v>2.8600000000000003</v>
      </c>
      <c r="G107" s="156" t="s">
        <v>665</v>
      </c>
      <c r="H107" s="10"/>
      <c r="I107" s="200"/>
      <c r="J107" s="56">
        <f>H107*K107+I107</f>
        <v>0</v>
      </c>
      <c r="K107" s="5">
        <v>10</v>
      </c>
      <c r="L107" s="11" t="s">
        <v>188</v>
      </c>
      <c r="M107" s="146">
        <v>7300</v>
      </c>
      <c r="N107" s="147">
        <f t="shared" si="68"/>
        <v>0</v>
      </c>
    </row>
    <row r="108" spans="1:16" s="22" customFormat="1" ht="30" customHeight="1">
      <c r="A108" s="29"/>
      <c r="B108" s="5" t="s">
        <v>661</v>
      </c>
      <c r="C108" s="81">
        <v>30003343</v>
      </c>
      <c r="D108" s="155" t="s">
        <v>424</v>
      </c>
      <c r="E108" s="156" t="s">
        <v>110</v>
      </c>
      <c r="F108" s="174" t="str">
        <f>IFERROR(VLOOKUP(C108,[4]Sheet1!$A$1:$D$65536,3,0)/K108,"")</f>
        <v/>
      </c>
      <c r="G108" s="5" t="s">
        <v>930</v>
      </c>
      <c r="H108" s="10"/>
      <c r="I108" s="10"/>
      <c r="J108" s="56">
        <f>H108*K108+I108</f>
        <v>0</v>
      </c>
      <c r="K108" s="5">
        <v>10</v>
      </c>
      <c r="L108" s="11" t="s">
        <v>88</v>
      </c>
      <c r="M108" s="146">
        <v>5490</v>
      </c>
      <c r="N108" s="147">
        <f t="shared" si="68"/>
        <v>0</v>
      </c>
    </row>
    <row r="109" spans="1:16" s="33" customFormat="1" ht="30" customHeight="1">
      <c r="A109" s="29"/>
      <c r="B109" s="5" t="s">
        <v>256</v>
      </c>
      <c r="C109" s="151">
        <v>20001846</v>
      </c>
      <c r="D109" s="167" t="s">
        <v>582</v>
      </c>
      <c r="E109" s="183" t="s">
        <v>10</v>
      </c>
      <c r="F109" s="184">
        <f>IFERROR(VLOOKUP(C109,[5]Sheet1!$A$1:$D$65536,3,0)/K109*0.4,"")</f>
        <v>23.368000000000002</v>
      </c>
      <c r="G109" s="183" t="s">
        <v>583</v>
      </c>
      <c r="H109" s="10"/>
      <c r="I109" s="10"/>
      <c r="J109" s="56">
        <f t="shared" ref="J109" si="72">H109*K109+I109</f>
        <v>0</v>
      </c>
      <c r="K109" s="5">
        <v>1</v>
      </c>
      <c r="L109" s="11"/>
      <c r="M109" s="146">
        <v>19000</v>
      </c>
      <c r="N109" s="147">
        <f t="shared" ref="N109" si="73">M109*J109</f>
        <v>0</v>
      </c>
      <c r="P109" s="190" t="s">
        <v>625</v>
      </c>
    </row>
    <row r="110" spans="1:16" ht="30" customHeight="1">
      <c r="A110" s="26"/>
      <c r="B110" s="5" t="s">
        <v>561</v>
      </c>
      <c r="C110" s="137">
        <v>30002895</v>
      </c>
      <c r="D110" s="117" t="s">
        <v>562</v>
      </c>
      <c r="E110" s="118" t="s">
        <v>14</v>
      </c>
      <c r="F110" s="112">
        <f>IFERROR(VLOOKUP(C110,[5]Sheet1!$A$1:$D$65536,3,0)/K110/2,"")</f>
        <v>9.2515000000000001</v>
      </c>
      <c r="G110" s="118" t="s">
        <v>563</v>
      </c>
      <c r="H110" s="10"/>
      <c r="I110" s="10"/>
      <c r="J110" s="56">
        <f>H110*K110+I110</f>
        <v>0</v>
      </c>
      <c r="K110" s="5">
        <v>2</v>
      </c>
      <c r="L110" s="11"/>
      <c r="M110" s="191">
        <v>25000</v>
      </c>
      <c r="N110" s="147">
        <f>M110*J110</f>
        <v>0</v>
      </c>
      <c r="P110" s="189" t="s">
        <v>624</v>
      </c>
    </row>
    <row r="111" spans="1:16" ht="30" customHeight="1">
      <c r="A111" s="29"/>
      <c r="B111" s="5" t="s">
        <v>75</v>
      </c>
      <c r="C111" s="151">
        <v>30002894</v>
      </c>
      <c r="D111" s="117" t="s">
        <v>591</v>
      </c>
      <c r="E111" s="118" t="s">
        <v>10</v>
      </c>
      <c r="F111" s="112">
        <f>IFERROR(VLOOKUP(C111,[5]Sheet1!$A$1:$D$65536,3,0)/K111,"")</f>
        <v>5.0688333333333331</v>
      </c>
      <c r="G111" s="118" t="s">
        <v>563</v>
      </c>
      <c r="H111" s="10"/>
      <c r="I111" s="10"/>
      <c r="J111" s="56">
        <f t="shared" ref="J111" si="74">H111*K111+I111</f>
        <v>0</v>
      </c>
      <c r="K111" s="5">
        <v>6</v>
      </c>
      <c r="L111" s="11" t="s">
        <v>88</v>
      </c>
      <c r="M111" s="146">
        <v>8270</v>
      </c>
      <c r="N111" s="147">
        <f t="shared" ref="N111" si="75">M111*J111</f>
        <v>0</v>
      </c>
    </row>
    <row r="112" spans="1:16" ht="30" customHeight="1">
      <c r="A112" s="29"/>
      <c r="B112" s="5" t="s">
        <v>58</v>
      </c>
      <c r="C112" s="137">
        <v>30002988</v>
      </c>
      <c r="D112" s="167" t="s">
        <v>482</v>
      </c>
      <c r="E112" s="118" t="s">
        <v>14</v>
      </c>
      <c r="F112" s="112">
        <f>IFERROR(VLOOKUP(C112,[5]Sheet1!$A$1:$D$65536,3,0)/K112,"")</f>
        <v>1.393</v>
      </c>
      <c r="G112" s="118" t="s">
        <v>506</v>
      </c>
      <c r="H112" s="171"/>
      <c r="I112" s="171"/>
      <c r="J112" s="56">
        <f t="shared" ref="J112" si="76">H112*K112+I112</f>
        <v>0</v>
      </c>
      <c r="K112" s="5">
        <v>8</v>
      </c>
      <c r="L112" s="11"/>
      <c r="M112" s="152">
        <v>6600</v>
      </c>
      <c r="N112" s="147">
        <f>M112*J112</f>
        <v>0</v>
      </c>
    </row>
    <row r="113" spans="1:14" s="39" customFormat="1" ht="30" customHeight="1">
      <c r="A113" s="26"/>
      <c r="B113" s="5" t="s">
        <v>419</v>
      </c>
      <c r="C113" s="83">
        <v>30002850</v>
      </c>
      <c r="D113" s="217" t="s">
        <v>272</v>
      </c>
      <c r="E113" s="159" t="s">
        <v>14</v>
      </c>
      <c r="F113" s="157"/>
      <c r="G113" s="159" t="s">
        <v>875</v>
      </c>
      <c r="H113" s="153"/>
      <c r="I113" s="10"/>
      <c r="J113" s="56">
        <f>H113*K113+I113</f>
        <v>0</v>
      </c>
      <c r="K113" s="5">
        <v>4</v>
      </c>
      <c r="L113" s="11" t="s">
        <v>82</v>
      </c>
      <c r="M113" s="146">
        <v>16585</v>
      </c>
      <c r="N113" s="147">
        <f>M113*J113</f>
        <v>0</v>
      </c>
    </row>
    <row r="114" spans="1:14" ht="30" customHeight="1">
      <c r="A114" s="26"/>
      <c r="B114" s="5"/>
      <c r="C114" s="81"/>
      <c r="D114" s="1"/>
      <c r="E114" s="5"/>
      <c r="F114" s="100"/>
      <c r="G114" s="5" t="s">
        <v>931</v>
      </c>
      <c r="H114" s="10"/>
      <c r="I114" s="10"/>
      <c r="J114" s="56"/>
      <c r="K114" s="5"/>
      <c r="L114" s="11"/>
      <c r="M114" s="150" t="s">
        <v>528</v>
      </c>
      <c r="N114" s="148">
        <f>SUM(N5:N78)</f>
        <v>44185954.083333328</v>
      </c>
    </row>
    <row r="115" spans="1:14" s="33" customFormat="1" ht="30" customHeight="1">
      <c r="A115" s="29"/>
      <c r="B115" s="5" t="s">
        <v>411</v>
      </c>
      <c r="C115" s="83">
        <v>30003532</v>
      </c>
      <c r="D115" s="155" t="s">
        <v>587</v>
      </c>
      <c r="E115" s="156" t="s">
        <v>14</v>
      </c>
      <c r="F115" s="174"/>
      <c r="G115" s="156" t="s">
        <v>627</v>
      </c>
      <c r="H115" s="153"/>
      <c r="I115" s="10"/>
      <c r="J115" s="56">
        <f>H115*K115+I115</f>
        <v>0</v>
      </c>
      <c r="K115" s="5">
        <v>10</v>
      </c>
      <c r="L115" s="11" t="s">
        <v>188</v>
      </c>
      <c r="M115" s="146">
        <v>7100</v>
      </c>
      <c r="N115" s="147">
        <f t="shared" ref="N115" si="77">M115*J115</f>
        <v>0</v>
      </c>
    </row>
    <row r="116" spans="1:14" s="33" customFormat="1" ht="30" customHeight="1">
      <c r="A116" s="29"/>
      <c r="B116" s="5" t="s">
        <v>216</v>
      </c>
      <c r="C116" s="83"/>
      <c r="D116" s="155" t="s">
        <v>547</v>
      </c>
      <c r="E116" s="156" t="s">
        <v>10</v>
      </c>
      <c r="F116" s="174"/>
      <c r="G116" s="156" t="s">
        <v>570</v>
      </c>
      <c r="H116" s="10"/>
      <c r="I116" s="10"/>
      <c r="J116" s="56">
        <f t="shared" ref="J116" si="78">H116*K116+I116</f>
        <v>0</v>
      </c>
      <c r="K116" s="5">
        <v>10</v>
      </c>
      <c r="L116" s="11"/>
      <c r="M116" s="146">
        <v>4340</v>
      </c>
      <c r="N116" s="147">
        <f t="shared" ref="N116" si="79">M116*J116</f>
        <v>0</v>
      </c>
    </row>
    <row r="117" spans="1:14" ht="30" customHeight="1">
      <c r="A117" s="29"/>
      <c r="B117" s="5" t="s">
        <v>49</v>
      </c>
      <c r="C117" s="81">
        <v>30002467</v>
      </c>
      <c r="D117" s="126" t="s">
        <v>565</v>
      </c>
      <c r="E117" s="16" t="s">
        <v>14</v>
      </c>
      <c r="F117" s="99"/>
      <c r="G117" s="16" t="s">
        <v>566</v>
      </c>
      <c r="H117" s="10"/>
      <c r="I117" s="10"/>
      <c r="J117" s="56">
        <f>H117*K117+I117</f>
        <v>0</v>
      </c>
      <c r="K117" s="5">
        <v>2</v>
      </c>
      <c r="L117" s="11" t="s">
        <v>82</v>
      </c>
      <c r="M117" s="146">
        <v>38000</v>
      </c>
      <c r="N117" s="147">
        <f>M117*J117</f>
        <v>0</v>
      </c>
    </row>
    <row r="118" spans="1:14" ht="30" customHeight="1">
      <c r="A118" s="26"/>
      <c r="B118" s="5" t="s">
        <v>49</v>
      </c>
      <c r="C118" s="81">
        <v>30003459</v>
      </c>
      <c r="D118" s="126" t="s">
        <v>569</v>
      </c>
      <c r="E118" s="16" t="s">
        <v>14</v>
      </c>
      <c r="F118" s="99"/>
      <c r="G118" s="16" t="s">
        <v>568</v>
      </c>
      <c r="H118" s="10"/>
      <c r="I118" s="10"/>
      <c r="J118" s="56">
        <f>H118*K118+I118</f>
        <v>0</v>
      </c>
      <c r="K118" s="5">
        <v>2</v>
      </c>
      <c r="L118" s="11" t="s">
        <v>103</v>
      </c>
      <c r="M118" s="146">
        <v>35000</v>
      </c>
      <c r="N118" s="147">
        <f t="shared" ref="N118" si="80">M118*J118</f>
        <v>0</v>
      </c>
    </row>
    <row r="119" spans="1:14" s="33" customFormat="1" ht="30" customHeight="1">
      <c r="A119" s="26"/>
      <c r="B119" s="5" t="s">
        <v>417</v>
      </c>
      <c r="C119" s="83"/>
      <c r="D119" s="155" t="s">
        <v>421</v>
      </c>
      <c r="E119" s="156" t="s">
        <v>441</v>
      </c>
      <c r="F119" s="157"/>
      <c r="G119" s="156" t="s">
        <v>507</v>
      </c>
      <c r="H119" s="10"/>
      <c r="I119" s="10"/>
      <c r="J119" s="56">
        <f>H119*K119+I119</f>
        <v>0</v>
      </c>
      <c r="K119" s="5">
        <v>10</v>
      </c>
      <c r="L119" s="11" t="s">
        <v>80</v>
      </c>
      <c r="M119" s="152">
        <v>7600</v>
      </c>
      <c r="N119" s="147">
        <f>M119*J119</f>
        <v>0</v>
      </c>
    </row>
    <row r="120" spans="1:14" ht="30" customHeight="1">
      <c r="A120" s="26"/>
      <c r="B120" s="5" t="s">
        <v>75</v>
      </c>
      <c r="C120" s="83"/>
      <c r="D120" s="158" t="s">
        <v>212</v>
      </c>
      <c r="E120" s="159" t="s">
        <v>11</v>
      </c>
      <c r="F120" s="157"/>
      <c r="G120" s="159" t="s">
        <v>504</v>
      </c>
      <c r="H120" s="10"/>
      <c r="I120" s="10"/>
      <c r="J120" s="56">
        <f>H120*K120+I120</f>
        <v>0</v>
      </c>
      <c r="K120" s="5">
        <v>6</v>
      </c>
      <c r="L120" s="5" t="s">
        <v>82</v>
      </c>
    </row>
    <row r="121" spans="1:14" ht="30" customHeight="1">
      <c r="A121" s="26"/>
      <c r="B121" s="5" t="s">
        <v>56</v>
      </c>
      <c r="C121" s="81"/>
      <c r="D121" s="1" t="s">
        <v>263</v>
      </c>
      <c r="E121" s="5" t="s">
        <v>14</v>
      </c>
      <c r="F121" s="100"/>
      <c r="G121" s="5" t="s">
        <v>386</v>
      </c>
      <c r="H121" s="10"/>
      <c r="I121" s="10"/>
      <c r="J121" s="56">
        <f t="shared" si="48"/>
        <v>0</v>
      </c>
      <c r="K121" s="5">
        <v>10</v>
      </c>
      <c r="L121" s="5" t="s">
        <v>83</v>
      </c>
    </row>
    <row r="122" spans="1:14" s="39" customFormat="1" ht="30" customHeight="1">
      <c r="A122" s="26"/>
      <c r="B122" s="5" t="s">
        <v>171</v>
      </c>
      <c r="C122" s="83"/>
      <c r="D122" s="1" t="s">
        <v>287</v>
      </c>
      <c r="E122" s="5" t="s">
        <v>136</v>
      </c>
      <c r="F122" s="100"/>
      <c r="G122" s="5" t="s">
        <v>386</v>
      </c>
      <c r="H122" s="10"/>
      <c r="I122" s="10"/>
      <c r="J122" s="56">
        <f t="shared" si="48"/>
        <v>0</v>
      </c>
      <c r="K122" s="5">
        <v>10</v>
      </c>
      <c r="L122" s="5" t="s">
        <v>82</v>
      </c>
      <c r="M122" s="21"/>
    </row>
    <row r="123" spans="1:14" ht="30" customHeight="1">
      <c r="A123" s="26"/>
      <c r="B123" s="5" t="s">
        <v>58</v>
      </c>
      <c r="C123" s="81"/>
      <c r="D123" s="1" t="s">
        <v>321</v>
      </c>
      <c r="E123" s="5" t="s">
        <v>14</v>
      </c>
      <c r="F123" s="100"/>
      <c r="G123" s="5" t="s">
        <v>460</v>
      </c>
      <c r="H123" s="10"/>
      <c r="I123" s="10"/>
      <c r="J123" s="56">
        <f t="shared" si="48"/>
        <v>0</v>
      </c>
      <c r="K123" s="5">
        <v>5</v>
      </c>
      <c r="L123" s="5" t="s">
        <v>88</v>
      </c>
    </row>
    <row r="124" spans="1:14" ht="30" customHeight="1">
      <c r="A124" s="26"/>
      <c r="B124" s="5" t="s">
        <v>52</v>
      </c>
      <c r="C124" s="81"/>
      <c r="D124" s="123" t="s">
        <v>315</v>
      </c>
      <c r="E124" s="5" t="s">
        <v>14</v>
      </c>
      <c r="F124" s="100"/>
      <c r="G124" s="18" t="s">
        <v>460</v>
      </c>
      <c r="H124" s="10"/>
      <c r="I124" s="10"/>
      <c r="J124" s="56">
        <f t="shared" si="48"/>
        <v>0</v>
      </c>
      <c r="K124" s="5">
        <v>8</v>
      </c>
      <c r="L124" s="5" t="s">
        <v>88</v>
      </c>
    </row>
    <row r="125" spans="1:14" ht="30" customHeight="1">
      <c r="A125" s="26"/>
      <c r="B125" s="5" t="s">
        <v>209</v>
      </c>
      <c r="C125" s="83"/>
      <c r="D125" s="59" t="s">
        <v>219</v>
      </c>
      <c r="E125" s="5" t="s">
        <v>11</v>
      </c>
      <c r="F125" s="100"/>
      <c r="G125" s="10" t="s">
        <v>479</v>
      </c>
      <c r="H125" s="10"/>
      <c r="I125" s="10"/>
      <c r="J125" s="10">
        <f t="shared" si="48"/>
        <v>0</v>
      </c>
      <c r="K125" s="10">
        <v>10</v>
      </c>
      <c r="L125" s="5"/>
    </row>
    <row r="126" spans="1:14" s="39" customFormat="1" ht="30" customHeight="1">
      <c r="A126" s="26"/>
      <c r="B126" s="5" t="s">
        <v>419</v>
      </c>
      <c r="C126" s="83"/>
      <c r="D126" s="124" t="s">
        <v>205</v>
      </c>
      <c r="E126" s="45" t="s">
        <v>63</v>
      </c>
      <c r="F126" s="100"/>
      <c r="G126" s="45" t="s">
        <v>448</v>
      </c>
      <c r="H126" s="61"/>
      <c r="I126" s="10"/>
      <c r="J126" s="56">
        <f t="shared" si="48"/>
        <v>0</v>
      </c>
      <c r="K126" s="45">
        <v>8</v>
      </c>
      <c r="L126" s="45" t="s">
        <v>82</v>
      </c>
      <c r="M126" s="21"/>
    </row>
    <row r="127" spans="1:14" ht="30" customHeight="1">
      <c r="A127" s="26"/>
      <c r="B127" s="5" t="s">
        <v>257</v>
      </c>
      <c r="C127" s="83"/>
      <c r="D127" s="1" t="s">
        <v>233</v>
      </c>
      <c r="E127" s="5" t="s">
        <v>10</v>
      </c>
      <c r="F127" s="100"/>
      <c r="G127" s="5" t="s">
        <v>448</v>
      </c>
      <c r="H127" s="10"/>
      <c r="I127" s="10"/>
      <c r="J127" s="56">
        <f t="shared" si="48"/>
        <v>0</v>
      </c>
      <c r="K127" s="5">
        <v>8</v>
      </c>
      <c r="L127" s="5" t="s">
        <v>88</v>
      </c>
    </row>
    <row r="128" spans="1:14" ht="30" customHeight="1">
      <c r="A128" s="26"/>
      <c r="B128" s="5" t="s">
        <v>22</v>
      </c>
      <c r="C128" s="81"/>
      <c r="D128" s="1" t="s">
        <v>28</v>
      </c>
      <c r="E128" s="5" t="s">
        <v>14</v>
      </c>
      <c r="F128" s="100"/>
      <c r="G128" s="5" t="s">
        <v>448</v>
      </c>
      <c r="H128" s="10"/>
      <c r="I128" s="10"/>
      <c r="J128" s="56">
        <f t="shared" si="48"/>
        <v>0</v>
      </c>
      <c r="K128" s="5">
        <v>10</v>
      </c>
      <c r="L128" s="5" t="s">
        <v>88</v>
      </c>
    </row>
    <row r="129" spans="1:13" s="39" customFormat="1" ht="30" customHeight="1">
      <c r="A129" s="26"/>
      <c r="B129" s="5" t="s">
        <v>52</v>
      </c>
      <c r="C129" s="81"/>
      <c r="D129" s="123" t="s">
        <v>292</v>
      </c>
      <c r="E129" s="5" t="s">
        <v>14</v>
      </c>
      <c r="F129" s="100"/>
      <c r="G129" s="18" t="s">
        <v>448</v>
      </c>
      <c r="H129" s="10"/>
      <c r="I129" s="10"/>
      <c r="J129" s="56">
        <f t="shared" si="48"/>
        <v>0</v>
      </c>
      <c r="K129" s="5">
        <v>10</v>
      </c>
      <c r="L129" s="5" t="s">
        <v>88</v>
      </c>
      <c r="M129" s="21"/>
    </row>
    <row r="130" spans="1:13" ht="30" customHeight="1">
      <c r="A130" s="26"/>
      <c r="B130" s="5" t="s">
        <v>131</v>
      </c>
      <c r="C130" s="81"/>
      <c r="D130" s="1" t="s">
        <v>26</v>
      </c>
      <c r="E130" s="5" t="s">
        <v>110</v>
      </c>
      <c r="F130" s="100"/>
      <c r="G130" s="5" t="s">
        <v>448</v>
      </c>
      <c r="H130" s="10"/>
      <c r="I130" s="10"/>
      <c r="J130" s="56">
        <f t="shared" si="48"/>
        <v>0</v>
      </c>
      <c r="K130" s="5">
        <v>10</v>
      </c>
      <c r="L130" s="5" t="s">
        <v>80</v>
      </c>
    </row>
    <row r="131" spans="1:13" s="22" customFormat="1" ht="30" customHeight="1">
      <c r="A131" s="26"/>
      <c r="B131" s="5" t="s">
        <v>73</v>
      </c>
      <c r="C131" s="83"/>
      <c r="D131" s="1" t="s">
        <v>137</v>
      </c>
      <c r="E131" s="5" t="s">
        <v>18</v>
      </c>
      <c r="F131" s="100"/>
      <c r="G131" s="5" t="s">
        <v>447</v>
      </c>
      <c r="H131" s="10"/>
      <c r="I131" s="10"/>
      <c r="J131" s="56">
        <f t="shared" si="48"/>
        <v>0</v>
      </c>
      <c r="K131" s="5">
        <v>4</v>
      </c>
      <c r="L131" s="5" t="s">
        <v>80</v>
      </c>
      <c r="M131" s="21"/>
    </row>
    <row r="132" spans="1:13" ht="30" customHeight="1">
      <c r="A132" s="26"/>
      <c r="B132" s="5" t="s">
        <v>52</v>
      </c>
      <c r="C132" s="81"/>
      <c r="D132" s="123" t="s">
        <v>268</v>
      </c>
      <c r="E132" s="5" t="s">
        <v>14</v>
      </c>
      <c r="F132" s="100"/>
      <c r="G132" s="5" t="s">
        <v>447</v>
      </c>
      <c r="H132" s="10"/>
      <c r="I132" s="10"/>
      <c r="J132" s="56">
        <f t="shared" si="48"/>
        <v>0</v>
      </c>
      <c r="K132" s="5">
        <v>12</v>
      </c>
      <c r="L132" s="5" t="s">
        <v>88</v>
      </c>
    </row>
    <row r="133" spans="1:13" s="22" customFormat="1" ht="30" customHeight="1">
      <c r="A133" s="26"/>
      <c r="B133" s="5" t="s">
        <v>22</v>
      </c>
      <c r="C133" s="81"/>
      <c r="D133" s="1" t="s">
        <v>70</v>
      </c>
      <c r="E133" s="5" t="s">
        <v>110</v>
      </c>
      <c r="F133" s="100"/>
      <c r="G133" s="5" t="s">
        <v>447</v>
      </c>
      <c r="H133" s="10"/>
      <c r="I133" s="10"/>
      <c r="J133" s="56">
        <f t="shared" si="48"/>
        <v>0</v>
      </c>
      <c r="K133" s="5">
        <v>8</v>
      </c>
      <c r="L133" s="5" t="s">
        <v>88</v>
      </c>
      <c r="M133" s="21"/>
    </row>
    <row r="134" spans="1:13" s="22" customFormat="1" ht="30" customHeight="1">
      <c r="A134" s="26"/>
      <c r="B134" s="5" t="s">
        <v>171</v>
      </c>
      <c r="C134" s="83"/>
      <c r="D134" s="1" t="s">
        <v>172</v>
      </c>
      <c r="E134" s="5" t="s">
        <v>18</v>
      </c>
      <c r="F134" s="100"/>
      <c r="G134" s="5" t="s">
        <v>390</v>
      </c>
      <c r="H134" s="10"/>
      <c r="I134" s="10"/>
      <c r="J134" s="56">
        <f t="shared" si="48"/>
        <v>0</v>
      </c>
      <c r="K134" s="5">
        <v>10</v>
      </c>
      <c r="L134" s="5" t="s">
        <v>82</v>
      </c>
      <c r="M134" s="21"/>
    </row>
    <row r="135" spans="1:13" s="22" customFormat="1" ht="30" customHeight="1">
      <c r="A135" s="26"/>
      <c r="B135" s="5" t="s">
        <v>326</v>
      </c>
      <c r="C135" s="83"/>
      <c r="D135" s="1" t="s">
        <v>327</v>
      </c>
      <c r="E135" s="5" t="s">
        <v>11</v>
      </c>
      <c r="F135" s="100"/>
      <c r="G135" s="5" t="s">
        <v>390</v>
      </c>
      <c r="H135" s="10"/>
      <c r="I135" s="10"/>
      <c r="J135" s="56">
        <f t="shared" si="48"/>
        <v>0</v>
      </c>
      <c r="K135" s="5">
        <v>2</v>
      </c>
      <c r="L135" s="5" t="s">
        <v>88</v>
      </c>
      <c r="M135" s="21"/>
    </row>
    <row r="136" spans="1:13" ht="30" customHeight="1">
      <c r="A136" s="26"/>
      <c r="B136" s="5" t="s">
        <v>57</v>
      </c>
      <c r="C136" s="81"/>
      <c r="D136" s="1" t="s">
        <v>173</v>
      </c>
      <c r="E136" s="5" t="s">
        <v>107</v>
      </c>
      <c r="F136" s="100"/>
      <c r="G136" s="5" t="s">
        <v>478</v>
      </c>
      <c r="H136" s="10"/>
      <c r="I136" s="10"/>
      <c r="J136" s="56">
        <f t="shared" si="48"/>
        <v>0</v>
      </c>
      <c r="K136" s="5">
        <v>10</v>
      </c>
      <c r="L136" s="5" t="s">
        <v>88</v>
      </c>
    </row>
    <row r="137" spans="1:13" ht="30" customHeight="1">
      <c r="A137" s="26"/>
      <c r="B137" s="5" t="s">
        <v>209</v>
      </c>
      <c r="C137" s="83"/>
      <c r="D137" s="1" t="s">
        <v>265</v>
      </c>
      <c r="E137" s="5" t="s">
        <v>11</v>
      </c>
      <c r="F137" s="100"/>
      <c r="G137" s="5" t="s">
        <v>478</v>
      </c>
      <c r="H137" s="10"/>
      <c r="I137" s="10"/>
      <c r="J137" s="56">
        <f t="shared" si="48"/>
        <v>0</v>
      </c>
      <c r="K137" s="5">
        <v>5</v>
      </c>
      <c r="L137" s="5" t="s">
        <v>88</v>
      </c>
    </row>
    <row r="138" spans="1:13" ht="30" customHeight="1">
      <c r="A138" s="26"/>
      <c r="B138" s="5" t="s">
        <v>382</v>
      </c>
      <c r="C138" s="83"/>
      <c r="D138" s="1" t="s">
        <v>288</v>
      </c>
      <c r="E138" s="5" t="s">
        <v>11</v>
      </c>
      <c r="F138" s="100"/>
      <c r="G138" s="5" t="s">
        <v>351</v>
      </c>
      <c r="H138" s="10"/>
      <c r="I138" s="10"/>
      <c r="J138" s="56">
        <f t="shared" si="48"/>
        <v>0</v>
      </c>
      <c r="K138" s="5">
        <v>10</v>
      </c>
      <c r="L138" s="5" t="s">
        <v>82</v>
      </c>
    </row>
    <row r="139" spans="1:13" ht="30" customHeight="1">
      <c r="A139" s="26"/>
      <c r="B139" s="5" t="s">
        <v>381</v>
      </c>
      <c r="C139" s="81"/>
      <c r="D139" s="1" t="s">
        <v>302</v>
      </c>
      <c r="E139" s="5" t="s">
        <v>18</v>
      </c>
      <c r="F139" s="100"/>
      <c r="G139" s="5" t="s">
        <v>352</v>
      </c>
      <c r="H139" s="10"/>
      <c r="I139" s="10"/>
      <c r="J139" s="56">
        <f t="shared" si="48"/>
        <v>0</v>
      </c>
      <c r="K139" s="5">
        <v>20</v>
      </c>
      <c r="L139" s="5" t="s">
        <v>80</v>
      </c>
    </row>
    <row r="140" spans="1:13" ht="30" customHeight="1">
      <c r="A140" s="26"/>
      <c r="B140" s="5" t="s">
        <v>381</v>
      </c>
      <c r="C140" s="81"/>
      <c r="D140" s="1" t="s">
        <v>303</v>
      </c>
      <c r="E140" s="5" t="s">
        <v>18</v>
      </c>
      <c r="F140" s="100"/>
      <c r="G140" s="5" t="s">
        <v>352</v>
      </c>
      <c r="H140" s="10"/>
      <c r="I140" s="10"/>
      <c r="J140" s="56">
        <f t="shared" si="48"/>
        <v>0</v>
      </c>
      <c r="K140" s="5">
        <v>25</v>
      </c>
      <c r="L140" s="5" t="s">
        <v>80</v>
      </c>
    </row>
    <row r="141" spans="1:13" s="22" customFormat="1" ht="30" customHeight="1">
      <c r="A141" s="26"/>
      <c r="B141" s="5" t="s">
        <v>380</v>
      </c>
      <c r="C141" s="81"/>
      <c r="D141" s="1" t="s">
        <v>269</v>
      </c>
      <c r="E141" s="5" t="s">
        <v>14</v>
      </c>
      <c r="F141" s="100"/>
      <c r="G141" s="5" t="s">
        <v>363</v>
      </c>
      <c r="H141" s="10"/>
      <c r="I141" s="10"/>
      <c r="J141" s="56">
        <f t="shared" si="48"/>
        <v>0</v>
      </c>
      <c r="K141" s="5">
        <v>6</v>
      </c>
      <c r="L141" s="5" t="s">
        <v>88</v>
      </c>
      <c r="M141" s="21"/>
    </row>
    <row r="142" spans="1:13" s="22" customFormat="1" ht="30" customHeight="1">
      <c r="A142" s="26"/>
      <c r="B142" s="5" t="s">
        <v>52</v>
      </c>
      <c r="C142" s="81"/>
      <c r="D142" s="1" t="s">
        <v>215</v>
      </c>
      <c r="E142" s="5" t="s">
        <v>14</v>
      </c>
      <c r="F142" s="100"/>
      <c r="G142" s="5" t="s">
        <v>349</v>
      </c>
      <c r="H142" s="10"/>
      <c r="I142" s="10"/>
      <c r="J142" s="56">
        <f t="shared" si="48"/>
        <v>0</v>
      </c>
      <c r="K142" s="5">
        <v>8</v>
      </c>
      <c r="L142" s="5" t="s">
        <v>88</v>
      </c>
      <c r="M142" s="21"/>
    </row>
    <row r="143" spans="1:13" s="22" customFormat="1" ht="30" customHeight="1">
      <c r="A143" s="26"/>
      <c r="B143" s="5" t="s">
        <v>56</v>
      </c>
      <c r="C143" s="81"/>
      <c r="D143" s="1" t="s">
        <v>242</v>
      </c>
      <c r="E143" s="5" t="s">
        <v>14</v>
      </c>
      <c r="F143" s="100"/>
      <c r="G143" s="5" t="s">
        <v>367</v>
      </c>
      <c r="H143" s="10"/>
      <c r="I143" s="10"/>
      <c r="J143" s="56">
        <f t="shared" si="48"/>
        <v>0</v>
      </c>
      <c r="K143" s="5">
        <v>10</v>
      </c>
      <c r="L143" s="5" t="s">
        <v>83</v>
      </c>
      <c r="M143" s="21"/>
    </row>
    <row r="144" spans="1:13" s="22" customFormat="1" ht="30" customHeight="1">
      <c r="A144" s="26"/>
      <c r="B144" s="5" t="s">
        <v>56</v>
      </c>
      <c r="C144" s="81"/>
      <c r="D144" s="1" t="s">
        <v>229</v>
      </c>
      <c r="E144" s="5" t="s">
        <v>14</v>
      </c>
      <c r="F144" s="100"/>
      <c r="G144" s="5" t="s">
        <v>367</v>
      </c>
      <c r="H144" s="10"/>
      <c r="I144" s="10"/>
      <c r="J144" s="56">
        <f t="shared" si="48"/>
        <v>0</v>
      </c>
      <c r="K144" s="5">
        <v>10</v>
      </c>
      <c r="L144" s="5" t="s">
        <v>83</v>
      </c>
      <c r="M144" s="21"/>
    </row>
    <row r="145" spans="1:13" s="33" customFormat="1" ht="30" customHeight="1">
      <c r="A145" s="26"/>
      <c r="B145" s="5" t="s">
        <v>52</v>
      </c>
      <c r="C145" s="81"/>
      <c r="D145" s="1" t="s">
        <v>258</v>
      </c>
      <c r="E145" s="5" t="s">
        <v>14</v>
      </c>
      <c r="F145" s="100"/>
      <c r="G145" s="5" t="s">
        <v>350</v>
      </c>
      <c r="H145" s="10"/>
      <c r="I145" s="10"/>
      <c r="J145" s="56">
        <f t="shared" si="48"/>
        <v>0</v>
      </c>
      <c r="K145" s="5">
        <v>8</v>
      </c>
      <c r="L145" s="5" t="s">
        <v>88</v>
      </c>
      <c r="M145" s="21"/>
    </row>
    <row r="146" spans="1:13" s="33" customFormat="1" ht="30" customHeight="1">
      <c r="A146" s="26"/>
      <c r="B146" s="5" t="s">
        <v>380</v>
      </c>
      <c r="C146" s="81"/>
      <c r="D146" s="1" t="s">
        <v>328</v>
      </c>
      <c r="E146" s="5" t="s">
        <v>14</v>
      </c>
      <c r="F146" s="100"/>
      <c r="G146" s="5" t="s">
        <v>350</v>
      </c>
      <c r="H146" s="10"/>
      <c r="I146" s="10"/>
      <c r="J146" s="56">
        <f t="shared" si="48"/>
        <v>0</v>
      </c>
      <c r="K146" s="5">
        <v>6</v>
      </c>
      <c r="L146" s="5" t="s">
        <v>88</v>
      </c>
      <c r="M146" s="21"/>
    </row>
    <row r="147" spans="1:13" s="36" customFormat="1" ht="30" customHeight="1">
      <c r="A147" s="26"/>
      <c r="B147" s="5" t="s">
        <v>47</v>
      </c>
      <c r="C147" s="81"/>
      <c r="D147" s="1" t="s">
        <v>144</v>
      </c>
      <c r="E147" s="5" t="s">
        <v>11</v>
      </c>
      <c r="F147" s="100"/>
      <c r="G147" s="5" t="s">
        <v>477</v>
      </c>
      <c r="H147" s="10"/>
      <c r="I147" s="10"/>
      <c r="J147" s="56">
        <f t="shared" si="48"/>
        <v>0</v>
      </c>
      <c r="K147" s="5">
        <v>10</v>
      </c>
      <c r="L147" s="11" t="s">
        <v>80</v>
      </c>
      <c r="M147" s="21"/>
    </row>
    <row r="148" spans="1:13" s="33" customFormat="1" ht="30" customHeight="1">
      <c r="A148" s="26"/>
      <c r="B148" s="5" t="s">
        <v>23</v>
      </c>
      <c r="C148" s="83"/>
      <c r="D148" s="1" t="s">
        <v>332</v>
      </c>
      <c r="E148" s="5" t="s">
        <v>10</v>
      </c>
      <c r="F148" s="100"/>
      <c r="G148" s="5" t="s">
        <v>477</v>
      </c>
      <c r="H148" s="48"/>
      <c r="I148" s="10"/>
      <c r="J148" s="56">
        <f t="shared" si="48"/>
        <v>0</v>
      </c>
      <c r="K148" s="5">
        <v>10</v>
      </c>
      <c r="L148" s="5" t="s">
        <v>80</v>
      </c>
      <c r="M148" s="21"/>
    </row>
    <row r="149" spans="1:13" s="33" customFormat="1" ht="30" customHeight="1">
      <c r="A149" s="26"/>
      <c r="B149" s="5" t="s">
        <v>23</v>
      </c>
      <c r="C149" s="83"/>
      <c r="D149" s="1" t="s">
        <v>333</v>
      </c>
      <c r="E149" s="5" t="s">
        <v>10</v>
      </c>
      <c r="F149" s="100"/>
      <c r="G149" s="5" t="s">
        <v>477</v>
      </c>
      <c r="H149" s="48"/>
      <c r="I149" s="10"/>
      <c r="J149" s="56">
        <f t="shared" si="48"/>
        <v>0</v>
      </c>
      <c r="K149" s="5">
        <v>10</v>
      </c>
      <c r="L149" s="5" t="s">
        <v>80</v>
      </c>
      <c r="M149" s="21"/>
    </row>
    <row r="150" spans="1:13" s="33" customFormat="1" ht="30" customHeight="1">
      <c r="A150" s="26"/>
      <c r="B150" s="5" t="s">
        <v>23</v>
      </c>
      <c r="C150" s="83"/>
      <c r="D150" s="1" t="s">
        <v>334</v>
      </c>
      <c r="E150" s="5" t="s">
        <v>10</v>
      </c>
      <c r="F150" s="100"/>
      <c r="G150" s="5" t="s">
        <v>477</v>
      </c>
      <c r="H150" s="48"/>
      <c r="I150" s="10"/>
      <c r="J150" s="56">
        <f t="shared" si="48"/>
        <v>0</v>
      </c>
      <c r="K150" s="5">
        <v>1</v>
      </c>
      <c r="L150" s="5" t="s">
        <v>80</v>
      </c>
      <c r="M150" s="21"/>
    </row>
    <row r="151" spans="1:13" ht="30" customHeight="1">
      <c r="A151" s="26"/>
      <c r="B151" s="5" t="s">
        <v>23</v>
      </c>
      <c r="C151" s="83"/>
      <c r="D151" s="1" t="s">
        <v>237</v>
      </c>
      <c r="E151" s="5" t="s">
        <v>10</v>
      </c>
      <c r="F151" s="100"/>
      <c r="G151" s="5" t="s">
        <v>477</v>
      </c>
      <c r="H151" s="48"/>
      <c r="I151" s="10"/>
      <c r="J151" s="56">
        <f t="shared" si="48"/>
        <v>0</v>
      </c>
      <c r="K151" s="5">
        <v>10</v>
      </c>
      <c r="L151" s="5" t="s">
        <v>80</v>
      </c>
    </row>
    <row r="152" spans="1:13" s="39" customFormat="1" ht="30" customHeight="1">
      <c r="A152" s="26"/>
      <c r="B152" s="5" t="s">
        <v>23</v>
      </c>
      <c r="C152" s="83"/>
      <c r="D152" s="1" t="s">
        <v>335</v>
      </c>
      <c r="E152" s="5" t="s">
        <v>10</v>
      </c>
      <c r="F152" s="100"/>
      <c r="G152" s="5" t="s">
        <v>477</v>
      </c>
      <c r="H152" s="48"/>
      <c r="I152" s="10"/>
      <c r="J152" s="56">
        <f t="shared" si="48"/>
        <v>0</v>
      </c>
      <c r="K152" s="5">
        <v>5</v>
      </c>
      <c r="L152" s="5" t="s">
        <v>80</v>
      </c>
      <c r="M152" s="21"/>
    </row>
    <row r="153" spans="1:13" s="39" customFormat="1" ht="30" customHeight="1">
      <c r="A153" s="26"/>
      <c r="B153" s="5" t="s">
        <v>75</v>
      </c>
      <c r="C153" s="83"/>
      <c r="D153" s="1" t="s">
        <v>234</v>
      </c>
      <c r="E153" s="5" t="s">
        <v>11</v>
      </c>
      <c r="F153" s="100"/>
      <c r="G153" s="5" t="s">
        <v>477</v>
      </c>
      <c r="H153" s="48"/>
      <c r="I153" s="10"/>
      <c r="J153" s="56">
        <f t="shared" si="48"/>
        <v>0</v>
      </c>
      <c r="K153" s="5">
        <v>5</v>
      </c>
      <c r="L153" s="5" t="s">
        <v>82</v>
      </c>
      <c r="M153" s="21"/>
    </row>
    <row r="154" spans="1:13" s="39" customFormat="1" ht="30" customHeight="1">
      <c r="A154" s="26"/>
      <c r="B154" s="5" t="s">
        <v>75</v>
      </c>
      <c r="C154" s="83"/>
      <c r="D154" s="1" t="s">
        <v>331</v>
      </c>
      <c r="E154" s="5" t="s">
        <v>11</v>
      </c>
      <c r="F154" s="100"/>
      <c r="G154" s="5" t="s">
        <v>477</v>
      </c>
      <c r="H154" s="48"/>
      <c r="I154" s="10"/>
      <c r="J154" s="56">
        <f t="shared" si="48"/>
        <v>0</v>
      </c>
      <c r="K154" s="5">
        <v>4</v>
      </c>
      <c r="L154" s="5" t="s">
        <v>82</v>
      </c>
      <c r="M154" s="21"/>
    </row>
    <row r="159" spans="1:13" ht="39.950000000000003" customHeight="1"/>
    <row r="160" spans="1:13" ht="39.950000000000003" customHeight="1"/>
    <row r="161" ht="39.950000000000003" customHeight="1"/>
    <row r="162" ht="39.950000000000003" customHeight="1"/>
    <row r="163" ht="39.950000000000003" customHeight="1"/>
    <row r="164" ht="39.950000000000003" customHeight="1"/>
    <row r="165" ht="39.950000000000003" customHeight="1"/>
    <row r="166" ht="39.950000000000003" customHeight="1"/>
    <row r="167" ht="39.950000000000003" customHeight="1"/>
    <row r="168" ht="39.950000000000003" customHeight="1"/>
    <row r="169" ht="39.950000000000003" customHeight="1"/>
    <row r="170" ht="39.950000000000003" customHeight="1"/>
    <row r="171" ht="39.950000000000003" customHeight="1"/>
    <row r="172" ht="39.950000000000003" customHeight="1"/>
    <row r="173" ht="39.950000000000003" customHeight="1"/>
    <row r="174" ht="39.950000000000003" customHeight="1"/>
    <row r="175" ht="39.950000000000003" customHeight="1"/>
    <row r="176" ht="39.950000000000003" customHeight="1"/>
  </sheetData>
  <sortState ref="A119:L152">
    <sortCondition descending="1" ref="G119:G152"/>
  </sortState>
  <mergeCells count="2">
    <mergeCell ref="D1:I2"/>
    <mergeCell ref="A1:B2"/>
  </mergeCells>
  <phoneticPr fontId="1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fitToHeight="0" orientation="portrait" r:id="rId1"/>
  <rowBreaks count="2" manualBreakCount="2">
    <brk id="44" max="11" man="1"/>
    <brk id="10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8"/>
  <sheetViews>
    <sheetView showGridLines="0" view="pageBreakPreview" zoomScale="70" zoomScaleNormal="70" zoomScaleSheetLayoutView="70" workbookViewId="0">
      <pane ySplit="4" topLeftCell="A76" activePane="bottomLeft" state="frozen"/>
      <selection activeCell="J42" sqref="J42"/>
      <selection pane="bottomLeft" activeCell="A5" sqref="A5:XFD85"/>
    </sheetView>
  </sheetViews>
  <sheetFormatPr defaultRowHeight="16.5"/>
  <cols>
    <col min="1" max="1" width="5.25" style="30" bestFit="1" customWidth="1"/>
    <col min="2" max="2" width="25" style="30" customWidth="1"/>
    <col min="3" max="3" width="11.625" style="23" customWidth="1"/>
    <col min="4" max="4" width="53.25" style="30" bestFit="1" customWidth="1"/>
    <col min="5" max="5" width="9.625" style="30" customWidth="1"/>
    <col min="6" max="6" width="12.875" style="31" customWidth="1"/>
    <col min="7" max="7" width="14.5" style="30" customWidth="1"/>
    <col min="8" max="9" width="14.75" style="30" customWidth="1"/>
    <col min="10" max="10" width="13.625" style="23" customWidth="1"/>
    <col min="11" max="12" width="13.625" style="30" customWidth="1"/>
    <col min="13" max="13" width="11.375" style="23" bestFit="1" customWidth="1"/>
    <col min="14" max="14" width="24" style="23" bestFit="1" customWidth="1"/>
    <col min="15" max="16384" width="9" style="23"/>
  </cols>
  <sheetData>
    <row r="1" spans="1:15" s="21" customFormat="1" ht="27" customHeight="1">
      <c r="A1" s="273" t="s">
        <v>8</v>
      </c>
      <c r="B1" s="274"/>
      <c r="C1" s="77"/>
      <c r="D1" s="261">
        <f ca="1">냉장1!D1</f>
        <v>46324</v>
      </c>
      <c r="E1" s="262"/>
      <c r="F1" s="262"/>
      <c r="G1" s="262"/>
      <c r="H1" s="262"/>
      <c r="I1" s="263"/>
      <c r="J1" s="64" t="s">
        <v>280</v>
      </c>
      <c r="K1" s="64" t="s">
        <v>281</v>
      </c>
      <c r="L1" s="64" t="s">
        <v>282</v>
      </c>
    </row>
    <row r="2" spans="1:15" s="21" customFormat="1" ht="55.5" customHeight="1">
      <c r="A2" s="275"/>
      <c r="B2" s="276"/>
      <c r="C2" s="78"/>
      <c r="D2" s="264"/>
      <c r="E2" s="265"/>
      <c r="F2" s="265"/>
      <c r="G2" s="265"/>
      <c r="H2" s="265"/>
      <c r="I2" s="266"/>
      <c r="J2" s="65"/>
      <c r="K2" s="65"/>
      <c r="L2" s="65"/>
    </row>
    <row r="3" spans="1:15" s="21" customFormat="1" ht="27" customHeight="1">
      <c r="A3" s="88" t="s">
        <v>227</v>
      </c>
      <c r="B3" s="90"/>
      <c r="C3" s="91"/>
      <c r="D3" s="74"/>
      <c r="E3" s="75"/>
      <c r="F3" s="132" t="str">
        <f>냉장1!F3</f>
        <v>6/14 기준</v>
      </c>
      <c r="G3" s="73"/>
      <c r="H3" s="65" t="s">
        <v>228</v>
      </c>
      <c r="I3" s="65"/>
      <c r="J3" s="74"/>
      <c r="K3" s="75"/>
      <c r="L3" s="76"/>
    </row>
    <row r="4" spans="1:15" ht="30.75" customHeight="1">
      <c r="A4" s="94" t="s">
        <v>0</v>
      </c>
      <c r="B4" s="94" t="s">
        <v>1</v>
      </c>
      <c r="C4" s="94" t="s">
        <v>358</v>
      </c>
      <c r="D4" s="94" t="s">
        <v>2</v>
      </c>
      <c r="E4" s="94" t="s">
        <v>6</v>
      </c>
      <c r="F4" s="165" t="s">
        <v>537</v>
      </c>
      <c r="G4" s="94" t="s">
        <v>151</v>
      </c>
      <c r="H4" s="94" t="s">
        <v>3</v>
      </c>
      <c r="I4" s="94" t="s">
        <v>101</v>
      </c>
      <c r="J4" s="94" t="s">
        <v>19</v>
      </c>
      <c r="K4" s="94" t="s">
        <v>16</v>
      </c>
      <c r="L4" s="94" t="s">
        <v>17</v>
      </c>
      <c r="M4" s="145" t="s">
        <v>469</v>
      </c>
      <c r="N4" s="145" t="s">
        <v>470</v>
      </c>
    </row>
    <row r="5" spans="1:15" ht="30" customHeight="1">
      <c r="A5" s="28">
        <v>1</v>
      </c>
      <c r="B5" s="4" t="s">
        <v>106</v>
      </c>
      <c r="C5" s="87">
        <v>30003009</v>
      </c>
      <c r="D5" s="7" t="s">
        <v>105</v>
      </c>
      <c r="E5" s="4" t="s">
        <v>152</v>
      </c>
      <c r="F5" s="98">
        <f>IFERROR(VLOOKUP(C5,[1]Sheet1!$A$1:$D$65536,3,0)/K5,"")</f>
        <v>6.4757319999999998</v>
      </c>
      <c r="G5" s="4"/>
      <c r="H5" s="3">
        <v>21</v>
      </c>
      <c r="I5" s="3"/>
      <c r="J5" s="57">
        <f t="shared" ref="J5:J45" si="0">H5*K5+I5</f>
        <v>10500</v>
      </c>
      <c r="K5" s="4">
        <v>500</v>
      </c>
      <c r="L5" s="94"/>
      <c r="M5" s="146">
        <v>3000</v>
      </c>
      <c r="N5" s="147">
        <f t="shared" ref="N5:N45" si="1">M5*J5</f>
        <v>31500000</v>
      </c>
    </row>
    <row r="6" spans="1:15" ht="30" customHeight="1">
      <c r="A6" s="28">
        <v>2</v>
      </c>
      <c r="B6" s="250" t="s">
        <v>813</v>
      </c>
      <c r="C6" s="86">
        <v>30002629</v>
      </c>
      <c r="D6" s="58" t="s">
        <v>359</v>
      </c>
      <c r="E6" s="49" t="s">
        <v>11</v>
      </c>
      <c r="F6" s="98">
        <f>IFERROR(VLOOKUP(C6,[1]Sheet1!$A$1:$D$65536,3,0)/K6,"")</f>
        <v>43.797499999999999</v>
      </c>
      <c r="G6" s="67"/>
      <c r="H6" s="3">
        <v>40</v>
      </c>
      <c r="I6" s="3"/>
      <c r="J6" s="57">
        <f t="shared" ref="J6" si="2">H6*K6+I6</f>
        <v>160</v>
      </c>
      <c r="K6" s="4">
        <v>4</v>
      </c>
      <c r="L6" s="94" t="s">
        <v>81</v>
      </c>
      <c r="M6" s="191">
        <f>15000/4</f>
        <v>3750</v>
      </c>
      <c r="N6" s="147">
        <f t="shared" ref="N6" si="3">M6*J6</f>
        <v>600000</v>
      </c>
    </row>
    <row r="7" spans="1:15" ht="30" customHeight="1">
      <c r="A7" s="28">
        <v>4</v>
      </c>
      <c r="B7" s="17" t="s">
        <v>916</v>
      </c>
      <c r="C7" s="86">
        <v>30003762</v>
      </c>
      <c r="D7" s="251" t="s">
        <v>1013</v>
      </c>
      <c r="E7" s="34" t="s">
        <v>110</v>
      </c>
      <c r="F7" s="98"/>
      <c r="G7" s="253">
        <v>46315</v>
      </c>
      <c r="H7" s="3">
        <v>26</v>
      </c>
      <c r="I7" s="34"/>
      <c r="J7" s="57">
        <f>H7*K7+I7</f>
        <v>1300</v>
      </c>
      <c r="K7" s="34">
        <v>50</v>
      </c>
      <c r="L7" s="94" t="s">
        <v>82</v>
      </c>
      <c r="M7" s="146">
        <v>7250</v>
      </c>
      <c r="N7" s="147">
        <f>M7*J7</f>
        <v>9425000</v>
      </c>
    </row>
    <row r="8" spans="1:15" ht="30" hidden="1" customHeight="1">
      <c r="A8" s="28">
        <v>4</v>
      </c>
      <c r="B8" s="17" t="s">
        <v>916</v>
      </c>
      <c r="C8" s="86">
        <v>30002439</v>
      </c>
      <c r="D8" s="63" t="s">
        <v>917</v>
      </c>
      <c r="E8" s="34" t="s">
        <v>170</v>
      </c>
      <c r="F8" s="98"/>
      <c r="G8" s="34"/>
      <c r="H8" s="3"/>
      <c r="I8" s="34"/>
      <c r="J8" s="57">
        <f>H8*K8+I8</f>
        <v>0</v>
      </c>
      <c r="K8" s="34">
        <v>400</v>
      </c>
      <c r="L8" s="94" t="s">
        <v>82</v>
      </c>
      <c r="M8" s="146">
        <v>7250</v>
      </c>
      <c r="N8" s="147">
        <f>M8*J8</f>
        <v>0</v>
      </c>
    </row>
    <row r="9" spans="1:15" ht="30" customHeight="1">
      <c r="A9" s="28">
        <v>5</v>
      </c>
      <c r="B9" s="17" t="s">
        <v>343</v>
      </c>
      <c r="C9" s="86">
        <v>30000093</v>
      </c>
      <c r="D9" s="58" t="s">
        <v>44</v>
      </c>
      <c r="E9" s="49" t="s">
        <v>14</v>
      </c>
      <c r="F9" s="98">
        <f>IFERROR(VLOOKUP(C9,[1]Sheet1!$A$1:$D$65536,3,0)/K9,"")</f>
        <v>0.85483333333333322</v>
      </c>
      <c r="G9" s="62"/>
      <c r="H9" s="3">
        <v>5</v>
      </c>
      <c r="I9" s="3"/>
      <c r="J9" s="57">
        <f t="shared" si="0"/>
        <v>30</v>
      </c>
      <c r="K9" s="4">
        <v>6</v>
      </c>
      <c r="L9" s="142" t="s">
        <v>82</v>
      </c>
      <c r="M9" s="146">
        <v>6508.3333300000004</v>
      </c>
      <c r="N9" s="147">
        <f t="shared" si="1"/>
        <v>195249.99990000002</v>
      </c>
    </row>
    <row r="10" spans="1:15" s="41" customFormat="1" ht="30" hidden="1" customHeight="1">
      <c r="A10" s="28">
        <v>6</v>
      </c>
      <c r="B10" s="4" t="s">
        <v>59</v>
      </c>
      <c r="C10" s="86">
        <v>30003148</v>
      </c>
      <c r="D10" s="196" t="s">
        <v>232</v>
      </c>
      <c r="E10" s="4" t="s">
        <v>152</v>
      </c>
      <c r="F10" s="100" t="str">
        <f>IFERROR(VLOOKUP(C10,[1]Sheet1!$A$1:$D$65536,3,0)/K10,"")</f>
        <v/>
      </c>
      <c r="G10" s="197" t="s">
        <v>721</v>
      </c>
      <c r="H10" s="3"/>
      <c r="I10" s="3"/>
      <c r="J10" s="57">
        <f t="shared" si="0"/>
        <v>0</v>
      </c>
      <c r="K10" s="4">
        <v>32</v>
      </c>
      <c r="L10" s="142"/>
      <c r="M10" s="146">
        <v>10200</v>
      </c>
      <c r="N10" s="147">
        <f t="shared" si="1"/>
        <v>0</v>
      </c>
    </row>
    <row r="11" spans="1:15" ht="30" customHeight="1">
      <c r="A11" s="28">
        <v>7</v>
      </c>
      <c r="B11" s="17" t="s">
        <v>661</v>
      </c>
      <c r="C11" s="86">
        <v>30003368</v>
      </c>
      <c r="D11" s="172" t="s">
        <v>725</v>
      </c>
      <c r="E11" s="173" t="s">
        <v>14</v>
      </c>
      <c r="F11" s="174">
        <f>IFERROR(VLOOKUP(C11,[1]Sheet1!$A$1:$D$65536,3,0)/K11,"")</f>
        <v>1.2444999999999999</v>
      </c>
      <c r="G11" s="122"/>
      <c r="H11" s="204">
        <v>3</v>
      </c>
      <c r="I11" s="204">
        <v>1</v>
      </c>
      <c r="J11" s="57">
        <f>H11*K11+I11</f>
        <v>31</v>
      </c>
      <c r="K11" s="4">
        <v>10</v>
      </c>
      <c r="L11" s="142" t="s">
        <v>726</v>
      </c>
      <c r="M11" s="191">
        <v>4460</v>
      </c>
      <c r="N11" s="147">
        <f>M11*J11</f>
        <v>138260</v>
      </c>
    </row>
    <row r="12" spans="1:15" ht="30" customHeight="1">
      <c r="A12" s="28">
        <v>8</v>
      </c>
      <c r="B12" s="17" t="s">
        <v>661</v>
      </c>
      <c r="C12" s="86">
        <v>30003340</v>
      </c>
      <c r="D12" s="58" t="s">
        <v>322</v>
      </c>
      <c r="E12" s="49" t="s">
        <v>14</v>
      </c>
      <c r="F12" s="98">
        <f>IFERROR(VLOOKUP(C12,[1]Sheet1!$A$1:$D$65536,3,0)/K12,"")</f>
        <v>0.96887500000000004</v>
      </c>
      <c r="G12" s="62"/>
      <c r="H12" s="3">
        <v>1</v>
      </c>
      <c r="I12" s="3">
        <v>3</v>
      </c>
      <c r="J12" s="57">
        <f t="shared" ref="J12" si="4">H12*K12+I12</f>
        <v>11</v>
      </c>
      <c r="K12" s="4">
        <v>8</v>
      </c>
      <c r="L12" s="142" t="s">
        <v>82</v>
      </c>
      <c r="M12" s="191">
        <v>8510</v>
      </c>
      <c r="N12" s="147">
        <f t="shared" ref="N12" si="5">M12*J12</f>
        <v>93610</v>
      </c>
    </row>
    <row r="13" spans="1:15" ht="30" customHeight="1">
      <c r="A13" s="28">
        <v>9</v>
      </c>
      <c r="B13" s="17" t="s">
        <v>661</v>
      </c>
      <c r="C13" s="86">
        <v>30003735</v>
      </c>
      <c r="D13" s="58" t="s">
        <v>960</v>
      </c>
      <c r="E13" s="49" t="s">
        <v>14</v>
      </c>
      <c r="F13" s="98"/>
      <c r="G13" s="62"/>
      <c r="H13" s="3">
        <v>24</v>
      </c>
      <c r="I13" s="3"/>
      <c r="J13" s="57">
        <f>H13*K13+I13</f>
        <v>7200</v>
      </c>
      <c r="K13" s="4">
        <v>300</v>
      </c>
      <c r="L13" s="142" t="s">
        <v>82</v>
      </c>
      <c r="M13" s="191">
        <v>6530</v>
      </c>
      <c r="N13" s="147">
        <f>M13*J13</f>
        <v>47016000</v>
      </c>
      <c r="O13" s="23" t="s">
        <v>711</v>
      </c>
    </row>
    <row r="14" spans="1:15" ht="30" customHeight="1">
      <c r="A14" s="28">
        <v>10</v>
      </c>
      <c r="B14" s="17" t="s">
        <v>661</v>
      </c>
      <c r="C14" s="86">
        <v>50000028</v>
      </c>
      <c r="D14" s="58" t="s">
        <v>924</v>
      </c>
      <c r="E14" s="49" t="s">
        <v>104</v>
      </c>
      <c r="F14" s="98" t="str">
        <f>IFERROR(VLOOKUP(C14,[1]Sheet1!$A$1:$D$65536,3,0)/K14,"")</f>
        <v/>
      </c>
      <c r="G14" s="62"/>
      <c r="H14" s="3">
        <v>6</v>
      </c>
      <c r="I14" s="153"/>
      <c r="J14" s="57">
        <f>H14*K14+I14</f>
        <v>6</v>
      </c>
      <c r="K14" s="5">
        <v>1</v>
      </c>
      <c r="L14" s="11"/>
      <c r="M14" s="192">
        <v>19800</v>
      </c>
      <c r="N14" s="147">
        <f>M14*J14</f>
        <v>118800</v>
      </c>
    </row>
    <row r="15" spans="1:15" s="41" customFormat="1" ht="30" customHeight="1">
      <c r="A15" s="28">
        <v>11</v>
      </c>
      <c r="B15" s="141" t="s">
        <v>59</v>
      </c>
      <c r="C15" s="86">
        <v>30003605</v>
      </c>
      <c r="D15" s="58" t="s">
        <v>722</v>
      </c>
      <c r="E15" s="4" t="s">
        <v>11</v>
      </c>
      <c r="F15" s="100">
        <f>IFERROR(VLOOKUP(C15,[1]Sheet1!$A$1:$D$65536,3,0)/K15,"")</f>
        <v>1.6581250000000001</v>
      </c>
      <c r="G15" s="173"/>
      <c r="H15" s="3">
        <v>6</v>
      </c>
      <c r="I15" s="3"/>
      <c r="J15" s="57">
        <f t="shared" ref="J15" si="6">H15*K15+I15</f>
        <v>192</v>
      </c>
      <c r="K15" s="4">
        <v>32</v>
      </c>
      <c r="L15" s="142"/>
      <c r="M15" s="146">
        <v>10200</v>
      </c>
      <c r="N15" s="147">
        <f t="shared" ref="N15" si="7">M15*J15</f>
        <v>1958400</v>
      </c>
    </row>
    <row r="16" spans="1:15" s="41" customFormat="1" ht="30" customHeight="1">
      <c r="A16" s="28">
        <v>12</v>
      </c>
      <c r="B16" s="141" t="s">
        <v>59</v>
      </c>
      <c r="C16" s="86">
        <v>30003421</v>
      </c>
      <c r="D16" s="7" t="s">
        <v>865</v>
      </c>
      <c r="E16" s="4" t="s">
        <v>11</v>
      </c>
      <c r="F16" s="100">
        <f>IFERROR(VLOOKUP(C16,[1]Sheet1!$A$1:$D$65536,3,0)/K16,"")</f>
        <v>1.1273000000000002</v>
      </c>
      <c r="G16" s="4"/>
      <c r="H16" s="3"/>
      <c r="I16" s="3"/>
      <c r="J16" s="57">
        <f t="shared" si="0"/>
        <v>0</v>
      </c>
      <c r="K16" s="4">
        <v>30</v>
      </c>
      <c r="L16" s="142"/>
      <c r="M16" s="146">
        <v>11500</v>
      </c>
      <c r="N16" s="147">
        <f t="shared" si="1"/>
        <v>0</v>
      </c>
    </row>
    <row r="17" spans="1:15" ht="30" hidden="1" customHeight="1">
      <c r="A17" s="28">
        <v>13</v>
      </c>
      <c r="B17" s="141" t="s">
        <v>59</v>
      </c>
      <c r="C17" s="86">
        <v>30003155</v>
      </c>
      <c r="D17" s="196" t="s">
        <v>255</v>
      </c>
      <c r="E17" s="4" t="s">
        <v>11</v>
      </c>
      <c r="F17" s="100" t="str">
        <f>IFERROR(VLOOKUP(C17,[1]Sheet1!$A$1:$D$65536,3,0)/K17,"")</f>
        <v/>
      </c>
      <c r="G17" s="197" t="s">
        <v>721</v>
      </c>
      <c r="H17" s="3"/>
      <c r="I17" s="3"/>
      <c r="J17" s="57">
        <f t="shared" si="0"/>
        <v>0</v>
      </c>
      <c r="K17" s="4">
        <v>32</v>
      </c>
      <c r="L17" s="142"/>
      <c r="M17" s="146">
        <v>10200</v>
      </c>
      <c r="N17" s="147">
        <f t="shared" si="1"/>
        <v>0</v>
      </c>
    </row>
    <row r="18" spans="1:15" s="41" customFormat="1" ht="30" customHeight="1">
      <c r="A18" s="28">
        <v>14</v>
      </c>
      <c r="B18" s="141" t="s">
        <v>59</v>
      </c>
      <c r="C18" s="86">
        <v>30003115</v>
      </c>
      <c r="D18" s="7" t="s">
        <v>139</v>
      </c>
      <c r="E18" s="4" t="s">
        <v>152</v>
      </c>
      <c r="F18" s="100">
        <f>IFERROR(VLOOKUP(C18,[1]Sheet1!$A$1:$D$65536,3,0)/K18,"")</f>
        <v>2.2897500000000002</v>
      </c>
      <c r="G18" s="4"/>
      <c r="H18" s="3">
        <v>2</v>
      </c>
      <c r="I18" s="3"/>
      <c r="J18" s="57">
        <f t="shared" si="0"/>
        <v>16</v>
      </c>
      <c r="K18" s="4">
        <v>8</v>
      </c>
      <c r="L18" s="142"/>
      <c r="M18" s="146">
        <v>63900</v>
      </c>
      <c r="N18" s="147">
        <f t="shared" si="1"/>
        <v>1022400</v>
      </c>
    </row>
    <row r="19" spans="1:15" s="37" customFormat="1" ht="30" customHeight="1">
      <c r="A19" s="28">
        <v>15</v>
      </c>
      <c r="B19" s="4" t="s">
        <v>974</v>
      </c>
      <c r="C19" s="86">
        <v>30000363</v>
      </c>
      <c r="D19" s="7" t="s">
        <v>975</v>
      </c>
      <c r="E19" s="49" t="s">
        <v>11</v>
      </c>
      <c r="F19" s="98" t="str">
        <f>IFERROR(VLOOKUP(C19,[1]Sheet1!$A$1:$D$65536,3,0)/K19,"")</f>
        <v/>
      </c>
      <c r="G19" s="49"/>
      <c r="H19" s="3">
        <v>3</v>
      </c>
      <c r="I19" s="50"/>
      <c r="J19" s="57">
        <f t="shared" ref="J19" si="8">H19*K19+I19</f>
        <v>18</v>
      </c>
      <c r="K19" s="49">
        <v>6</v>
      </c>
      <c r="L19" s="143"/>
      <c r="M19" s="146">
        <v>12990</v>
      </c>
      <c r="N19" s="147">
        <f t="shared" ref="N19" si="9">M19*J19</f>
        <v>233820</v>
      </c>
    </row>
    <row r="20" spans="1:15" s="37" customFormat="1" ht="30" customHeight="1">
      <c r="A20" s="28">
        <v>15</v>
      </c>
      <c r="B20" s="4" t="s">
        <v>153</v>
      </c>
      <c r="C20" s="86">
        <v>30003168</v>
      </c>
      <c r="D20" s="58" t="s">
        <v>96</v>
      </c>
      <c r="E20" s="49" t="s">
        <v>11</v>
      </c>
      <c r="F20" s="98">
        <f>IFERROR(VLOOKUP(C20,[1]Sheet1!$A$1:$D$65536,3,0)/K20,"")</f>
        <v>0.1033</v>
      </c>
      <c r="G20" s="49"/>
      <c r="H20" s="3">
        <v>1</v>
      </c>
      <c r="I20" s="50">
        <v>7</v>
      </c>
      <c r="J20" s="57">
        <f t="shared" si="0"/>
        <v>57</v>
      </c>
      <c r="K20" s="49">
        <v>50</v>
      </c>
      <c r="L20" s="143"/>
      <c r="M20" s="146">
        <v>12990</v>
      </c>
      <c r="N20" s="147">
        <f t="shared" si="1"/>
        <v>740430</v>
      </c>
    </row>
    <row r="21" spans="1:15" ht="30" customHeight="1">
      <c r="A21" s="28">
        <v>16</v>
      </c>
      <c r="B21" s="4" t="s">
        <v>60</v>
      </c>
      <c r="C21" s="86">
        <v>30003541</v>
      </c>
      <c r="D21" s="7" t="s">
        <v>616</v>
      </c>
      <c r="E21" s="4" t="s">
        <v>11</v>
      </c>
      <c r="F21" s="100">
        <f>IFERROR(VLOOKUP(C21,[1]Sheet1!$A$1:$D$65536,3,0)/K21,"")</f>
        <v>6.538125</v>
      </c>
      <c r="G21" s="4"/>
      <c r="H21" s="3">
        <v>19</v>
      </c>
      <c r="I21" s="3"/>
      <c r="J21" s="57">
        <f t="shared" ref="J21" si="10">H21*K21+I21</f>
        <v>608</v>
      </c>
      <c r="K21" s="4">
        <v>32</v>
      </c>
      <c r="L21" s="142"/>
      <c r="M21" s="146">
        <f>377600/32</f>
        <v>11800</v>
      </c>
      <c r="N21" s="147">
        <f t="shared" ref="N21" si="11">M21*J21</f>
        <v>7174400</v>
      </c>
      <c r="O21" s="23" t="s">
        <v>713</v>
      </c>
    </row>
    <row r="22" spans="1:15" ht="30" customHeight="1">
      <c r="A22" s="28">
        <v>18</v>
      </c>
      <c r="B22" s="250" t="s">
        <v>193</v>
      </c>
      <c r="C22" s="86">
        <v>30003419</v>
      </c>
      <c r="D22" s="58" t="s">
        <v>325</v>
      </c>
      <c r="E22" s="49" t="s">
        <v>14</v>
      </c>
      <c r="F22" s="98">
        <f>IFERROR(VLOOKUP(C22,[1]Sheet1!$A$1:$D$65536,3,0)/K22,"")</f>
        <v>9.1219999999999999</v>
      </c>
      <c r="G22" s="62"/>
      <c r="H22" s="3"/>
      <c r="I22" s="3"/>
      <c r="J22" s="57">
        <f>H22*K22+I22</f>
        <v>0</v>
      </c>
      <c r="K22" s="4">
        <v>5</v>
      </c>
      <c r="L22" s="142" t="s">
        <v>81</v>
      </c>
      <c r="M22" s="146">
        <v>13000</v>
      </c>
      <c r="N22" s="147">
        <f>M22*J22</f>
        <v>0</v>
      </c>
    </row>
    <row r="23" spans="1:15" ht="30" customHeight="1">
      <c r="A23" s="28">
        <v>19</v>
      </c>
      <c r="B23" s="141" t="s">
        <v>61</v>
      </c>
      <c r="C23" s="86">
        <v>30001164</v>
      </c>
      <c r="D23" s="58" t="s">
        <v>162</v>
      </c>
      <c r="E23" s="4" t="s">
        <v>14</v>
      </c>
      <c r="F23" s="98">
        <f>IFERROR(VLOOKUP(C23,[1]Sheet1!$A$1:$D$65536,3,0)/K23,"")</f>
        <v>9.6799999999999997E-2</v>
      </c>
      <c r="G23" s="17"/>
      <c r="H23" s="3">
        <v>1</v>
      </c>
      <c r="I23" s="3">
        <v>6</v>
      </c>
      <c r="J23" s="57">
        <f t="shared" si="0"/>
        <v>26</v>
      </c>
      <c r="K23" s="4">
        <v>20</v>
      </c>
      <c r="L23" s="142" t="s">
        <v>82</v>
      </c>
      <c r="M23" s="146">
        <v>8750</v>
      </c>
      <c r="N23" s="147">
        <f t="shared" si="1"/>
        <v>227500</v>
      </c>
    </row>
    <row r="24" spans="1:15" ht="30" customHeight="1">
      <c r="A24" s="28">
        <v>20</v>
      </c>
      <c r="B24" s="141" t="s">
        <v>161</v>
      </c>
      <c r="C24" s="86">
        <v>30001581</v>
      </c>
      <c r="D24" s="58" t="s">
        <v>45</v>
      </c>
      <c r="E24" s="4" t="s">
        <v>14</v>
      </c>
      <c r="F24" s="98">
        <f>IFERROR(VLOOKUP(C24,[1]Sheet1!$A$1:$D$65536,3,0)/K24,"")</f>
        <v>1.3220000000000001</v>
      </c>
      <c r="G24" s="4"/>
      <c r="H24" s="3">
        <v>3</v>
      </c>
      <c r="I24" s="3"/>
      <c r="J24" s="57">
        <f t="shared" si="0"/>
        <v>12</v>
      </c>
      <c r="K24" s="4">
        <v>4</v>
      </c>
      <c r="L24" s="142" t="s">
        <v>81</v>
      </c>
      <c r="M24" s="146">
        <v>4300</v>
      </c>
      <c r="N24" s="147">
        <f t="shared" si="1"/>
        <v>51600</v>
      </c>
    </row>
    <row r="25" spans="1:15" ht="30" customHeight="1">
      <c r="A25" s="28">
        <v>21</v>
      </c>
      <c r="B25" s="17" t="s">
        <v>160</v>
      </c>
      <c r="C25" s="86">
        <v>30003061</v>
      </c>
      <c r="D25" s="58" t="s">
        <v>277</v>
      </c>
      <c r="E25" s="49" t="s">
        <v>11</v>
      </c>
      <c r="F25" s="98">
        <f>IFERROR(VLOOKUP(C25,[1]Sheet1!$A$1:$D$65536,3,0)/K25,"")</f>
        <v>3.0656666666666665</v>
      </c>
      <c r="G25" s="62"/>
      <c r="H25" s="3">
        <v>5</v>
      </c>
      <c r="I25" s="3"/>
      <c r="J25" s="57">
        <f t="shared" si="0"/>
        <v>30</v>
      </c>
      <c r="K25" s="4">
        <v>6</v>
      </c>
      <c r="L25" s="142" t="s">
        <v>81</v>
      </c>
      <c r="M25" s="146">
        <v>9680</v>
      </c>
      <c r="N25" s="147">
        <f t="shared" si="1"/>
        <v>290400</v>
      </c>
    </row>
    <row r="26" spans="1:15" ht="30" customHeight="1">
      <c r="A26" s="28">
        <v>22</v>
      </c>
      <c r="B26" s="17" t="s">
        <v>160</v>
      </c>
      <c r="C26" s="86">
        <v>30002759</v>
      </c>
      <c r="D26" s="7" t="s">
        <v>97</v>
      </c>
      <c r="E26" s="4" t="s">
        <v>11</v>
      </c>
      <c r="F26" s="100">
        <f>IFERROR(VLOOKUP(C26,[1]Sheet1!$A$1:$D$65536,3,0)/K26,"")</f>
        <v>15.9625</v>
      </c>
      <c r="G26" s="17"/>
      <c r="H26" s="3">
        <v>36</v>
      </c>
      <c r="I26" s="3"/>
      <c r="J26" s="57">
        <f t="shared" si="0"/>
        <v>864</v>
      </c>
      <c r="K26" s="4">
        <v>24</v>
      </c>
      <c r="L26" s="142" t="s">
        <v>81</v>
      </c>
      <c r="M26" s="193">
        <f>27330/24</f>
        <v>1138.75</v>
      </c>
      <c r="N26" s="147">
        <f t="shared" si="1"/>
        <v>983880</v>
      </c>
    </row>
    <row r="27" spans="1:15" ht="30" customHeight="1">
      <c r="A27" s="28">
        <v>23</v>
      </c>
      <c r="B27" s="4" t="s">
        <v>154</v>
      </c>
      <c r="C27" s="86">
        <v>30001140</v>
      </c>
      <c r="D27" s="58" t="s">
        <v>155</v>
      </c>
      <c r="E27" s="4" t="s">
        <v>152</v>
      </c>
      <c r="F27" s="98">
        <f>IFERROR(VLOOKUP(C27,[1]Sheet1!$A$1:$D$65536,3,0)/K27,"")</f>
        <v>16.893999999999998</v>
      </c>
      <c r="G27" s="4"/>
      <c r="H27" s="3">
        <v>90</v>
      </c>
      <c r="I27" s="3"/>
      <c r="J27" s="57">
        <f t="shared" ref="J27:J32" si="12">H27*K27+I27</f>
        <v>90</v>
      </c>
      <c r="K27" s="4">
        <v>1</v>
      </c>
      <c r="L27" s="142" t="s">
        <v>89</v>
      </c>
      <c r="M27" s="146">
        <v>35000</v>
      </c>
      <c r="N27" s="147">
        <f t="shared" ref="N27:N32" si="13">M27*J27</f>
        <v>3150000</v>
      </c>
    </row>
    <row r="28" spans="1:15" ht="30" customHeight="1">
      <c r="A28" s="28">
        <v>24</v>
      </c>
      <c r="B28" s="4" t="s">
        <v>53</v>
      </c>
      <c r="C28" s="86">
        <v>30000389</v>
      </c>
      <c r="D28" s="58" t="s">
        <v>156</v>
      </c>
      <c r="E28" s="4" t="s">
        <v>157</v>
      </c>
      <c r="F28" s="98">
        <f>IFERROR(VLOOKUP(C28,[1]Sheet1!$A$1:$D$65536,3,0)/K28,"")</f>
        <v>29.8447</v>
      </c>
      <c r="G28" s="4"/>
      <c r="H28" s="3"/>
      <c r="I28" s="3"/>
      <c r="J28" s="57">
        <f t="shared" si="12"/>
        <v>0</v>
      </c>
      <c r="K28" s="4">
        <v>20</v>
      </c>
      <c r="L28" s="142" t="s">
        <v>80</v>
      </c>
      <c r="M28" s="146">
        <v>3150</v>
      </c>
      <c r="N28" s="147">
        <f t="shared" si="13"/>
        <v>0</v>
      </c>
    </row>
    <row r="29" spans="1:15" ht="30" customHeight="1">
      <c r="A29" s="28">
        <v>25</v>
      </c>
      <c r="B29" s="4" t="s">
        <v>53</v>
      </c>
      <c r="C29" s="86">
        <v>30001710</v>
      </c>
      <c r="D29" s="58" t="s">
        <v>29</v>
      </c>
      <c r="E29" s="4" t="s">
        <v>11</v>
      </c>
      <c r="F29" s="98">
        <f>IFERROR(VLOOKUP(C29,[1]Sheet1!$A$1:$D$65536,3,0)/K29,"")</f>
        <v>1.4044999999999999</v>
      </c>
      <c r="G29" s="17"/>
      <c r="H29" s="3"/>
      <c r="I29" s="3"/>
      <c r="J29" s="57">
        <f t="shared" si="12"/>
        <v>0</v>
      </c>
      <c r="K29" s="4">
        <v>6</v>
      </c>
      <c r="L29" s="142" t="s">
        <v>90</v>
      </c>
      <c r="M29" s="146">
        <v>4929</v>
      </c>
      <c r="N29" s="147">
        <f t="shared" si="13"/>
        <v>0</v>
      </c>
    </row>
    <row r="30" spans="1:15" ht="30" customHeight="1">
      <c r="A30" s="28">
        <v>26</v>
      </c>
      <c r="B30" s="4" t="s">
        <v>53</v>
      </c>
      <c r="C30" s="86">
        <v>30003392</v>
      </c>
      <c r="D30" s="7" t="s">
        <v>336</v>
      </c>
      <c r="E30" s="4" t="s">
        <v>11</v>
      </c>
      <c r="F30" s="98">
        <f>IFERROR(VLOOKUP(C30,[1]Sheet1!$A$1:$D$65536,3,0)/K30,"")</f>
        <v>1.07</v>
      </c>
      <c r="G30" s="17"/>
      <c r="H30" s="3">
        <v>7</v>
      </c>
      <c r="I30" s="3"/>
      <c r="J30" s="57">
        <f t="shared" si="12"/>
        <v>7</v>
      </c>
      <c r="K30" s="4">
        <v>1</v>
      </c>
      <c r="L30" s="142" t="s">
        <v>90</v>
      </c>
      <c r="M30" s="146">
        <v>23000</v>
      </c>
      <c r="N30" s="147">
        <f t="shared" si="13"/>
        <v>161000</v>
      </c>
    </row>
    <row r="31" spans="1:15" ht="30" customHeight="1">
      <c r="A31" s="28">
        <v>26</v>
      </c>
      <c r="B31" s="4" t="s">
        <v>53</v>
      </c>
      <c r="C31" s="86">
        <v>30002086</v>
      </c>
      <c r="D31" s="7" t="s">
        <v>959</v>
      </c>
      <c r="E31" s="4" t="s">
        <v>11</v>
      </c>
      <c r="F31" s="98"/>
      <c r="G31" s="17"/>
      <c r="H31" s="3">
        <v>1</v>
      </c>
      <c r="I31" s="3"/>
      <c r="J31" s="57">
        <f t="shared" si="12"/>
        <v>6</v>
      </c>
      <c r="K31" s="4">
        <v>6</v>
      </c>
      <c r="L31" s="142" t="s">
        <v>90</v>
      </c>
      <c r="M31" s="146">
        <v>23000</v>
      </c>
      <c r="N31" s="147">
        <f t="shared" si="13"/>
        <v>138000</v>
      </c>
    </row>
    <row r="32" spans="1:15" ht="30" customHeight="1">
      <c r="A32" s="28">
        <v>26</v>
      </c>
      <c r="B32" s="4" t="s">
        <v>53</v>
      </c>
      <c r="C32" s="86">
        <v>30000179</v>
      </c>
      <c r="D32" s="7" t="s">
        <v>976</v>
      </c>
      <c r="E32" s="4" t="s">
        <v>11</v>
      </c>
      <c r="F32" s="98"/>
      <c r="G32" s="17"/>
      <c r="H32" s="3"/>
      <c r="I32" s="3"/>
      <c r="J32" s="57">
        <f t="shared" si="12"/>
        <v>0</v>
      </c>
      <c r="K32" s="4">
        <v>1</v>
      </c>
      <c r="L32" s="142" t="s">
        <v>90</v>
      </c>
      <c r="M32" s="146">
        <v>23000</v>
      </c>
      <c r="N32" s="147">
        <f t="shared" si="13"/>
        <v>0</v>
      </c>
    </row>
    <row r="33" spans="1:15" ht="30" customHeight="1">
      <c r="A33" s="28">
        <v>27</v>
      </c>
      <c r="B33" s="17" t="s">
        <v>663</v>
      </c>
      <c r="C33" s="86">
        <v>30003544</v>
      </c>
      <c r="D33" s="1" t="s">
        <v>619</v>
      </c>
      <c r="E33" s="5" t="s">
        <v>10</v>
      </c>
      <c r="F33" s="100">
        <f>IFERROR(VLOOKUP(C33,[1]Sheet1!$A$1:$D$65536,3,0)/K33,"")</f>
        <v>16.436</v>
      </c>
      <c r="G33" s="4"/>
      <c r="H33" s="3">
        <v>60</v>
      </c>
      <c r="I33" s="48"/>
      <c r="J33" s="57">
        <f t="shared" ref="J33" si="14">H33*K33+I33</f>
        <v>60</v>
      </c>
      <c r="K33" s="47">
        <v>1</v>
      </c>
      <c r="L33" s="11" t="s">
        <v>620</v>
      </c>
      <c r="M33" s="146">
        <v>26880</v>
      </c>
      <c r="N33" s="147">
        <f t="shared" ref="N33" si="15">M33*J33</f>
        <v>1612800</v>
      </c>
      <c r="O33" s="23" t="s">
        <v>713</v>
      </c>
    </row>
    <row r="34" spans="1:15" ht="30" customHeight="1">
      <c r="A34" s="28">
        <v>28</v>
      </c>
      <c r="B34" s="17" t="s">
        <v>663</v>
      </c>
      <c r="C34" s="86">
        <v>30003296</v>
      </c>
      <c r="D34" s="1" t="s">
        <v>310</v>
      </c>
      <c r="E34" s="5" t="s">
        <v>10</v>
      </c>
      <c r="F34" s="100">
        <f>IFERROR(VLOOKUP(C34,[1]Sheet1!$A$1:$D$65536,3,0)/K34,"")</f>
        <v>0.39300000000000002</v>
      </c>
      <c r="G34" s="4"/>
      <c r="H34" s="3">
        <v>4</v>
      </c>
      <c r="I34" s="48"/>
      <c r="J34" s="57">
        <f>H34*K34+I34</f>
        <v>24</v>
      </c>
      <c r="K34" s="47">
        <v>6</v>
      </c>
      <c r="L34" s="11" t="s">
        <v>83</v>
      </c>
      <c r="M34" s="146">
        <v>7150</v>
      </c>
      <c r="N34" s="147">
        <f t="shared" ref="N34:N37" si="16">M34*J34</f>
        <v>171600</v>
      </c>
    </row>
    <row r="35" spans="1:15" ht="30" customHeight="1">
      <c r="A35" s="28">
        <v>29</v>
      </c>
      <c r="B35" s="17" t="s">
        <v>663</v>
      </c>
      <c r="C35" s="86">
        <v>30003365</v>
      </c>
      <c r="D35" s="155" t="s">
        <v>953</v>
      </c>
      <c r="E35" s="5" t="s">
        <v>10</v>
      </c>
      <c r="F35" s="100">
        <f>IFERROR(VLOOKUP(C35,[1]Sheet1!$A$1:$D$65536,3,0)/K35,"")</f>
        <v>5.45E-2</v>
      </c>
      <c r="G35" s="4"/>
      <c r="H35" s="3"/>
      <c r="I35" s="48"/>
      <c r="J35" s="57">
        <f>H35*K35+I35</f>
        <v>0</v>
      </c>
      <c r="K35" s="47">
        <v>6</v>
      </c>
      <c r="L35" s="11" t="s">
        <v>83</v>
      </c>
      <c r="M35" s="146">
        <v>9200</v>
      </c>
      <c r="N35" s="147">
        <f t="shared" si="16"/>
        <v>0</v>
      </c>
      <c r="O35" s="23" t="s">
        <v>707</v>
      </c>
    </row>
    <row r="36" spans="1:15" ht="30" customHeight="1">
      <c r="A36" s="28">
        <v>30</v>
      </c>
      <c r="B36" s="17" t="s">
        <v>663</v>
      </c>
      <c r="C36" s="86">
        <v>30003276</v>
      </c>
      <c r="D36" s="1" t="s">
        <v>289</v>
      </c>
      <c r="E36" s="5" t="s">
        <v>10</v>
      </c>
      <c r="F36" s="203">
        <f>IFERROR(VLOOKUP(C36,[1]Sheet1!$A$1:$D$65536,3,0)/K36,"")</f>
        <v>6.9166666666666668E-2</v>
      </c>
      <c r="G36" s="4"/>
      <c r="H36" s="3"/>
      <c r="I36" s="48"/>
      <c r="J36" s="57">
        <f t="shared" ref="J36" si="17">H36*K36+I36</f>
        <v>0</v>
      </c>
      <c r="K36" s="47">
        <v>12</v>
      </c>
      <c r="L36" s="11" t="s">
        <v>603</v>
      </c>
      <c r="M36" s="146">
        <v>16750</v>
      </c>
      <c r="N36" s="147">
        <f t="shared" si="16"/>
        <v>0</v>
      </c>
      <c r="O36" s="23" t="s">
        <v>707</v>
      </c>
    </row>
    <row r="37" spans="1:15" ht="30" customHeight="1">
      <c r="A37" s="28">
        <v>31</v>
      </c>
      <c r="B37" s="17" t="s">
        <v>663</v>
      </c>
      <c r="C37" s="86">
        <v>30002439</v>
      </c>
      <c r="D37" s="63" t="s">
        <v>319</v>
      </c>
      <c r="E37" s="34" t="s">
        <v>14</v>
      </c>
      <c r="F37" s="98">
        <f>IFERROR(VLOOKUP(C37,[1]Sheet1!$A$1:$D$65536,3,0)/K37,"")</f>
        <v>0.25744444444444448</v>
      </c>
      <c r="G37" s="34"/>
      <c r="H37" s="3">
        <v>2</v>
      </c>
      <c r="I37" s="34">
        <v>4</v>
      </c>
      <c r="J37" s="57">
        <f>H37*K37+I37</f>
        <v>22</v>
      </c>
      <c r="K37" s="34">
        <v>9</v>
      </c>
      <c r="L37" s="94" t="s">
        <v>82</v>
      </c>
      <c r="M37" s="146">
        <v>7250</v>
      </c>
      <c r="N37" s="147">
        <f t="shared" si="16"/>
        <v>159500</v>
      </c>
    </row>
    <row r="38" spans="1:15" ht="30" customHeight="1">
      <c r="A38" s="28">
        <v>32</v>
      </c>
      <c r="B38" s="17" t="s">
        <v>663</v>
      </c>
      <c r="C38" s="86">
        <v>30003772</v>
      </c>
      <c r="D38" s="251" t="s">
        <v>1203</v>
      </c>
      <c r="E38" s="34" t="s">
        <v>14</v>
      </c>
      <c r="F38" s="98"/>
      <c r="G38" s="34"/>
      <c r="H38" s="3">
        <v>3</v>
      </c>
      <c r="I38" s="34"/>
      <c r="J38" s="57">
        <f>H38*K38+I38</f>
        <v>3</v>
      </c>
      <c r="K38" s="34">
        <v>1</v>
      </c>
      <c r="L38" s="94" t="s">
        <v>82</v>
      </c>
      <c r="M38" s="146">
        <v>22500</v>
      </c>
      <c r="N38" s="147">
        <f t="shared" ref="N38" si="18">M38*J38</f>
        <v>67500</v>
      </c>
    </row>
    <row r="39" spans="1:15" ht="30" customHeight="1">
      <c r="A39" s="28">
        <v>33</v>
      </c>
      <c r="B39" s="141" t="s">
        <v>492</v>
      </c>
      <c r="C39" s="87">
        <v>30003476</v>
      </c>
      <c r="D39" s="7" t="s">
        <v>567</v>
      </c>
      <c r="E39" s="4" t="s">
        <v>11</v>
      </c>
      <c r="F39" s="100">
        <f>IFERROR(VLOOKUP(C39,[1]Sheet1!$A$1:$D$65536,3,0)/K39,"")</f>
        <v>1.3</v>
      </c>
      <c r="G39" s="4"/>
      <c r="H39" s="3">
        <v>11</v>
      </c>
      <c r="I39" s="3">
        <v>2</v>
      </c>
      <c r="J39" s="57">
        <f>H39*K39+I39</f>
        <v>68</v>
      </c>
      <c r="K39" s="4">
        <v>6</v>
      </c>
      <c r="L39" s="142" t="s">
        <v>83</v>
      </c>
      <c r="M39" s="146">
        <v>4200</v>
      </c>
      <c r="N39" s="147">
        <f>M39*J39</f>
        <v>285600</v>
      </c>
    </row>
    <row r="40" spans="1:15" ht="30" hidden="1" customHeight="1">
      <c r="A40" s="28">
        <v>34</v>
      </c>
      <c r="B40" s="4" t="s">
        <v>53</v>
      </c>
      <c r="C40" s="136">
        <v>30003296</v>
      </c>
      <c r="D40" s="110" t="s">
        <v>484</v>
      </c>
      <c r="E40" s="111" t="s">
        <v>11</v>
      </c>
      <c r="F40" s="112">
        <f>IFERROR(VLOOKUP(C40,[1]Sheet1!$A$1:$D$65536,3,0)/K40,"")</f>
        <v>0.39300000000000002</v>
      </c>
      <c r="G40" s="114"/>
      <c r="H40" s="3"/>
      <c r="I40" s="3"/>
      <c r="J40" s="57">
        <f t="shared" si="0"/>
        <v>0</v>
      </c>
      <c r="K40" s="4">
        <v>6</v>
      </c>
      <c r="L40" s="142" t="s">
        <v>524</v>
      </c>
      <c r="M40" s="152">
        <v>6773</v>
      </c>
      <c r="N40" s="147">
        <f t="shared" si="1"/>
        <v>0</v>
      </c>
      <c r="O40" s="23" t="s">
        <v>717</v>
      </c>
    </row>
    <row r="41" spans="1:15" ht="30" hidden="1" customHeight="1">
      <c r="A41" s="28">
        <v>35</v>
      </c>
      <c r="B41" s="17" t="s">
        <v>41</v>
      </c>
      <c r="C41" s="86">
        <v>30002793</v>
      </c>
      <c r="D41" s="51" t="s">
        <v>224</v>
      </c>
      <c r="E41" s="47" t="s">
        <v>10</v>
      </c>
      <c r="F41" s="98">
        <f>IFERROR(VLOOKUP(C41,[1]Sheet1!$A$1:$D$65536,3,0)/K41,"")</f>
        <v>5.9444583333333334</v>
      </c>
      <c r="G41" s="49"/>
      <c r="H41" s="3"/>
      <c r="I41" s="48"/>
      <c r="J41" s="57">
        <f t="shared" si="0"/>
        <v>0</v>
      </c>
      <c r="K41" s="47">
        <v>24</v>
      </c>
      <c r="L41" s="144" t="s">
        <v>83</v>
      </c>
      <c r="M41" s="146">
        <v>2600</v>
      </c>
      <c r="N41" s="147">
        <f t="shared" si="1"/>
        <v>0</v>
      </c>
    </row>
    <row r="42" spans="1:15" s="21" customFormat="1" ht="30" hidden="1" customHeight="1">
      <c r="A42" s="28">
        <v>36</v>
      </c>
      <c r="B42" s="17" t="s">
        <v>41</v>
      </c>
      <c r="C42" s="86">
        <v>30001887</v>
      </c>
      <c r="D42" s="51" t="s">
        <v>149</v>
      </c>
      <c r="E42" s="5" t="s">
        <v>10</v>
      </c>
      <c r="F42" s="186">
        <f>IFERROR(VLOOKUP(C42,[1]Sheet1!$A$1:$D$65536,3,0)/K42,"")</f>
        <v>2.0750000000000001E-2</v>
      </c>
      <c r="G42" s="4"/>
      <c r="H42" s="3"/>
      <c r="I42" s="10"/>
      <c r="J42" s="57">
        <f t="shared" si="0"/>
        <v>0</v>
      </c>
      <c r="K42" s="5">
        <v>4</v>
      </c>
      <c r="L42" s="11" t="s">
        <v>83</v>
      </c>
      <c r="M42" s="146">
        <v>7500</v>
      </c>
      <c r="N42" s="147">
        <f t="shared" si="1"/>
        <v>0</v>
      </c>
    </row>
    <row r="43" spans="1:15" ht="30" hidden="1" customHeight="1">
      <c r="A43" s="28">
        <v>37</v>
      </c>
      <c r="B43" s="17" t="s">
        <v>41</v>
      </c>
      <c r="C43" s="86">
        <v>30003545</v>
      </c>
      <c r="D43" s="1" t="s">
        <v>621</v>
      </c>
      <c r="E43" s="5" t="s">
        <v>10</v>
      </c>
      <c r="F43" s="20">
        <f>IFERROR(VLOOKUP(C43,[1]Sheet1!$A$1:$D$65536,3,0)/K43,"")</f>
        <v>0.11699999999999999</v>
      </c>
      <c r="G43" s="4"/>
      <c r="H43" s="3"/>
      <c r="I43" s="48"/>
      <c r="J43" s="57">
        <f t="shared" si="0"/>
        <v>0</v>
      </c>
      <c r="K43" s="47">
        <v>10</v>
      </c>
      <c r="L43" s="11" t="s">
        <v>620</v>
      </c>
      <c r="M43" s="191">
        <v>0</v>
      </c>
      <c r="N43" s="147">
        <f t="shared" si="1"/>
        <v>0</v>
      </c>
      <c r="O43" s="23" t="s">
        <v>713</v>
      </c>
    </row>
    <row r="44" spans="1:15" ht="30" hidden="1" customHeight="1">
      <c r="A44" s="28">
        <v>38</v>
      </c>
      <c r="B44" s="17" t="s">
        <v>41</v>
      </c>
      <c r="C44" s="86">
        <v>30001938</v>
      </c>
      <c r="D44" s="97" t="s">
        <v>169</v>
      </c>
      <c r="E44" s="34" t="s">
        <v>14</v>
      </c>
      <c r="F44" s="100">
        <f>IFERROR(VLOOKUP(C44,[1]Sheet1!$A$1:$D$65536,3,0)/K44,"")</f>
        <v>0.1915</v>
      </c>
      <c r="G44" s="34"/>
      <c r="H44" s="3"/>
      <c r="I44" s="34"/>
      <c r="J44" s="57">
        <f t="shared" si="0"/>
        <v>0</v>
      </c>
      <c r="K44" s="34">
        <v>6</v>
      </c>
      <c r="L44" s="94" t="s">
        <v>91</v>
      </c>
      <c r="M44" s="146">
        <v>4550</v>
      </c>
      <c r="N44" s="147">
        <f t="shared" si="1"/>
        <v>0</v>
      </c>
    </row>
    <row r="45" spans="1:15" ht="30" hidden="1" customHeight="1">
      <c r="A45" s="28">
        <v>39</v>
      </c>
      <c r="B45" s="4" t="s">
        <v>4</v>
      </c>
      <c r="C45" s="87">
        <v>30001800</v>
      </c>
      <c r="D45" s="196" t="s">
        <v>69</v>
      </c>
      <c r="E45" s="4" t="s">
        <v>104</v>
      </c>
      <c r="F45" s="98">
        <f>IFERROR(VLOOKUP(C45,[1]Sheet1!$A$1:$D$65536,3,0)/K45,"")</f>
        <v>0.12875</v>
      </c>
      <c r="G45" s="4"/>
      <c r="H45" s="3"/>
      <c r="I45" s="3"/>
      <c r="J45" s="57">
        <f t="shared" si="0"/>
        <v>0</v>
      </c>
      <c r="K45" s="4">
        <v>4</v>
      </c>
      <c r="L45" s="142" t="s">
        <v>82</v>
      </c>
      <c r="M45" s="146">
        <v>125000</v>
      </c>
      <c r="N45" s="147">
        <f t="shared" si="1"/>
        <v>0</v>
      </c>
    </row>
    <row r="46" spans="1:15" s="42" customFormat="1" ht="30" hidden="1" customHeight="1">
      <c r="A46" s="28">
        <v>40</v>
      </c>
      <c r="B46" s="4" t="s">
        <v>4</v>
      </c>
      <c r="C46" s="87">
        <v>30002524</v>
      </c>
      <c r="D46" s="196" t="s">
        <v>143</v>
      </c>
      <c r="E46" s="49" t="s">
        <v>11</v>
      </c>
      <c r="F46" s="185">
        <f>IFERROR(VLOOKUP(C46,[1]Sheet1!$A$1:$D$65536,3,0)/K46,"")</f>
        <v>9.4500000000000001E-2</v>
      </c>
      <c r="G46" s="49"/>
      <c r="H46" s="3"/>
      <c r="I46" s="50"/>
      <c r="J46" s="57">
        <f t="shared" ref="J46:J85" si="19">H46*K46+I46</f>
        <v>0</v>
      </c>
      <c r="K46" s="49">
        <v>4</v>
      </c>
      <c r="L46" s="143" t="s">
        <v>82</v>
      </c>
      <c r="M46" s="146">
        <v>150000</v>
      </c>
      <c r="N46" s="147">
        <f t="shared" ref="N46:N77" si="20">M46*J46</f>
        <v>0</v>
      </c>
    </row>
    <row r="47" spans="1:15" s="41" customFormat="1" ht="30" hidden="1" customHeight="1">
      <c r="A47" s="28">
        <v>41</v>
      </c>
      <c r="B47" s="4" t="s">
        <v>531</v>
      </c>
      <c r="C47" s="86">
        <v>30003264</v>
      </c>
      <c r="D47" s="110" t="s">
        <v>654</v>
      </c>
      <c r="E47" s="111" t="s">
        <v>11</v>
      </c>
      <c r="F47" s="112">
        <f>IFERROR(VLOOKUP(C47,[1]Sheet1!$A$1:$D$65536,3,0)/K47,"")</f>
        <v>0.98987499999999995</v>
      </c>
      <c r="G47" s="111" t="s">
        <v>655</v>
      </c>
      <c r="H47" s="204"/>
      <c r="I47" s="204"/>
      <c r="J47" s="57">
        <f t="shared" si="19"/>
        <v>0</v>
      </c>
      <c r="K47" s="4">
        <v>8</v>
      </c>
      <c r="L47" s="142"/>
      <c r="M47" s="191">
        <v>85200</v>
      </c>
      <c r="N47" s="147">
        <f t="shared" si="20"/>
        <v>0</v>
      </c>
    </row>
    <row r="48" spans="1:15" ht="30" customHeight="1">
      <c r="A48" s="28">
        <v>42</v>
      </c>
      <c r="B48" s="250" t="s">
        <v>628</v>
      </c>
      <c r="C48" s="87">
        <v>30001472</v>
      </c>
      <c r="D48" s="7" t="s">
        <v>601</v>
      </c>
      <c r="E48" s="4" t="s">
        <v>14</v>
      </c>
      <c r="F48" s="100">
        <f>IFERROR(VLOOKUP(C48,[1]Sheet1!$A$1:$D$65536,3,0)/K48,"")</f>
        <v>0.47449999999999998</v>
      </c>
      <c r="G48" s="17"/>
      <c r="H48" s="3">
        <v>2</v>
      </c>
      <c r="I48" s="3">
        <v>2</v>
      </c>
      <c r="J48" s="57">
        <f t="shared" si="19"/>
        <v>10</v>
      </c>
      <c r="K48" s="4">
        <v>4</v>
      </c>
      <c r="L48" s="142" t="s">
        <v>600</v>
      </c>
      <c r="M48" s="146">
        <v>12400</v>
      </c>
      <c r="N48" s="147">
        <f t="shared" si="20"/>
        <v>124000</v>
      </c>
      <c r="O48" s="23" t="s">
        <v>715</v>
      </c>
    </row>
    <row r="49" spans="1:14" ht="30" customHeight="1">
      <c r="A49" s="28">
        <v>43</v>
      </c>
      <c r="B49" s="250" t="s">
        <v>628</v>
      </c>
      <c r="C49" s="87">
        <v>30001713</v>
      </c>
      <c r="D49" s="63" t="s">
        <v>884</v>
      </c>
      <c r="E49" s="72" t="s">
        <v>12</v>
      </c>
      <c r="F49" s="98"/>
      <c r="G49" s="72"/>
      <c r="H49" s="168">
        <v>2</v>
      </c>
      <c r="I49" s="246">
        <v>2</v>
      </c>
      <c r="J49" s="247">
        <f>H49*K49+I49</f>
        <v>12</v>
      </c>
      <c r="K49" s="72">
        <v>5</v>
      </c>
      <c r="L49" s="246" t="s">
        <v>885</v>
      </c>
      <c r="M49" s="146">
        <v>14900</v>
      </c>
      <c r="N49" s="147">
        <f>M49*J49</f>
        <v>178800</v>
      </c>
    </row>
    <row r="50" spans="1:14" ht="30" customHeight="1">
      <c r="A50" s="28">
        <v>44</v>
      </c>
      <c r="B50" s="17" t="s">
        <v>692</v>
      </c>
      <c r="C50" s="87">
        <v>30003419</v>
      </c>
      <c r="D50" s="7" t="s">
        <v>703</v>
      </c>
      <c r="E50" s="4" t="s">
        <v>14</v>
      </c>
      <c r="F50" s="100">
        <f>IFERROR(VLOOKUP(C50,[1]Sheet1!$A$1:$D$65536,3,0)/K50,"")</f>
        <v>9.1219999999999999</v>
      </c>
      <c r="G50" s="17"/>
      <c r="H50" s="3">
        <v>68</v>
      </c>
      <c r="I50" s="3"/>
      <c r="J50" s="57">
        <f t="shared" ref="J50" si="21">H50*K50+I50</f>
        <v>340</v>
      </c>
      <c r="K50" s="4">
        <v>5</v>
      </c>
      <c r="L50" s="142" t="s">
        <v>81</v>
      </c>
      <c r="M50" s="146">
        <f>6300*3</f>
        <v>18900</v>
      </c>
      <c r="N50" s="147">
        <f t="shared" ref="N50" si="22">M50*J50</f>
        <v>6426000</v>
      </c>
    </row>
    <row r="51" spans="1:14" ht="30" customHeight="1">
      <c r="A51" s="28">
        <v>46</v>
      </c>
      <c r="B51" s="4" t="s">
        <v>121</v>
      </c>
      <c r="C51" s="87">
        <v>30001796</v>
      </c>
      <c r="D51" s="58" t="s">
        <v>34</v>
      </c>
      <c r="E51" s="4" t="s">
        <v>18</v>
      </c>
      <c r="F51" s="98">
        <f>IFERROR(VLOOKUP(C51,[1]Sheet1!$A$1:$D$65536,3,0)/K51,"")</f>
        <v>0.70150000000000001</v>
      </c>
      <c r="G51" s="38"/>
      <c r="H51" s="3">
        <v>3</v>
      </c>
      <c r="I51" s="3"/>
      <c r="J51" s="57">
        <f>H51*K51+I51</f>
        <v>6</v>
      </c>
      <c r="K51" s="4">
        <v>2</v>
      </c>
      <c r="L51" s="141" t="s">
        <v>81</v>
      </c>
      <c r="M51" s="146">
        <v>33000</v>
      </c>
      <c r="N51" s="147">
        <f>M51*J51</f>
        <v>198000</v>
      </c>
    </row>
    <row r="52" spans="1:14" s="40" customFormat="1" ht="30" customHeight="1">
      <c r="A52" s="28">
        <v>47</v>
      </c>
      <c r="B52" s="4" t="s">
        <v>23</v>
      </c>
      <c r="C52" s="87">
        <v>30003414</v>
      </c>
      <c r="D52" s="7" t="s">
        <v>429</v>
      </c>
      <c r="E52" s="4" t="s">
        <v>184</v>
      </c>
      <c r="F52" s="185">
        <f>IFERROR(VLOOKUP(C52,[1]Sheet1!$A$1:$D$65536,3,0)/K52,"")</f>
        <v>3.3500000000000002E-2</v>
      </c>
      <c r="G52" s="17"/>
      <c r="H52" s="3"/>
      <c r="I52" s="3">
        <v>2000</v>
      </c>
      <c r="J52" s="57">
        <f t="shared" si="19"/>
        <v>2000</v>
      </c>
      <c r="K52" s="4">
        <v>2000</v>
      </c>
      <c r="L52" s="141" t="s">
        <v>81</v>
      </c>
      <c r="M52" s="146">
        <v>67</v>
      </c>
      <c r="N52" s="147">
        <f t="shared" si="20"/>
        <v>134000</v>
      </c>
    </row>
    <row r="53" spans="1:14" s="40" customFormat="1" ht="30" customHeight="1">
      <c r="A53" s="28">
        <v>55</v>
      </c>
      <c r="B53" s="4" t="s">
        <v>23</v>
      </c>
      <c r="C53" s="87">
        <v>30001284</v>
      </c>
      <c r="D53" s="7" t="s">
        <v>594</v>
      </c>
      <c r="E53" s="4" t="s">
        <v>184</v>
      </c>
      <c r="F53" s="100">
        <f>IFERROR(VLOOKUP(C53,[1]Sheet1!$A$1:$D$65536,3,0)/K53,"")</f>
        <v>0.59433333333333327</v>
      </c>
      <c r="G53" s="17"/>
      <c r="H53" s="3"/>
      <c r="I53" s="50"/>
      <c r="J53" s="57">
        <f t="shared" ref="J53" si="23">H53*K53+I53</f>
        <v>0</v>
      </c>
      <c r="K53" s="49">
        <v>6</v>
      </c>
      <c r="L53" s="141" t="s">
        <v>188</v>
      </c>
      <c r="M53" s="146">
        <v>10000</v>
      </c>
      <c r="N53" s="147">
        <f t="shared" ref="N53" si="24">M53*J53</f>
        <v>0</v>
      </c>
    </row>
    <row r="54" spans="1:14" ht="30" customHeight="1">
      <c r="A54" s="28">
        <v>48</v>
      </c>
      <c r="B54" s="4" t="s">
        <v>23</v>
      </c>
      <c r="C54" s="87">
        <v>30001807</v>
      </c>
      <c r="D54" s="58" t="s">
        <v>164</v>
      </c>
      <c r="E54" s="4" t="s">
        <v>163</v>
      </c>
      <c r="F54" s="98">
        <f>IFERROR(VLOOKUP(C54,[1]Sheet1!$A$1:$D$65536,3,0)/K54,"")</f>
        <v>2.0749999999999998E-2</v>
      </c>
      <c r="G54" s="17"/>
      <c r="H54" s="3"/>
      <c r="I54" s="3">
        <v>4</v>
      </c>
      <c r="J54" s="57">
        <f t="shared" si="19"/>
        <v>4</v>
      </c>
      <c r="K54" s="4">
        <v>20</v>
      </c>
      <c r="L54" s="141" t="s">
        <v>82</v>
      </c>
      <c r="M54" s="191">
        <v>9600</v>
      </c>
      <c r="N54" s="147">
        <f t="shared" si="20"/>
        <v>38400</v>
      </c>
    </row>
    <row r="55" spans="1:14" ht="30" customHeight="1">
      <c r="A55" s="28">
        <v>45</v>
      </c>
      <c r="B55" s="4" t="s">
        <v>23</v>
      </c>
      <c r="C55" s="87">
        <v>30003626</v>
      </c>
      <c r="D55" s="7" t="s">
        <v>831</v>
      </c>
      <c r="E55" s="4" t="s">
        <v>18</v>
      </c>
      <c r="F55" s="100" t="str">
        <f>IFERROR(VLOOKUP(C55,[1]Sheet1!$A$1:$D$65536,3,0)/K55,"")</f>
        <v/>
      </c>
      <c r="G55" s="38"/>
      <c r="H55" s="3"/>
      <c r="I55" s="3"/>
      <c r="J55" s="57">
        <f t="shared" ref="J55" si="25">H55*K55+I55</f>
        <v>0</v>
      </c>
      <c r="K55" s="4">
        <v>20</v>
      </c>
      <c r="L55" s="141" t="s">
        <v>726</v>
      </c>
      <c r="M55" s="146">
        <v>2756</v>
      </c>
      <c r="N55" s="147">
        <f t="shared" ref="N55" si="26">M55*J55</f>
        <v>0</v>
      </c>
    </row>
    <row r="56" spans="1:14" s="40" customFormat="1" ht="30" customHeight="1">
      <c r="A56" s="28">
        <v>56</v>
      </c>
      <c r="B56" s="4" t="s">
        <v>23</v>
      </c>
      <c r="C56" s="87">
        <v>30001284</v>
      </c>
      <c r="D56" s="58" t="s">
        <v>877</v>
      </c>
      <c r="E56" s="49" t="s">
        <v>184</v>
      </c>
      <c r="F56" s="98"/>
      <c r="G56" s="62"/>
      <c r="H56" s="3"/>
      <c r="I56" s="50"/>
      <c r="J56" s="57">
        <f>H56*K56+I56</f>
        <v>0</v>
      </c>
      <c r="K56" s="49">
        <v>6</v>
      </c>
      <c r="L56" s="141" t="s">
        <v>103</v>
      </c>
      <c r="M56" s="146">
        <v>10000</v>
      </c>
      <c r="N56" s="147">
        <f>M56*J56</f>
        <v>0</v>
      </c>
    </row>
    <row r="57" spans="1:14" ht="30" customHeight="1">
      <c r="A57" s="28">
        <v>57</v>
      </c>
      <c r="B57" s="18" t="s">
        <v>23</v>
      </c>
      <c r="C57" s="83">
        <v>30001277</v>
      </c>
      <c r="D57" s="1" t="s">
        <v>605</v>
      </c>
      <c r="E57" s="5" t="s">
        <v>10</v>
      </c>
      <c r="F57" s="223">
        <f>IFERROR(VLOOKUP(C57,[1]Sheet1!$A$1:$D$65536,3,0)/K57,"")</f>
        <v>5.7699999999999994E-2</v>
      </c>
      <c r="G57" s="4"/>
      <c r="H57" s="204"/>
      <c r="I57" s="153"/>
      <c r="J57" s="57">
        <f>H57*K57+I57</f>
        <v>0</v>
      </c>
      <c r="K57" s="5">
        <v>50</v>
      </c>
      <c r="L57" s="11" t="s">
        <v>103</v>
      </c>
      <c r="M57" s="146">
        <v>3400</v>
      </c>
      <c r="N57" s="147">
        <f>M57*J57</f>
        <v>0</v>
      </c>
    </row>
    <row r="58" spans="1:14" ht="30" customHeight="1">
      <c r="A58" s="28">
        <v>49</v>
      </c>
      <c r="B58" s="4" t="s">
        <v>23</v>
      </c>
      <c r="C58" s="87">
        <v>30002547</v>
      </c>
      <c r="D58" s="7" t="s">
        <v>148</v>
      </c>
      <c r="E58" s="4" t="s">
        <v>18</v>
      </c>
      <c r="F58" s="98">
        <f>IFERROR(VLOOKUP(C58,[1]Sheet1!$A$1:$D$65536,3,0)/K58,"")</f>
        <v>5.3673000000000002</v>
      </c>
      <c r="G58" s="17"/>
      <c r="H58" s="3">
        <v>21</v>
      </c>
      <c r="I58" s="3"/>
      <c r="J58" s="57">
        <f>H58*K58+I58</f>
        <v>210</v>
      </c>
      <c r="K58" s="4">
        <v>10</v>
      </c>
      <c r="L58" s="141" t="s">
        <v>81</v>
      </c>
      <c r="M58" s="146">
        <v>2450</v>
      </c>
      <c r="N58" s="147">
        <f>M58*J58</f>
        <v>514500</v>
      </c>
    </row>
    <row r="59" spans="1:14" ht="30" customHeight="1">
      <c r="A59" s="28">
        <v>58</v>
      </c>
      <c r="B59" s="18" t="s">
        <v>23</v>
      </c>
      <c r="C59" s="87">
        <v>30002556</v>
      </c>
      <c r="D59" s="7" t="s">
        <v>881</v>
      </c>
      <c r="E59" s="5" t="s">
        <v>10</v>
      </c>
      <c r="F59" s="223"/>
      <c r="G59" s="4"/>
      <c r="H59" s="204"/>
      <c r="I59" s="153">
        <v>3</v>
      </c>
      <c r="J59" s="57">
        <f>H59*K59+I59</f>
        <v>3</v>
      </c>
      <c r="K59" s="5">
        <v>6</v>
      </c>
      <c r="L59" s="11" t="s">
        <v>603</v>
      </c>
      <c r="M59" s="146">
        <v>3400</v>
      </c>
      <c r="N59" s="147">
        <f>M59*J59</f>
        <v>10200</v>
      </c>
    </row>
    <row r="60" spans="1:14" ht="30" customHeight="1">
      <c r="A60" s="28">
        <v>50</v>
      </c>
      <c r="B60" s="4" t="s">
        <v>23</v>
      </c>
      <c r="C60" s="87">
        <v>30001169</v>
      </c>
      <c r="D60" s="7" t="s">
        <v>533</v>
      </c>
      <c r="E60" s="4" t="s">
        <v>18</v>
      </c>
      <c r="F60" s="98">
        <f>IFERROR(VLOOKUP(C60,[1]Sheet1!$A$1:$D$65536,3,0)/K60,"")</f>
        <v>1.05</v>
      </c>
      <c r="G60" s="17" t="s">
        <v>536</v>
      </c>
      <c r="H60" s="3">
        <v>8</v>
      </c>
      <c r="I60" s="3"/>
      <c r="J60" s="57">
        <f t="shared" si="19"/>
        <v>8</v>
      </c>
      <c r="K60" s="4">
        <v>1</v>
      </c>
      <c r="L60" s="141" t="s">
        <v>534</v>
      </c>
      <c r="M60" s="146">
        <v>10500</v>
      </c>
      <c r="N60" s="147">
        <f t="shared" si="20"/>
        <v>84000</v>
      </c>
    </row>
    <row r="61" spans="1:14" ht="30" customHeight="1">
      <c r="A61" s="28">
        <v>51</v>
      </c>
      <c r="B61" s="4" t="s">
        <v>23</v>
      </c>
      <c r="C61" s="87">
        <v>30001141</v>
      </c>
      <c r="D61" s="7" t="s">
        <v>165</v>
      </c>
      <c r="E61" s="4" t="s">
        <v>18</v>
      </c>
      <c r="F61" s="100">
        <f>IFERROR(VLOOKUP(C61,[1]Sheet1!$A$1:$D$65536,3,0)/K61,"")</f>
        <v>1.2270000000000001</v>
      </c>
      <c r="G61" s="4"/>
      <c r="H61" s="3">
        <v>8</v>
      </c>
      <c r="I61" s="3"/>
      <c r="J61" s="57">
        <f t="shared" si="19"/>
        <v>8</v>
      </c>
      <c r="K61" s="4">
        <v>1</v>
      </c>
      <c r="L61" s="141" t="s">
        <v>85</v>
      </c>
      <c r="M61" s="146">
        <v>9000</v>
      </c>
      <c r="N61" s="147">
        <f t="shared" si="20"/>
        <v>72000</v>
      </c>
    </row>
    <row r="62" spans="1:14" s="40" customFormat="1" ht="30" customHeight="1">
      <c r="A62" s="28">
        <v>52</v>
      </c>
      <c r="B62" s="4" t="s">
        <v>23</v>
      </c>
      <c r="C62" s="87">
        <v>30003066</v>
      </c>
      <c r="D62" s="7" t="s">
        <v>316</v>
      </c>
      <c r="E62" s="4" t="s">
        <v>184</v>
      </c>
      <c r="F62" s="100">
        <f>IFERROR(VLOOKUP(C62,[1]Sheet1!$A$1:$D$65536,3,0)/K62,"")</f>
        <v>6.7799999999999999E-2</v>
      </c>
      <c r="G62" s="17"/>
      <c r="H62" s="3"/>
      <c r="I62" s="50">
        <v>4</v>
      </c>
      <c r="J62" s="57">
        <f t="shared" si="19"/>
        <v>4</v>
      </c>
      <c r="K62" s="49">
        <v>5</v>
      </c>
      <c r="L62" s="141" t="s">
        <v>598</v>
      </c>
      <c r="M62" s="146">
        <v>8200</v>
      </c>
      <c r="N62" s="147">
        <f t="shared" si="20"/>
        <v>32800</v>
      </c>
    </row>
    <row r="63" spans="1:14" ht="30" customHeight="1">
      <c r="A63" s="28">
        <v>53</v>
      </c>
      <c r="B63" s="4" t="s">
        <v>23</v>
      </c>
      <c r="C63" s="87">
        <v>30000075</v>
      </c>
      <c r="D63" s="63" t="s">
        <v>535</v>
      </c>
      <c r="E63" s="4" t="s">
        <v>184</v>
      </c>
      <c r="F63" s="98">
        <f>IFERROR(VLOOKUP(C63,[1]Sheet1!$A$1:$D$65536,3,0)/K63,"")</f>
        <v>0.18533333333333335</v>
      </c>
      <c r="G63" s="34" t="s">
        <v>536</v>
      </c>
      <c r="H63" s="3">
        <v>1</v>
      </c>
      <c r="I63" s="34"/>
      <c r="J63" s="57">
        <f t="shared" si="19"/>
        <v>12</v>
      </c>
      <c r="K63" s="34">
        <v>12</v>
      </c>
      <c r="L63" s="94" t="s">
        <v>81</v>
      </c>
      <c r="M63" s="146">
        <v>16500</v>
      </c>
      <c r="N63" s="147">
        <f t="shared" si="20"/>
        <v>198000</v>
      </c>
    </row>
    <row r="64" spans="1:14" s="40" customFormat="1" ht="30" customHeight="1">
      <c r="A64" s="28">
        <v>54</v>
      </c>
      <c r="B64" s="4" t="s">
        <v>23</v>
      </c>
      <c r="C64" s="87">
        <v>20192510</v>
      </c>
      <c r="D64" s="58" t="s">
        <v>231</v>
      </c>
      <c r="E64" s="49" t="s">
        <v>184</v>
      </c>
      <c r="F64" s="98" t="str">
        <f>IFERROR(VLOOKUP(C64,[1]Sheet1!$A$1:$D$65536,3,0)/K64,"")</f>
        <v/>
      </c>
      <c r="G64" s="62"/>
      <c r="H64" s="3">
        <v>16</v>
      </c>
      <c r="I64" s="50"/>
      <c r="J64" s="57">
        <f t="shared" ref="J64:J69" si="27">H64*K64+I64</f>
        <v>16</v>
      </c>
      <c r="K64" s="49">
        <v>1</v>
      </c>
      <c r="L64" s="141" t="s">
        <v>81</v>
      </c>
      <c r="M64" s="191">
        <v>38000</v>
      </c>
      <c r="N64" s="147">
        <f t="shared" ref="N64:N69" si="28">M64*J64</f>
        <v>608000</v>
      </c>
    </row>
    <row r="65" spans="1:14" s="40" customFormat="1" ht="30" customHeight="1">
      <c r="A65" s="28">
        <v>54</v>
      </c>
      <c r="B65" s="4" t="s">
        <v>23</v>
      </c>
      <c r="C65" s="87">
        <v>30002327</v>
      </c>
      <c r="D65" s="58" t="s">
        <v>973</v>
      </c>
      <c r="E65" s="49" t="s">
        <v>184</v>
      </c>
      <c r="F65" s="98">
        <f>IFERROR(VLOOKUP(C65,[1]Sheet1!$A$1:$D$65536,3,0)/K65,"")</f>
        <v>2.4390000000000001</v>
      </c>
      <c r="G65" s="62"/>
      <c r="H65" s="3">
        <v>4</v>
      </c>
      <c r="I65" s="50"/>
      <c r="J65" s="57">
        <f t="shared" ref="J65" si="29">H65*K65+I65</f>
        <v>4</v>
      </c>
      <c r="K65" s="49">
        <v>1</v>
      </c>
      <c r="L65" s="141" t="s">
        <v>81</v>
      </c>
      <c r="M65" s="191">
        <v>38000</v>
      </c>
      <c r="N65" s="147">
        <f t="shared" ref="N65" si="30">M65*J65</f>
        <v>152000</v>
      </c>
    </row>
    <row r="66" spans="1:14" s="40" customFormat="1" ht="30" customHeight="1">
      <c r="A66" s="28">
        <v>54</v>
      </c>
      <c r="B66" s="4" t="s">
        <v>23</v>
      </c>
      <c r="C66" s="87">
        <v>30000385</v>
      </c>
      <c r="D66" s="58" t="s">
        <v>991</v>
      </c>
      <c r="E66" s="49" t="s">
        <v>184</v>
      </c>
      <c r="F66" s="98" t="str">
        <f>IFERROR(VLOOKUP(C66,[1]Sheet1!$A$1:$D$65536,3,0)/K66,"")</f>
        <v/>
      </c>
      <c r="G66" s="62"/>
      <c r="H66" s="3"/>
      <c r="I66" s="50">
        <v>1</v>
      </c>
      <c r="J66" s="57">
        <f t="shared" si="27"/>
        <v>1</v>
      </c>
      <c r="K66" s="49">
        <v>6</v>
      </c>
      <c r="L66" s="141" t="s">
        <v>81</v>
      </c>
      <c r="M66" s="191">
        <v>38000</v>
      </c>
      <c r="N66" s="147">
        <f t="shared" si="28"/>
        <v>38000</v>
      </c>
    </row>
    <row r="67" spans="1:14" s="40" customFormat="1" ht="30" customHeight="1">
      <c r="A67" s="28">
        <v>54</v>
      </c>
      <c r="B67" s="4" t="s">
        <v>23</v>
      </c>
      <c r="C67" s="87">
        <v>20194409</v>
      </c>
      <c r="D67" s="58" t="s">
        <v>992</v>
      </c>
      <c r="E67" s="49" t="s">
        <v>184</v>
      </c>
      <c r="F67" s="98" t="str">
        <f>IFERROR(VLOOKUP(C67,[1]Sheet1!$A$1:$D$65536,3,0)/K67,"")</f>
        <v/>
      </c>
      <c r="G67" s="62"/>
      <c r="H67" s="3">
        <v>1</v>
      </c>
      <c r="I67" s="50">
        <v>2</v>
      </c>
      <c r="J67" s="57">
        <f t="shared" si="27"/>
        <v>10</v>
      </c>
      <c r="K67" s="49">
        <v>8</v>
      </c>
      <c r="L67" s="141" t="s">
        <v>81</v>
      </c>
      <c r="M67" s="191">
        <v>38000</v>
      </c>
      <c r="N67" s="147">
        <f t="shared" si="28"/>
        <v>380000</v>
      </c>
    </row>
    <row r="68" spans="1:14" s="40" customFormat="1" ht="30" customHeight="1">
      <c r="A68" s="28">
        <v>54</v>
      </c>
      <c r="B68" s="4" t="s">
        <v>23</v>
      </c>
      <c r="C68" s="87">
        <v>30000253</v>
      </c>
      <c r="D68" s="58" t="s">
        <v>993</v>
      </c>
      <c r="E68" s="49" t="s">
        <v>184</v>
      </c>
      <c r="F68" s="98" t="str">
        <f>IFERROR(VLOOKUP(C68,[1]Sheet1!$A$1:$D$65536,3,0)/K68,"")</f>
        <v/>
      </c>
      <c r="G68" s="62"/>
      <c r="H68" s="3"/>
      <c r="I68" s="50">
        <v>2</v>
      </c>
      <c r="J68" s="57">
        <f t="shared" ref="J68" si="31">H68*K68+I68</f>
        <v>2</v>
      </c>
      <c r="K68" s="49">
        <v>6</v>
      </c>
      <c r="L68" s="141" t="s">
        <v>81</v>
      </c>
      <c r="M68" s="191">
        <v>38000</v>
      </c>
      <c r="N68" s="147">
        <f t="shared" ref="N68" si="32">M68*J68</f>
        <v>76000</v>
      </c>
    </row>
    <row r="69" spans="1:14" s="40" customFormat="1" ht="30" customHeight="1">
      <c r="A69" s="28">
        <v>54</v>
      </c>
      <c r="B69" s="4" t="s">
        <v>23</v>
      </c>
      <c r="C69" s="87">
        <v>30003717</v>
      </c>
      <c r="D69" s="58" t="s">
        <v>1001</v>
      </c>
      <c r="E69" s="49" t="s">
        <v>184</v>
      </c>
      <c r="F69" s="98" t="str">
        <f>IFERROR(VLOOKUP(C69,[1]Sheet1!$A$1:$D$65536,3,0)/K69,"")</f>
        <v/>
      </c>
      <c r="G69" s="62"/>
      <c r="H69" s="3"/>
      <c r="I69" s="50">
        <v>3</v>
      </c>
      <c r="J69" s="57">
        <f t="shared" si="27"/>
        <v>3</v>
      </c>
      <c r="K69" s="49">
        <v>6</v>
      </c>
      <c r="L69" s="141" t="s">
        <v>81</v>
      </c>
      <c r="M69" s="191">
        <v>38000</v>
      </c>
      <c r="N69" s="147">
        <f t="shared" si="28"/>
        <v>114000</v>
      </c>
    </row>
    <row r="70" spans="1:14" s="40" customFormat="1" ht="30" customHeight="1">
      <c r="A70" s="28">
        <v>59</v>
      </c>
      <c r="B70" s="141" t="s">
        <v>364</v>
      </c>
      <c r="C70" s="87">
        <v>30002766</v>
      </c>
      <c r="D70" s="7" t="s">
        <v>214</v>
      </c>
      <c r="E70" s="4" t="s">
        <v>184</v>
      </c>
      <c r="F70" s="100">
        <f>IFERROR(VLOOKUP(C70,[1]Sheet1!$A$1:$D$65536,3,0)/K70,"")</f>
        <v>2.8125</v>
      </c>
      <c r="G70" s="17"/>
      <c r="H70" s="3">
        <v>12</v>
      </c>
      <c r="I70" s="50">
        <v>3</v>
      </c>
      <c r="J70" s="57">
        <f>H70*K70+I70</f>
        <v>51</v>
      </c>
      <c r="K70" s="49">
        <v>4</v>
      </c>
      <c r="L70" s="141" t="s">
        <v>593</v>
      </c>
      <c r="M70" s="146">
        <v>4396</v>
      </c>
      <c r="N70" s="147">
        <f>M70*J70</f>
        <v>224196</v>
      </c>
    </row>
    <row r="71" spans="1:14" ht="30" customHeight="1">
      <c r="A71" s="28">
        <v>60</v>
      </c>
      <c r="B71" s="35" t="s">
        <v>814</v>
      </c>
      <c r="C71" s="87">
        <v>30002883</v>
      </c>
      <c r="D71" s="63" t="s">
        <v>431</v>
      </c>
      <c r="E71" s="72" t="s">
        <v>14</v>
      </c>
      <c r="F71" s="185">
        <f>IFERROR(VLOOKUP(C71,[1]Sheet1!$A$1:$D$65536,3,0)/K71,"")</f>
        <v>8.8999999999999999E-3</v>
      </c>
      <c r="G71" s="49"/>
      <c r="H71" s="3"/>
      <c r="I71" s="50">
        <v>7</v>
      </c>
      <c r="J71" s="57">
        <f t="shared" si="19"/>
        <v>7</v>
      </c>
      <c r="K71" s="34">
        <v>10</v>
      </c>
      <c r="L71" s="94" t="s">
        <v>91</v>
      </c>
      <c r="M71" s="146">
        <v>10000</v>
      </c>
      <c r="N71" s="147">
        <f t="shared" si="20"/>
        <v>70000</v>
      </c>
    </row>
    <row r="72" spans="1:14" ht="30" customHeight="1">
      <c r="A72" s="28">
        <v>61</v>
      </c>
      <c r="B72" s="35" t="s">
        <v>814</v>
      </c>
      <c r="C72" s="87">
        <v>30003399</v>
      </c>
      <c r="D72" s="97" t="s">
        <v>339</v>
      </c>
      <c r="E72" s="34" t="s">
        <v>36</v>
      </c>
      <c r="F72" s="98">
        <f>IFERROR(VLOOKUP(C72,[1]Sheet1!$A$1:$D$65536,3,0)/K72,"")</f>
        <v>0.20983333333333332</v>
      </c>
      <c r="G72" s="34"/>
      <c r="H72" s="3"/>
      <c r="I72" s="34"/>
      <c r="J72" s="57">
        <f t="shared" si="19"/>
        <v>0</v>
      </c>
      <c r="K72" s="34">
        <v>6</v>
      </c>
      <c r="L72" s="94" t="s">
        <v>91</v>
      </c>
      <c r="M72" s="146">
        <v>22000</v>
      </c>
      <c r="N72" s="147">
        <f t="shared" si="20"/>
        <v>0</v>
      </c>
    </row>
    <row r="73" spans="1:14" ht="30" customHeight="1">
      <c r="A73" s="28">
        <v>62</v>
      </c>
      <c r="B73" s="35" t="s">
        <v>814</v>
      </c>
      <c r="C73" s="87">
        <v>30000006</v>
      </c>
      <c r="D73" s="63" t="s">
        <v>167</v>
      </c>
      <c r="E73" s="34" t="s">
        <v>159</v>
      </c>
      <c r="F73" s="98">
        <f>IFERROR(VLOOKUP(C73,[1]Sheet1!$A$1:$D$65536,3,0)/K73,"")</f>
        <v>3.2907999999999999</v>
      </c>
      <c r="G73" s="4"/>
      <c r="H73" s="3">
        <v>10</v>
      </c>
      <c r="I73" s="34"/>
      <c r="J73" s="57">
        <f t="shared" si="19"/>
        <v>100</v>
      </c>
      <c r="K73" s="34">
        <v>10</v>
      </c>
      <c r="L73" s="94" t="s">
        <v>91</v>
      </c>
      <c r="M73" s="146">
        <v>6900</v>
      </c>
      <c r="N73" s="147">
        <f t="shared" si="20"/>
        <v>690000</v>
      </c>
    </row>
    <row r="74" spans="1:14" ht="30" customHeight="1">
      <c r="A74" s="28">
        <v>63</v>
      </c>
      <c r="B74" s="35" t="s">
        <v>814</v>
      </c>
      <c r="C74" s="87">
        <v>10301023</v>
      </c>
      <c r="D74" s="63" t="s">
        <v>42</v>
      </c>
      <c r="E74" s="34" t="s">
        <v>14</v>
      </c>
      <c r="F74" s="98">
        <f>IFERROR(VLOOKUP(C74,[1]Sheet1!$A$1:$D$65536,3,0)/K74,"")</f>
        <v>4.1938333333333331</v>
      </c>
      <c r="G74" s="34"/>
      <c r="H74" s="3">
        <v>21</v>
      </c>
      <c r="I74" s="34"/>
      <c r="J74" s="57">
        <f t="shared" si="19"/>
        <v>126</v>
      </c>
      <c r="K74" s="34">
        <v>6</v>
      </c>
      <c r="L74" s="94" t="s">
        <v>91</v>
      </c>
      <c r="M74" s="146">
        <v>13700</v>
      </c>
      <c r="N74" s="147">
        <f t="shared" si="20"/>
        <v>1726200</v>
      </c>
    </row>
    <row r="75" spans="1:14" ht="30" customHeight="1">
      <c r="A75" s="28">
        <v>64</v>
      </c>
      <c r="B75" s="35" t="s">
        <v>814</v>
      </c>
      <c r="C75" s="87">
        <v>30000007</v>
      </c>
      <c r="D75" s="63" t="s">
        <v>168</v>
      </c>
      <c r="E75" s="34" t="s">
        <v>14</v>
      </c>
      <c r="F75" s="98">
        <f>IFERROR(VLOOKUP(C75,[1]Sheet1!$A$1:$D$65536,3,0)/K75,"")</f>
        <v>1.087</v>
      </c>
      <c r="G75" s="34"/>
      <c r="H75" s="3">
        <v>5</v>
      </c>
      <c r="I75" s="34"/>
      <c r="J75" s="57">
        <f t="shared" ref="J75" si="33">H75*K75+I75</f>
        <v>5</v>
      </c>
      <c r="K75" s="34">
        <v>1</v>
      </c>
      <c r="L75" s="94" t="s">
        <v>91</v>
      </c>
      <c r="M75" s="146">
        <v>132000</v>
      </c>
      <c r="N75" s="147">
        <f t="shared" ref="N75" si="34">M75*J75</f>
        <v>660000</v>
      </c>
    </row>
    <row r="76" spans="1:14" ht="30" customHeight="1">
      <c r="A76" s="28">
        <v>66</v>
      </c>
      <c r="B76" s="141" t="s">
        <v>262</v>
      </c>
      <c r="C76" s="87">
        <v>30002769</v>
      </c>
      <c r="D76" s="58" t="s">
        <v>235</v>
      </c>
      <c r="E76" s="49" t="s">
        <v>104</v>
      </c>
      <c r="F76" s="98">
        <f>IFERROR(VLOOKUP(C76,[1]Sheet1!$A$1:$D$65536,3,0)/K76,"")</f>
        <v>2.0036666666666667</v>
      </c>
      <c r="G76" s="49"/>
      <c r="H76" s="3">
        <v>1</v>
      </c>
      <c r="I76" s="3">
        <v>2</v>
      </c>
      <c r="J76" s="57">
        <f>H76*K76+I76</f>
        <v>5</v>
      </c>
      <c r="K76" s="4">
        <v>3</v>
      </c>
      <c r="L76" s="142" t="s">
        <v>82</v>
      </c>
      <c r="M76" s="146">
        <v>11400</v>
      </c>
      <c r="N76" s="147">
        <f>M76*J76</f>
        <v>57000</v>
      </c>
    </row>
    <row r="77" spans="1:14" ht="30" customHeight="1">
      <c r="A77" s="28">
        <v>67</v>
      </c>
      <c r="B77" s="230" t="s">
        <v>815</v>
      </c>
      <c r="C77" s="87">
        <v>30002511</v>
      </c>
      <c r="D77" s="51" t="s">
        <v>102</v>
      </c>
      <c r="E77" s="5" t="s">
        <v>10</v>
      </c>
      <c r="F77" s="98">
        <f>IFERROR(VLOOKUP(C77,[1]Sheet1!$A$1:$D$65536,3,0)/K77,"")</f>
        <v>7.8003333333333336</v>
      </c>
      <c r="G77" s="4"/>
      <c r="H77" s="3">
        <v>78</v>
      </c>
      <c r="I77" s="3"/>
      <c r="J77" s="57">
        <f t="shared" si="19"/>
        <v>1872</v>
      </c>
      <c r="K77" s="5">
        <v>24</v>
      </c>
      <c r="L77" s="11" t="s">
        <v>83</v>
      </c>
      <c r="M77" s="146">
        <v>2390</v>
      </c>
      <c r="N77" s="147">
        <f t="shared" si="20"/>
        <v>4474080</v>
      </c>
    </row>
    <row r="78" spans="1:14" ht="30" hidden="1" customHeight="1">
      <c r="A78" s="28">
        <v>68</v>
      </c>
      <c r="B78" s="18" t="s">
        <v>494</v>
      </c>
      <c r="C78" s="83"/>
      <c r="D78" s="117" t="s">
        <v>856</v>
      </c>
      <c r="E78" s="118" t="s">
        <v>10</v>
      </c>
      <c r="F78" s="112" t="str">
        <f>IFERROR(VLOOKUP(C78,[3]Sheet1!$A$1:$D$65536,3,0)/K78,"")</f>
        <v/>
      </c>
      <c r="G78" s="111" t="s">
        <v>264</v>
      </c>
      <c r="H78" s="154"/>
      <c r="I78" s="153"/>
      <c r="J78" s="57">
        <f t="shared" si="19"/>
        <v>0</v>
      </c>
      <c r="K78" s="5">
        <v>15</v>
      </c>
      <c r="L78" s="11"/>
      <c r="M78" s="191">
        <v>2700</v>
      </c>
      <c r="N78" s="147">
        <f t="shared" ref="N78" si="35">M78*J78</f>
        <v>0</v>
      </c>
    </row>
    <row r="79" spans="1:14" ht="30" hidden="1" customHeight="1">
      <c r="A79" s="28">
        <v>69</v>
      </c>
      <c r="B79" s="18" t="s">
        <v>490</v>
      </c>
      <c r="C79" s="83"/>
      <c r="D79" s="117" t="s">
        <v>491</v>
      </c>
      <c r="E79" s="118" t="s">
        <v>10</v>
      </c>
      <c r="F79" s="112" t="str">
        <f>IFERROR(VLOOKUP(C79,[3]Sheet1!$A$1:$D$65536,3,0)/K79,"")</f>
        <v/>
      </c>
      <c r="G79" s="111" t="s">
        <v>264</v>
      </c>
      <c r="H79" s="154"/>
      <c r="I79" s="153"/>
      <c r="J79" s="57">
        <f t="shared" si="19"/>
        <v>0</v>
      </c>
      <c r="K79" s="5">
        <v>10</v>
      </c>
      <c r="L79" s="11"/>
      <c r="M79" s="146"/>
      <c r="N79" s="147">
        <f t="shared" ref="N79" si="36">M79*J79</f>
        <v>0</v>
      </c>
    </row>
    <row r="80" spans="1:14" ht="30" hidden="1" customHeight="1">
      <c r="A80" s="28">
        <v>70</v>
      </c>
      <c r="B80" s="18" t="s">
        <v>23</v>
      </c>
      <c r="C80" s="83"/>
      <c r="D80" s="117" t="s">
        <v>495</v>
      </c>
      <c r="E80" s="118" t="s">
        <v>10</v>
      </c>
      <c r="F80" s="112" t="str">
        <f>IFERROR(VLOOKUP(C80,[3]Sheet1!$A$1:$D$65536,3,0)/K80,"")</f>
        <v/>
      </c>
      <c r="G80" s="111" t="s">
        <v>264</v>
      </c>
      <c r="H80" s="3"/>
      <c r="I80" s="153"/>
      <c r="J80" s="57">
        <f t="shared" si="19"/>
        <v>0</v>
      </c>
      <c r="K80" s="5">
        <v>10</v>
      </c>
      <c r="L80" s="11"/>
      <c r="M80" s="192">
        <v>7800</v>
      </c>
      <c r="N80" s="147">
        <f t="shared" ref="N80:N89" si="37">M80*J80</f>
        <v>0</v>
      </c>
    </row>
    <row r="81" spans="1:15" ht="30" hidden="1" customHeight="1">
      <c r="A81" s="28">
        <v>71</v>
      </c>
      <c r="B81" s="18" t="s">
        <v>260</v>
      </c>
      <c r="C81" s="83"/>
      <c r="D81" s="117" t="s">
        <v>496</v>
      </c>
      <c r="E81" s="118" t="s">
        <v>10</v>
      </c>
      <c r="F81" s="112" t="str">
        <f>IFERROR(VLOOKUP(C81,[3]Sheet1!$A$1:$D$65536,3,0)/K81,"")</f>
        <v/>
      </c>
      <c r="G81" s="111" t="s">
        <v>264</v>
      </c>
      <c r="H81" s="154"/>
      <c r="I81" s="153"/>
      <c r="J81" s="57">
        <f t="shared" si="19"/>
        <v>0</v>
      </c>
      <c r="K81" s="5">
        <v>4</v>
      </c>
      <c r="L81" s="11"/>
      <c r="M81" s="192">
        <v>15000</v>
      </c>
      <c r="N81" s="147">
        <f t="shared" si="37"/>
        <v>0</v>
      </c>
    </row>
    <row r="82" spans="1:15" ht="30" hidden="1" customHeight="1">
      <c r="A82" s="28">
        <v>72</v>
      </c>
      <c r="B82" s="17" t="s">
        <v>628</v>
      </c>
      <c r="C82" s="86">
        <v>30002680</v>
      </c>
      <c r="D82" s="110" t="s">
        <v>432</v>
      </c>
      <c r="E82" s="111" t="s">
        <v>659</v>
      </c>
      <c r="F82" s="112" t="str">
        <f>IFERROR(VLOOKUP(C82,[3]Sheet1!$A$1:$D$65536,3,0)/K82,"")</f>
        <v/>
      </c>
      <c r="G82" s="114" t="s">
        <v>658</v>
      </c>
      <c r="H82" s="3"/>
      <c r="I82" s="3"/>
      <c r="J82" s="57">
        <f t="shared" si="19"/>
        <v>0</v>
      </c>
      <c r="K82" s="4">
        <v>1</v>
      </c>
      <c r="L82" s="142" t="s">
        <v>436</v>
      </c>
      <c r="M82" s="191">
        <v>11660</v>
      </c>
      <c r="N82" s="147">
        <f t="shared" si="37"/>
        <v>0</v>
      </c>
    </row>
    <row r="83" spans="1:15" ht="30" customHeight="1">
      <c r="A83" s="28">
        <v>73</v>
      </c>
      <c r="B83" s="17" t="s">
        <v>41</v>
      </c>
      <c r="C83" s="83">
        <v>30003647</v>
      </c>
      <c r="D83" s="115" t="s">
        <v>39</v>
      </c>
      <c r="E83" s="116" t="s">
        <v>12</v>
      </c>
      <c r="F83" s="112" t="str">
        <f>IFERROR(VLOOKUP(C83,[3]Sheet1!$A$1:$D$65536,3,0)/K83,"")</f>
        <v/>
      </c>
      <c r="G83" s="116" t="s">
        <v>264</v>
      </c>
      <c r="H83" s="154"/>
      <c r="I83" s="94"/>
      <c r="J83" s="57">
        <f t="shared" si="19"/>
        <v>0</v>
      </c>
      <c r="K83" s="34">
        <v>5</v>
      </c>
      <c r="L83" s="94" t="s">
        <v>387</v>
      </c>
      <c r="M83" s="146">
        <v>14900</v>
      </c>
      <c r="N83" s="147">
        <f t="shared" si="37"/>
        <v>0</v>
      </c>
    </row>
    <row r="84" spans="1:15" ht="30" customHeight="1">
      <c r="A84" s="28">
        <v>74</v>
      </c>
      <c r="B84" s="17" t="s">
        <v>41</v>
      </c>
      <c r="C84" s="245">
        <v>30003685</v>
      </c>
      <c r="D84" s="51" t="s">
        <v>918</v>
      </c>
      <c r="E84" s="72"/>
      <c r="F84" s="98"/>
      <c r="G84" s="72"/>
      <c r="H84" s="168"/>
      <c r="I84" s="246"/>
      <c r="J84" s="57">
        <f t="shared" si="19"/>
        <v>0</v>
      </c>
      <c r="K84" s="72">
        <v>24</v>
      </c>
      <c r="L84" s="246"/>
      <c r="M84" s="146">
        <v>5300</v>
      </c>
      <c r="N84" s="147">
        <f t="shared" si="37"/>
        <v>0</v>
      </c>
    </row>
    <row r="85" spans="1:15" ht="30" customHeight="1">
      <c r="A85" s="28">
        <v>75</v>
      </c>
      <c r="B85" s="62" t="s">
        <v>1205</v>
      </c>
      <c r="C85" s="245">
        <v>30003768</v>
      </c>
      <c r="D85" s="63" t="s">
        <v>1206</v>
      </c>
      <c r="E85" s="72" t="s">
        <v>10</v>
      </c>
      <c r="F85" s="98"/>
      <c r="G85" s="72"/>
      <c r="H85" s="168">
        <v>5</v>
      </c>
      <c r="I85" s="246"/>
      <c r="J85" s="57">
        <f t="shared" si="19"/>
        <v>160</v>
      </c>
      <c r="K85" s="72">
        <v>32</v>
      </c>
      <c r="L85" s="246"/>
      <c r="M85" s="146">
        <v>110</v>
      </c>
      <c r="N85" s="147">
        <f t="shared" si="37"/>
        <v>17600</v>
      </c>
    </row>
    <row r="86" spans="1:15" ht="30" customHeight="1">
      <c r="A86" s="28">
        <v>76</v>
      </c>
      <c r="B86" s="62"/>
      <c r="C86" s="245"/>
      <c r="D86" s="63"/>
      <c r="E86" s="72"/>
      <c r="F86" s="98"/>
      <c r="G86" s="72"/>
      <c r="H86" s="168"/>
      <c r="I86" s="246"/>
      <c r="J86" s="247"/>
      <c r="K86" s="72"/>
      <c r="L86" s="246"/>
      <c r="M86" s="146">
        <v>14900</v>
      </c>
      <c r="N86" s="147">
        <f t="shared" si="37"/>
        <v>0</v>
      </c>
    </row>
    <row r="87" spans="1:15" ht="30" customHeight="1">
      <c r="A87" s="28">
        <v>76</v>
      </c>
      <c r="B87" s="62"/>
      <c r="C87" s="245"/>
      <c r="D87" s="63"/>
      <c r="E87" s="72"/>
      <c r="F87" s="98"/>
      <c r="G87" s="72"/>
      <c r="H87" s="168"/>
      <c r="I87" s="246"/>
      <c r="J87" s="247"/>
      <c r="K87" s="72"/>
      <c r="L87" s="246"/>
      <c r="M87" s="146">
        <v>14900</v>
      </c>
      <c r="N87" s="147">
        <f t="shared" ref="N87" si="38">M87*J87</f>
        <v>0</v>
      </c>
    </row>
    <row r="88" spans="1:15" ht="30" customHeight="1">
      <c r="A88" s="28">
        <v>76</v>
      </c>
      <c r="B88" s="62"/>
      <c r="C88" s="245"/>
      <c r="D88" s="63"/>
      <c r="E88" s="72"/>
      <c r="F88" s="98"/>
      <c r="G88" s="72"/>
      <c r="H88" s="168"/>
      <c r="I88" s="246"/>
      <c r="J88" s="247"/>
      <c r="K88" s="72"/>
      <c r="L88" s="246"/>
      <c r="M88" s="146">
        <v>14900</v>
      </c>
      <c r="N88" s="147">
        <f t="shared" si="37"/>
        <v>0</v>
      </c>
    </row>
    <row r="89" spans="1:15" s="40" customFormat="1" ht="30" hidden="1" customHeight="1">
      <c r="A89" s="28">
        <v>74</v>
      </c>
      <c r="B89" s="4" t="s">
        <v>23</v>
      </c>
      <c r="C89" s="87"/>
      <c r="D89" s="110" t="s">
        <v>554</v>
      </c>
      <c r="E89" s="111" t="s">
        <v>184</v>
      </c>
      <c r="F89" s="112" t="str">
        <f>IFERROR(VLOOKUP(C89,[3]Sheet1!$A$1:$D$65536,3,0)/K89,"")</f>
        <v/>
      </c>
      <c r="G89" s="114" t="s">
        <v>555</v>
      </c>
      <c r="H89" s="3"/>
      <c r="I89" s="168"/>
      <c r="J89" s="57">
        <f t="shared" ref="J89:J90" si="39">H89*K89+I89</f>
        <v>0</v>
      </c>
      <c r="K89" s="49">
        <v>6</v>
      </c>
      <c r="L89" s="141"/>
      <c r="M89" s="146">
        <v>7300</v>
      </c>
      <c r="N89" s="147">
        <f t="shared" si="37"/>
        <v>0</v>
      </c>
    </row>
    <row r="90" spans="1:15" s="40" customFormat="1" ht="30" hidden="1" customHeight="1">
      <c r="A90" s="28">
        <v>75</v>
      </c>
      <c r="B90" s="4" t="s">
        <v>23</v>
      </c>
      <c r="C90" s="87"/>
      <c r="D90" s="110" t="s">
        <v>556</v>
      </c>
      <c r="E90" s="111" t="s">
        <v>184</v>
      </c>
      <c r="F90" s="112" t="str">
        <f>IFERROR(VLOOKUP(C90,[3]Sheet1!$A$1:$D$65536,3,0)/K90,"")</f>
        <v/>
      </c>
      <c r="G90" s="114" t="s">
        <v>555</v>
      </c>
      <c r="H90" s="3"/>
      <c r="I90" s="168"/>
      <c r="J90" s="57">
        <f t="shared" si="39"/>
        <v>0</v>
      </c>
      <c r="K90" s="49">
        <v>2</v>
      </c>
      <c r="L90" s="141"/>
      <c r="M90" s="146">
        <v>34000</v>
      </c>
      <c r="N90" s="147">
        <f t="shared" ref="N90" si="40">M90*J90</f>
        <v>0</v>
      </c>
    </row>
    <row r="91" spans="1:15" ht="30" hidden="1" customHeight="1">
      <c r="A91" s="28">
        <v>76</v>
      </c>
      <c r="B91" s="18" t="s">
        <v>260</v>
      </c>
      <c r="C91" s="83"/>
      <c r="D91" s="117" t="s">
        <v>552</v>
      </c>
      <c r="E91" s="118" t="s">
        <v>10</v>
      </c>
      <c r="F91" s="112" t="str">
        <f>IFERROR(VLOOKUP(C91,[3]Sheet1!$A$1:$D$65536,3,0)/K91,"")</f>
        <v/>
      </c>
      <c r="G91" s="111" t="s">
        <v>497</v>
      </c>
      <c r="H91" s="3"/>
      <c r="I91" s="153"/>
      <c r="J91" s="57">
        <f t="shared" ref="J91" si="41">H91*K91+I91</f>
        <v>0</v>
      </c>
      <c r="K91" s="5">
        <v>5</v>
      </c>
      <c r="L91" s="11"/>
      <c r="M91" s="146">
        <v>7220</v>
      </c>
      <c r="N91" s="147">
        <f t="shared" ref="N91" si="42">M91*J91</f>
        <v>0</v>
      </c>
    </row>
    <row r="92" spans="1:15" ht="30" customHeight="1">
      <c r="A92" s="28">
        <v>17</v>
      </c>
      <c r="B92" s="4" t="s">
        <v>60</v>
      </c>
      <c r="C92" s="86"/>
      <c r="D92" s="58" t="s">
        <v>892</v>
      </c>
      <c r="E92" s="49" t="s">
        <v>11</v>
      </c>
      <c r="F92" s="98" t="str">
        <f>IFERROR(VLOOKUP(C92,[1]Sheet1!$A$1:$D$65536,3,0)/K92,"")</f>
        <v/>
      </c>
      <c r="G92" s="49"/>
      <c r="H92" s="3"/>
      <c r="I92" s="3"/>
      <c r="J92" s="57">
        <f t="shared" ref="J92" si="43">H92*K92+I92</f>
        <v>0</v>
      </c>
      <c r="K92" s="4">
        <v>32</v>
      </c>
      <c r="L92" s="142"/>
      <c r="M92" s="146">
        <f>511200/8</f>
        <v>63900</v>
      </c>
      <c r="N92" s="147">
        <f t="shared" ref="N92" si="44">M92*J92</f>
        <v>0</v>
      </c>
    </row>
    <row r="93" spans="1:15" ht="30" customHeight="1">
      <c r="A93" s="28">
        <v>9</v>
      </c>
      <c r="B93" s="17" t="s">
        <v>661</v>
      </c>
      <c r="C93" s="86">
        <v>30002970</v>
      </c>
      <c r="D93" s="58" t="s">
        <v>874</v>
      </c>
      <c r="E93" s="49" t="s">
        <v>14</v>
      </c>
      <c r="F93" s="98"/>
      <c r="G93" s="62"/>
      <c r="H93" s="3"/>
      <c r="I93" s="3"/>
      <c r="J93" s="57">
        <f>H93*K93+I93</f>
        <v>0</v>
      </c>
      <c r="K93" s="4">
        <v>300</v>
      </c>
      <c r="L93" s="142" t="s">
        <v>82</v>
      </c>
      <c r="M93" s="191">
        <v>6530</v>
      </c>
      <c r="N93" s="147">
        <f>M93*J93</f>
        <v>0</v>
      </c>
      <c r="O93" s="23" t="s">
        <v>711</v>
      </c>
    </row>
    <row r="94" spans="1:15" ht="30" customHeight="1">
      <c r="A94" s="28">
        <v>3</v>
      </c>
      <c r="B94" s="250" t="s">
        <v>813</v>
      </c>
      <c r="C94" s="86">
        <v>30003622</v>
      </c>
      <c r="D94" s="7" t="s">
        <v>1210</v>
      </c>
      <c r="E94" s="4" t="s">
        <v>107</v>
      </c>
      <c r="F94" s="100" t="str">
        <f>IFERROR(VLOOKUP(C94,[1]Sheet1!$A$1:$D$65536,3,0)/K94,"")</f>
        <v/>
      </c>
      <c r="G94" s="244"/>
      <c r="H94" s="3"/>
      <c r="I94" s="3"/>
      <c r="J94" s="57">
        <f>H94*K94+I94</f>
        <v>0</v>
      </c>
      <c r="K94" s="4">
        <v>4</v>
      </c>
      <c r="L94" s="94" t="s">
        <v>835</v>
      </c>
      <c r="M94" s="191"/>
      <c r="N94" s="147">
        <f>M94*J94</f>
        <v>0</v>
      </c>
    </row>
    <row r="95" spans="1:15" ht="30" customHeight="1">
      <c r="A95" s="28"/>
      <c r="B95" s="18"/>
      <c r="C95" s="83"/>
      <c r="D95" s="1"/>
      <c r="E95" s="5"/>
      <c r="F95" s="100"/>
      <c r="G95" s="4"/>
      <c r="H95" s="3"/>
      <c r="I95" s="10"/>
      <c r="J95" s="57"/>
      <c r="K95" s="5"/>
      <c r="L95" s="14"/>
      <c r="M95" s="150" t="s">
        <v>528</v>
      </c>
      <c r="N95" s="149">
        <f>SUM(N5:N91)</f>
        <v>124813525.9999</v>
      </c>
    </row>
    <row r="96" spans="1:15" ht="30" customHeight="1">
      <c r="A96" s="28"/>
      <c r="B96" s="17" t="s">
        <v>259</v>
      </c>
      <c r="C96" s="86">
        <v>30001937</v>
      </c>
      <c r="D96" s="221" t="s">
        <v>64</v>
      </c>
      <c r="E96" s="222" t="s">
        <v>157</v>
      </c>
      <c r="F96" s="219" t="str">
        <f>IFERROR(VLOOKUP(C96,[2]Sheet1!$A$1:$D$65536,3,0)/K96,"")</f>
        <v/>
      </c>
      <c r="G96" s="220"/>
      <c r="H96" s="204"/>
      <c r="I96" s="34"/>
      <c r="J96" s="57">
        <f>H96*K96+I96</f>
        <v>0</v>
      </c>
      <c r="K96" s="4">
        <v>1</v>
      </c>
      <c r="L96" s="94" t="s">
        <v>81</v>
      </c>
      <c r="M96" s="146">
        <v>200000</v>
      </c>
      <c r="N96" s="147">
        <f>M96*J96</f>
        <v>0</v>
      </c>
    </row>
    <row r="97" spans="1:15" ht="30" customHeight="1">
      <c r="A97" s="28"/>
      <c r="B97" s="4" t="s">
        <v>23</v>
      </c>
      <c r="C97" s="206">
        <v>30001407</v>
      </c>
      <c r="D97" s="214" t="s">
        <v>679</v>
      </c>
      <c r="E97" s="4" t="s">
        <v>184</v>
      </c>
      <c r="F97" s="98" t="str">
        <f>IFERROR(VLOOKUP(C97,[2]Sheet1!$A$1:$D$65536,3,0)/K97,"")</f>
        <v/>
      </c>
      <c r="G97" s="215" t="s">
        <v>720</v>
      </c>
      <c r="H97" s="204"/>
      <c r="I97" s="218"/>
      <c r="J97" s="57">
        <f t="shared" ref="J97" si="45">H97*K97+I97</f>
        <v>0</v>
      </c>
      <c r="K97" s="34">
        <v>6</v>
      </c>
      <c r="L97" s="94" t="s">
        <v>677</v>
      </c>
      <c r="M97" s="191">
        <v>6100</v>
      </c>
      <c r="N97" s="147">
        <f t="shared" ref="N97" si="46">M97*J97</f>
        <v>0</v>
      </c>
      <c r="O97" s="23" t="s">
        <v>710</v>
      </c>
    </row>
    <row r="98" spans="1:15" ht="30" customHeight="1">
      <c r="A98" s="28"/>
      <c r="B98" s="4" t="s">
        <v>23</v>
      </c>
      <c r="C98" s="206">
        <v>30002948</v>
      </c>
      <c r="D98" s="214" t="s">
        <v>680</v>
      </c>
      <c r="E98" s="4" t="s">
        <v>184</v>
      </c>
      <c r="F98" s="98" t="str">
        <f>IFERROR(VLOOKUP(C98,[2]Sheet1!$A$1:$D$65536,3,0)/K98,"")</f>
        <v/>
      </c>
      <c r="G98" s="215" t="s">
        <v>720</v>
      </c>
      <c r="H98" s="204"/>
      <c r="I98" s="218"/>
      <c r="J98" s="57">
        <f>H98*K98+I98</f>
        <v>0</v>
      </c>
      <c r="K98" s="34">
        <v>6</v>
      </c>
      <c r="L98" s="94" t="s">
        <v>677</v>
      </c>
      <c r="M98" s="191">
        <v>5800</v>
      </c>
      <c r="N98" s="147">
        <f>M98*J98</f>
        <v>0</v>
      </c>
      <c r="O98" s="23" t="s">
        <v>710</v>
      </c>
    </row>
    <row r="99" spans="1:15" s="21" customFormat="1" ht="30" customHeight="1">
      <c r="A99" s="28"/>
      <c r="B99" s="18" t="s">
        <v>670</v>
      </c>
      <c r="C99" s="83">
        <v>30003589</v>
      </c>
      <c r="D99" s="199" t="s">
        <v>671</v>
      </c>
      <c r="E99" s="5" t="s">
        <v>12</v>
      </c>
      <c r="F99" s="98">
        <f>IFERROR(VLOOKUP(C99,[2]Sheet1!$A$1:$D$65536,3,0)/K99,"")</f>
        <v>6.958333333333333E-2</v>
      </c>
      <c r="G99" s="187" t="s">
        <v>719</v>
      </c>
      <c r="H99" s="204"/>
      <c r="I99" s="200"/>
      <c r="J99" s="57">
        <f t="shared" ref="J99" si="47">H99*K99+I99</f>
        <v>0</v>
      </c>
      <c r="K99" s="5">
        <v>24</v>
      </c>
      <c r="L99" s="11" t="s">
        <v>672</v>
      </c>
      <c r="M99" s="191">
        <v>19600</v>
      </c>
      <c r="N99" s="147">
        <f t="shared" ref="N99" si="48">M99*J99</f>
        <v>0</v>
      </c>
      <c r="O99" s="21" t="s">
        <v>710</v>
      </c>
    </row>
    <row r="100" spans="1:15" s="40" customFormat="1" ht="30" customHeight="1">
      <c r="A100" s="28"/>
      <c r="B100" s="4" t="s">
        <v>23</v>
      </c>
      <c r="C100" s="87">
        <v>30003322</v>
      </c>
      <c r="D100" s="196" t="s">
        <v>511</v>
      </c>
      <c r="E100" s="197" t="s">
        <v>184</v>
      </c>
      <c r="F100" s="198">
        <f>IFERROR(VLOOKUP(C100,[3]Sheet1!$A$1:$D$65536,3,0)/K100,"")</f>
        <v>8.4499999999999992E-2</v>
      </c>
      <c r="G100" s="197" t="s">
        <v>684</v>
      </c>
      <c r="H100" s="3"/>
      <c r="I100" s="212"/>
      <c r="J100" s="57">
        <f>H100*K100+I100</f>
        <v>0</v>
      </c>
      <c r="K100" s="49">
        <v>10</v>
      </c>
      <c r="L100" s="141" t="s">
        <v>524</v>
      </c>
      <c r="M100" s="146">
        <v>8000</v>
      </c>
      <c r="N100" s="147">
        <f>M100*J100</f>
        <v>0</v>
      </c>
    </row>
    <row r="101" spans="1:15" s="40" customFormat="1" ht="30" customHeight="1">
      <c r="A101" s="28"/>
      <c r="B101" s="4" t="s">
        <v>23</v>
      </c>
      <c r="C101" s="87">
        <v>30003547</v>
      </c>
      <c r="D101" s="196" t="s">
        <v>613</v>
      </c>
      <c r="E101" s="4" t="s">
        <v>184</v>
      </c>
      <c r="F101" s="20">
        <f>IFERROR(VLOOKUP(C101,[3]Sheet1!$A$1:$D$65536,3,0)/K101,"")</f>
        <v>9.3333333333333341E-3</v>
      </c>
      <c r="G101" s="122" t="s">
        <v>700</v>
      </c>
      <c r="H101" s="204"/>
      <c r="I101" s="204"/>
      <c r="J101" s="57">
        <f t="shared" ref="J101" si="49">H101*K101+I101</f>
        <v>0</v>
      </c>
      <c r="K101" s="4">
        <v>6</v>
      </c>
      <c r="L101" s="141" t="s">
        <v>614</v>
      </c>
      <c r="M101" s="146">
        <v>7384</v>
      </c>
      <c r="N101" s="147">
        <f t="shared" ref="N101" si="50">M101*J101</f>
        <v>0</v>
      </c>
    </row>
    <row r="102" spans="1:15" s="40" customFormat="1" ht="30" customHeight="1">
      <c r="A102" s="28"/>
      <c r="B102" s="4" t="s">
        <v>23</v>
      </c>
      <c r="C102" s="87">
        <v>30001285</v>
      </c>
      <c r="D102" s="196" t="s">
        <v>201</v>
      </c>
      <c r="E102" s="197" t="s">
        <v>184</v>
      </c>
      <c r="F102" s="188">
        <f>IFERROR(VLOOKUP(C102,[3]Sheet1!$A$1:$D$65536,3,0)/K102,"")</f>
        <v>0.21666666666666667</v>
      </c>
      <c r="G102" s="122" t="s">
        <v>685</v>
      </c>
      <c r="H102" s="3"/>
      <c r="I102" s="204"/>
      <c r="J102" s="57">
        <f>H102*K102+I102</f>
        <v>0</v>
      </c>
      <c r="K102" s="4">
        <v>6</v>
      </c>
      <c r="L102" s="141" t="s">
        <v>81</v>
      </c>
      <c r="M102" s="146">
        <v>4000</v>
      </c>
      <c r="N102" s="147">
        <f>M102*J102</f>
        <v>0</v>
      </c>
    </row>
    <row r="103" spans="1:15" ht="30" customHeight="1">
      <c r="A103" s="28"/>
      <c r="B103" s="17" t="s">
        <v>628</v>
      </c>
      <c r="C103" s="86">
        <v>30001713</v>
      </c>
      <c r="D103" s="196" t="s">
        <v>512</v>
      </c>
      <c r="E103" s="197" t="s">
        <v>513</v>
      </c>
      <c r="F103" s="198">
        <f>IFERROR(VLOOKUP(C103,[3]Sheet1!$A$1:$D$65536,3,0)/K103,"")</f>
        <v>0.1106</v>
      </c>
      <c r="G103" s="122" t="s">
        <v>684</v>
      </c>
      <c r="H103" s="3"/>
      <c r="I103" s="204"/>
      <c r="J103" s="57">
        <f>H103*K103+I103</f>
        <v>0</v>
      </c>
      <c r="K103" s="4">
        <v>5</v>
      </c>
      <c r="L103" s="142" t="s">
        <v>524</v>
      </c>
      <c r="M103" s="146">
        <v>6800</v>
      </c>
      <c r="N103" s="147">
        <f>M103*J103</f>
        <v>0</v>
      </c>
    </row>
    <row r="104" spans="1:15" ht="30" customHeight="1">
      <c r="A104" s="28"/>
      <c r="B104" s="18" t="s">
        <v>342</v>
      </c>
      <c r="C104" s="83">
        <v>30003006</v>
      </c>
      <c r="D104" s="199" t="s">
        <v>341</v>
      </c>
      <c r="E104" s="5" t="s">
        <v>10</v>
      </c>
      <c r="F104" s="100">
        <f>IFERROR(VLOOKUP(C104,[3]Sheet1!$A$1:$D$65536,3,0)/K104,"")</f>
        <v>0.28010000000000002</v>
      </c>
      <c r="G104" s="197" t="s">
        <v>698</v>
      </c>
      <c r="H104" s="204"/>
      <c r="I104" s="200"/>
      <c r="J104" s="57">
        <f>H104*K104+I104</f>
        <v>0</v>
      </c>
      <c r="K104" s="5">
        <v>10</v>
      </c>
      <c r="L104" s="11" t="s">
        <v>525</v>
      </c>
      <c r="M104" s="146">
        <v>4440</v>
      </c>
      <c r="N104" s="147">
        <f>M104*J104</f>
        <v>0</v>
      </c>
    </row>
    <row r="105" spans="1:15" ht="30" customHeight="1">
      <c r="A105" s="28"/>
      <c r="B105" s="4" t="s">
        <v>23</v>
      </c>
      <c r="C105" s="87">
        <v>30003546</v>
      </c>
      <c r="D105" s="196" t="s">
        <v>615</v>
      </c>
      <c r="E105" s="4" t="s">
        <v>18</v>
      </c>
      <c r="F105" s="100">
        <f>IFERROR(VLOOKUP(C105,[3]Sheet1!$A$1:$D$65536,3,0)/K105,"")</f>
        <v>4.8000000000000004E-3</v>
      </c>
      <c r="G105" s="213" t="s">
        <v>700</v>
      </c>
      <c r="H105" s="204"/>
      <c r="I105" s="204"/>
      <c r="J105" s="57">
        <f t="shared" ref="J105" si="51">H105*K105+I105</f>
        <v>0</v>
      </c>
      <c r="K105" s="4">
        <v>10</v>
      </c>
      <c r="L105" s="141" t="s">
        <v>603</v>
      </c>
      <c r="M105" s="146">
        <v>4000</v>
      </c>
      <c r="N105" s="147">
        <f t="shared" ref="N105" si="52">M105*J105</f>
        <v>0</v>
      </c>
    </row>
    <row r="106" spans="1:15" ht="30" customHeight="1">
      <c r="A106" s="28"/>
      <c r="B106" s="4" t="s">
        <v>60</v>
      </c>
      <c r="C106" s="86">
        <v>30003137</v>
      </c>
      <c r="D106" s="196" t="s">
        <v>100</v>
      </c>
      <c r="E106" s="4" t="s">
        <v>104</v>
      </c>
      <c r="F106" s="98">
        <f>IFERROR(VLOOKUP(C106,[3]Sheet1!$A$1:$D$65536,3,0)/K106,"")</f>
        <v>0.74034374999999997</v>
      </c>
      <c r="G106" s="197" t="s">
        <v>699</v>
      </c>
      <c r="H106" s="3"/>
      <c r="I106" s="3"/>
      <c r="J106" s="57">
        <f>H106*K106+I106</f>
        <v>0</v>
      </c>
      <c r="K106" s="4">
        <v>32</v>
      </c>
      <c r="L106" s="142"/>
      <c r="M106" s="146">
        <v>11800</v>
      </c>
      <c r="N106" s="147">
        <f>M106*J106</f>
        <v>0</v>
      </c>
    </row>
    <row r="107" spans="1:15" ht="30" customHeight="1">
      <c r="A107" s="28"/>
      <c r="B107" s="4" t="s">
        <v>23</v>
      </c>
      <c r="C107" s="87">
        <v>30003573</v>
      </c>
      <c r="D107" s="196" t="s">
        <v>647</v>
      </c>
      <c r="E107" s="4" t="s">
        <v>18</v>
      </c>
      <c r="F107" s="20">
        <f>IFERROR(VLOOKUP(C107,[4]Sheet1!$A$1:$D$65536,3,0)/K107,"")</f>
        <v>4.7666666666666663E-2</v>
      </c>
      <c r="G107" s="38" t="s">
        <v>656</v>
      </c>
      <c r="H107" s="3"/>
      <c r="I107" s="3"/>
      <c r="J107" s="57">
        <f t="shared" ref="J107:J114" si="53">H107*K107+I107</f>
        <v>0</v>
      </c>
      <c r="K107" s="4">
        <v>30</v>
      </c>
      <c r="L107" s="141"/>
      <c r="M107" s="146">
        <f>75000/30</f>
        <v>2500</v>
      </c>
      <c r="N107" s="147">
        <f t="shared" ref="N107:N114" si="54">M107*J107</f>
        <v>0</v>
      </c>
    </row>
    <row r="108" spans="1:15" s="42" customFormat="1" ht="30" customHeight="1">
      <c r="A108" s="28"/>
      <c r="B108" s="4" t="s">
        <v>664</v>
      </c>
      <c r="C108" s="87">
        <v>30003474</v>
      </c>
      <c r="D108" s="196" t="s">
        <v>509</v>
      </c>
      <c r="E108" s="197" t="s">
        <v>11</v>
      </c>
      <c r="F108" s="198">
        <f>IFERROR(VLOOKUP(C108,[4]Sheet1!$A$1:$D$65536,3,0)/K108,"")</f>
        <v>0.105</v>
      </c>
      <c r="G108" s="197" t="s">
        <v>660</v>
      </c>
      <c r="H108" s="204">
        <v>1</v>
      </c>
      <c r="I108" s="3"/>
      <c r="J108" s="57">
        <f t="shared" si="53"/>
        <v>1</v>
      </c>
      <c r="K108" s="4">
        <v>1</v>
      </c>
      <c r="L108" s="142" t="s">
        <v>526</v>
      </c>
      <c r="M108" s="146">
        <v>25500</v>
      </c>
      <c r="N108" s="147">
        <f t="shared" si="54"/>
        <v>25500</v>
      </c>
    </row>
    <row r="109" spans="1:15" ht="30" customHeight="1">
      <c r="A109" s="28"/>
      <c r="B109" s="17" t="s">
        <v>260</v>
      </c>
      <c r="C109" s="86">
        <v>30003475</v>
      </c>
      <c r="D109" s="196" t="s">
        <v>510</v>
      </c>
      <c r="E109" s="197" t="s">
        <v>14</v>
      </c>
      <c r="F109" s="198">
        <f>IFERROR(VLOOKUP(C109,[4]Sheet1!$A$1:$D$65536,3,0)/K109,"")</f>
        <v>0.65259999999999996</v>
      </c>
      <c r="G109" s="122" t="s">
        <v>660</v>
      </c>
      <c r="H109" s="204">
        <v>2</v>
      </c>
      <c r="I109" s="204">
        <v>2</v>
      </c>
      <c r="J109" s="57">
        <f t="shared" si="53"/>
        <v>12</v>
      </c>
      <c r="K109" s="4">
        <v>5</v>
      </c>
      <c r="L109" s="142" t="s">
        <v>524</v>
      </c>
      <c r="M109" s="146">
        <v>6400</v>
      </c>
      <c r="N109" s="147">
        <f t="shared" si="54"/>
        <v>76800</v>
      </c>
    </row>
    <row r="110" spans="1:15" s="21" customFormat="1" ht="30" customHeight="1">
      <c r="A110" s="28"/>
      <c r="B110" s="18" t="s">
        <v>428</v>
      </c>
      <c r="C110" s="83">
        <v>30002742</v>
      </c>
      <c r="D110" s="205" t="s">
        <v>196</v>
      </c>
      <c r="E110" s="5" t="s">
        <v>12</v>
      </c>
      <c r="F110" s="98">
        <f>IFERROR(VLOOKUP(C110,[4]Sheet1!$A$1:$D$65536,3,0)/K110,"")</f>
        <v>5.5839999999999996</v>
      </c>
      <c r="G110" s="5"/>
      <c r="H110" s="3"/>
      <c r="I110" s="10"/>
      <c r="J110" s="57">
        <f t="shared" si="53"/>
        <v>0</v>
      </c>
      <c r="K110" s="5">
        <v>1</v>
      </c>
      <c r="L110" s="11" t="s">
        <v>82</v>
      </c>
      <c r="M110" s="146">
        <v>26880</v>
      </c>
      <c r="N110" s="147">
        <f t="shared" si="54"/>
        <v>0</v>
      </c>
    </row>
    <row r="111" spans="1:15" s="33" customFormat="1" ht="30" customHeight="1">
      <c r="A111" s="28"/>
      <c r="B111" s="17" t="s">
        <v>663</v>
      </c>
      <c r="C111" s="86">
        <v>30000385</v>
      </c>
      <c r="D111" s="1" t="s">
        <v>146</v>
      </c>
      <c r="E111" s="5" t="s">
        <v>10</v>
      </c>
      <c r="F111" s="100"/>
      <c r="G111" s="4"/>
      <c r="H111" s="3"/>
      <c r="I111" s="10"/>
      <c r="J111" s="57">
        <f t="shared" si="53"/>
        <v>0</v>
      </c>
      <c r="K111" s="5">
        <v>6</v>
      </c>
      <c r="L111" s="11" t="s">
        <v>83</v>
      </c>
      <c r="M111" s="146">
        <v>3250</v>
      </c>
      <c r="N111" s="147">
        <f t="shared" si="54"/>
        <v>0</v>
      </c>
    </row>
    <row r="112" spans="1:15" ht="30" customHeight="1">
      <c r="A112" s="28"/>
      <c r="B112" s="17" t="s">
        <v>176</v>
      </c>
      <c r="C112" s="86"/>
      <c r="D112" s="110" t="s">
        <v>589</v>
      </c>
      <c r="E112" s="111" t="s">
        <v>11</v>
      </c>
      <c r="F112" s="112"/>
      <c r="G112" s="111" t="s">
        <v>590</v>
      </c>
      <c r="H112" s="3"/>
      <c r="I112" s="3"/>
      <c r="J112" s="57">
        <f t="shared" si="53"/>
        <v>0</v>
      </c>
      <c r="K112" s="4">
        <v>32</v>
      </c>
      <c r="L112" s="142"/>
      <c r="M112" s="146">
        <v>11800</v>
      </c>
      <c r="N112" s="147">
        <f t="shared" si="54"/>
        <v>0</v>
      </c>
    </row>
    <row r="113" spans="1:14" ht="30" customHeight="1">
      <c r="A113" s="28"/>
      <c r="B113" s="17" t="s">
        <v>176</v>
      </c>
      <c r="C113" s="86">
        <v>30003203</v>
      </c>
      <c r="D113" s="196" t="s">
        <v>177</v>
      </c>
      <c r="E113" s="197" t="s">
        <v>152</v>
      </c>
      <c r="F113" s="198"/>
      <c r="G113" s="197" t="s">
        <v>657</v>
      </c>
      <c r="H113" s="3"/>
      <c r="I113" s="3"/>
      <c r="J113" s="57">
        <f t="shared" si="53"/>
        <v>0</v>
      </c>
      <c r="K113" s="4">
        <v>32</v>
      </c>
      <c r="L113" s="142"/>
      <c r="M113" s="146">
        <v>11800</v>
      </c>
      <c r="N113" s="147">
        <f t="shared" si="54"/>
        <v>0</v>
      </c>
    </row>
    <row r="114" spans="1:14" ht="30" customHeight="1">
      <c r="A114" s="28"/>
      <c r="B114" s="4" t="s">
        <v>60</v>
      </c>
      <c r="C114" s="86">
        <v>30003202</v>
      </c>
      <c r="D114" s="172" t="s">
        <v>46</v>
      </c>
      <c r="E114" s="173" t="s">
        <v>11</v>
      </c>
      <c r="F114" s="157"/>
      <c r="G114" s="173" t="s">
        <v>631</v>
      </c>
      <c r="H114" s="3">
        <v>3</v>
      </c>
      <c r="I114" s="3"/>
      <c r="J114" s="57">
        <f t="shared" si="53"/>
        <v>96</v>
      </c>
      <c r="K114" s="4">
        <v>32</v>
      </c>
      <c r="L114" s="142"/>
      <c r="M114" s="146">
        <v>11800</v>
      </c>
      <c r="N114" s="147">
        <f t="shared" si="54"/>
        <v>1132800</v>
      </c>
    </row>
    <row r="115" spans="1:14" ht="30" customHeight="1">
      <c r="A115" s="28"/>
      <c r="B115" s="18" t="s">
        <v>260</v>
      </c>
      <c r="C115" s="83">
        <v>30003368</v>
      </c>
      <c r="D115" s="155" t="s">
        <v>553</v>
      </c>
      <c r="E115" s="156" t="s">
        <v>10</v>
      </c>
      <c r="F115" s="174"/>
      <c r="G115" s="173" t="s">
        <v>570</v>
      </c>
      <c r="H115" s="176"/>
      <c r="I115" s="13"/>
      <c r="J115" s="177">
        <f t="shared" ref="J115" si="55">H115*K115+I115</f>
        <v>0</v>
      </c>
      <c r="K115" s="156">
        <v>10</v>
      </c>
      <c r="L115" s="178"/>
      <c r="M115" s="169">
        <v>4500</v>
      </c>
      <c r="N115" s="147">
        <f t="shared" ref="N115" si="56">M115*J115</f>
        <v>0</v>
      </c>
    </row>
    <row r="116" spans="1:14" ht="30" customHeight="1">
      <c r="A116" s="28"/>
      <c r="B116" s="18" t="s">
        <v>488</v>
      </c>
      <c r="C116" s="151">
        <v>30001169</v>
      </c>
      <c r="D116" s="155" t="s">
        <v>489</v>
      </c>
      <c r="E116" s="156" t="s">
        <v>10</v>
      </c>
      <c r="F116" s="174"/>
      <c r="G116" s="173"/>
      <c r="H116" s="176"/>
      <c r="I116" s="176"/>
      <c r="J116" s="177">
        <f t="shared" ref="J116:J121" si="57">H116*K116+I116</f>
        <v>0</v>
      </c>
      <c r="K116" s="156">
        <v>1</v>
      </c>
      <c r="L116" s="178" t="s">
        <v>526</v>
      </c>
      <c r="M116" s="169">
        <v>6990</v>
      </c>
      <c r="N116" s="147">
        <f>M116*J116</f>
        <v>0</v>
      </c>
    </row>
    <row r="117" spans="1:14" ht="30" customHeight="1">
      <c r="A117" s="28"/>
      <c r="B117" s="17" t="s">
        <v>41</v>
      </c>
      <c r="C117" s="86">
        <v>30000075</v>
      </c>
      <c r="D117" s="175" t="s">
        <v>40</v>
      </c>
      <c r="E117" s="179" t="s">
        <v>14</v>
      </c>
      <c r="F117" s="157"/>
      <c r="G117" s="179" t="s">
        <v>571</v>
      </c>
      <c r="H117" s="176"/>
      <c r="I117" s="176"/>
      <c r="J117" s="177">
        <f t="shared" si="57"/>
        <v>0</v>
      </c>
      <c r="K117" s="179">
        <v>12</v>
      </c>
      <c r="L117" s="180" t="s">
        <v>81</v>
      </c>
      <c r="M117" s="169">
        <v>16500</v>
      </c>
      <c r="N117" s="147">
        <f>M117*J117</f>
        <v>0</v>
      </c>
    </row>
    <row r="118" spans="1:14" ht="30" customHeight="1">
      <c r="A118" s="28"/>
      <c r="B118" s="17" t="s">
        <v>41</v>
      </c>
      <c r="C118" s="86">
        <v>30001169</v>
      </c>
      <c r="D118" s="160" t="s">
        <v>78</v>
      </c>
      <c r="E118" s="173" t="s">
        <v>11</v>
      </c>
      <c r="F118" s="157"/>
      <c r="G118" s="173" t="s">
        <v>571</v>
      </c>
      <c r="H118" s="176"/>
      <c r="I118" s="176"/>
      <c r="J118" s="177">
        <f t="shared" si="57"/>
        <v>0</v>
      </c>
      <c r="K118" s="173">
        <v>1</v>
      </c>
      <c r="L118" s="181" t="s">
        <v>82</v>
      </c>
      <c r="M118" s="169">
        <v>10500</v>
      </c>
      <c r="N118" s="147">
        <f>M118*J118</f>
        <v>0</v>
      </c>
    </row>
    <row r="119" spans="1:14" ht="30" customHeight="1">
      <c r="A119" s="28"/>
      <c r="B119" s="4" t="s">
        <v>492</v>
      </c>
      <c r="C119" s="87">
        <v>30003476</v>
      </c>
      <c r="D119" s="172" t="s">
        <v>493</v>
      </c>
      <c r="E119" s="173" t="s">
        <v>157</v>
      </c>
      <c r="F119" s="174"/>
      <c r="G119" s="173" t="s">
        <v>386</v>
      </c>
      <c r="H119" s="176"/>
      <c r="I119" s="176"/>
      <c r="J119" s="177">
        <f t="shared" si="57"/>
        <v>0</v>
      </c>
      <c r="K119" s="173">
        <v>6</v>
      </c>
      <c r="L119" s="181" t="s">
        <v>83</v>
      </c>
      <c r="M119" s="169">
        <v>4200</v>
      </c>
      <c r="N119" s="147">
        <f>M119*J119</f>
        <v>0</v>
      </c>
    </row>
    <row r="120" spans="1:14" ht="30" customHeight="1">
      <c r="A120" s="28"/>
      <c r="B120" s="17" t="s">
        <v>260</v>
      </c>
      <c r="C120" s="86">
        <v>30002970</v>
      </c>
      <c r="D120" s="160" t="s">
        <v>250</v>
      </c>
      <c r="E120" s="161" t="s">
        <v>14</v>
      </c>
      <c r="F120" s="157"/>
      <c r="G120" s="166" t="s">
        <v>538</v>
      </c>
      <c r="H120" s="176"/>
      <c r="I120" s="176"/>
      <c r="J120" s="177">
        <f t="shared" si="57"/>
        <v>0</v>
      </c>
      <c r="K120" s="173">
        <v>8</v>
      </c>
      <c r="L120" s="181" t="s">
        <v>82</v>
      </c>
      <c r="M120" s="169"/>
      <c r="N120" s="147"/>
    </row>
    <row r="121" spans="1:14" ht="30" customHeight="1">
      <c r="A121" s="28"/>
      <c r="B121" s="4" t="s">
        <v>158</v>
      </c>
      <c r="C121" s="87"/>
      <c r="D121" s="160" t="s">
        <v>30</v>
      </c>
      <c r="E121" s="161" t="s">
        <v>11</v>
      </c>
      <c r="F121" s="157"/>
      <c r="G121" s="161" t="s">
        <v>504</v>
      </c>
      <c r="H121" s="176"/>
      <c r="I121" s="176"/>
      <c r="J121" s="177">
        <f t="shared" si="57"/>
        <v>0</v>
      </c>
      <c r="K121" s="173">
        <v>6</v>
      </c>
      <c r="L121" s="182" t="s">
        <v>83</v>
      </c>
      <c r="M121" s="6"/>
    </row>
    <row r="122" spans="1:14" s="40" customFormat="1" ht="30" customHeight="1">
      <c r="A122" s="28"/>
      <c r="B122" s="4" t="s">
        <v>23</v>
      </c>
      <c r="C122" s="87"/>
      <c r="D122" s="103" t="s">
        <v>430</v>
      </c>
      <c r="E122" s="104" t="s">
        <v>184</v>
      </c>
      <c r="F122" s="105"/>
      <c r="G122" s="106" t="s">
        <v>460</v>
      </c>
      <c r="H122" s="3"/>
      <c r="I122" s="3"/>
      <c r="J122" s="57">
        <f t="shared" ref="J122" si="58">H122*K122+I122</f>
        <v>0</v>
      </c>
      <c r="K122" s="4">
        <v>4</v>
      </c>
      <c r="L122" s="4" t="s">
        <v>81</v>
      </c>
    </row>
    <row r="123" spans="1:14" s="33" customFormat="1" ht="30" customHeight="1">
      <c r="A123" s="28"/>
      <c r="B123" s="18" t="s">
        <v>22</v>
      </c>
      <c r="C123" s="83"/>
      <c r="D123" s="9" t="s">
        <v>275</v>
      </c>
      <c r="E123" s="49" t="s">
        <v>36</v>
      </c>
      <c r="F123" s="98"/>
      <c r="G123" s="70" t="s">
        <v>385</v>
      </c>
      <c r="H123" s="3"/>
      <c r="I123" s="3"/>
      <c r="J123" s="57">
        <f>H123*K123+I123</f>
        <v>0</v>
      </c>
      <c r="K123" s="4">
        <v>4</v>
      </c>
      <c r="L123" s="27" t="s">
        <v>82</v>
      </c>
    </row>
    <row r="124" spans="1:14" ht="30" customHeight="1">
      <c r="A124" s="28"/>
      <c r="B124" s="4" t="s">
        <v>23</v>
      </c>
      <c r="C124" s="87"/>
      <c r="D124" s="8" t="s">
        <v>166</v>
      </c>
      <c r="E124" s="101" t="s">
        <v>163</v>
      </c>
      <c r="F124" s="99"/>
      <c r="G124" s="101" t="s">
        <v>448</v>
      </c>
      <c r="H124" s="3"/>
      <c r="I124" s="3"/>
      <c r="J124" s="57">
        <f>H124*K124+I124</f>
        <v>0</v>
      </c>
      <c r="K124" s="4">
        <v>50</v>
      </c>
      <c r="L124" s="4" t="s">
        <v>85</v>
      </c>
    </row>
    <row r="125" spans="1:14" s="33" customFormat="1" ht="30" customHeight="1">
      <c r="A125" s="28"/>
      <c r="B125" s="18" t="s">
        <v>22</v>
      </c>
      <c r="C125" s="83"/>
      <c r="D125" s="54" t="s">
        <v>383</v>
      </c>
      <c r="E125" s="5" t="s">
        <v>12</v>
      </c>
      <c r="F125" s="98"/>
      <c r="G125" s="53" t="s">
        <v>370</v>
      </c>
      <c r="H125" s="10"/>
      <c r="I125" s="10"/>
      <c r="J125" s="57">
        <f t="shared" ref="J125:J133" si="59">H125*K125+I125</f>
        <v>0</v>
      </c>
      <c r="K125" s="5">
        <v>5</v>
      </c>
      <c r="L125" s="11" t="s">
        <v>82</v>
      </c>
    </row>
    <row r="126" spans="1:14" ht="30" customHeight="1">
      <c r="A126" s="28"/>
      <c r="B126" s="4" t="s">
        <v>279</v>
      </c>
      <c r="C126" s="87"/>
      <c r="D126" s="119" t="s">
        <v>313</v>
      </c>
      <c r="E126" s="120" t="s">
        <v>11</v>
      </c>
      <c r="F126" s="121"/>
      <c r="G126" s="120" t="s">
        <v>458</v>
      </c>
      <c r="H126" s="3"/>
      <c r="I126" s="3"/>
      <c r="J126" s="57">
        <f>H126*K126+I126</f>
        <v>0</v>
      </c>
      <c r="K126" s="4">
        <v>5</v>
      </c>
      <c r="L126" s="27" t="s">
        <v>82</v>
      </c>
    </row>
    <row r="127" spans="1:14" s="40" customFormat="1" ht="30" customHeight="1">
      <c r="A127" s="28"/>
      <c r="B127" s="4" t="s">
        <v>23</v>
      </c>
      <c r="C127" s="87"/>
      <c r="D127" s="8" t="s">
        <v>384</v>
      </c>
      <c r="E127" s="101" t="s">
        <v>184</v>
      </c>
      <c r="F127" s="99"/>
      <c r="G127" s="68" t="s">
        <v>449</v>
      </c>
      <c r="H127" s="3"/>
      <c r="I127" s="3"/>
      <c r="J127" s="57">
        <f>H127*K127+I127</f>
        <v>0</v>
      </c>
      <c r="K127" s="4">
        <v>6</v>
      </c>
      <c r="L127" s="4" t="s">
        <v>81</v>
      </c>
    </row>
    <row r="128" spans="1:14" ht="30" customHeight="1">
      <c r="A128" s="28"/>
      <c r="B128" s="4" t="s">
        <v>279</v>
      </c>
      <c r="C128" s="87"/>
      <c r="D128" s="8" t="s">
        <v>291</v>
      </c>
      <c r="E128" s="101" t="s">
        <v>11</v>
      </c>
      <c r="F128" s="99"/>
      <c r="G128" s="101" t="s">
        <v>448</v>
      </c>
      <c r="H128" s="3"/>
      <c r="I128" s="3"/>
      <c r="J128" s="57">
        <f>H128*K128+I128</f>
        <v>0</v>
      </c>
      <c r="K128" s="4">
        <v>5</v>
      </c>
      <c r="L128" s="27" t="s">
        <v>82</v>
      </c>
    </row>
    <row r="129" spans="1:12" s="42" customFormat="1" ht="30" customHeight="1">
      <c r="A129" s="28"/>
      <c r="B129" s="4" t="s">
        <v>4</v>
      </c>
      <c r="C129" s="87"/>
      <c r="D129" s="8" t="s">
        <v>290</v>
      </c>
      <c r="E129" s="101" t="s">
        <v>11</v>
      </c>
      <c r="F129" s="99"/>
      <c r="G129" s="101" t="s">
        <v>461</v>
      </c>
      <c r="H129" s="3"/>
      <c r="I129" s="50"/>
      <c r="J129" s="57">
        <f>H129*K129+I129</f>
        <v>0</v>
      </c>
      <c r="K129" s="49">
        <v>1</v>
      </c>
      <c r="L129" s="55" t="s">
        <v>82</v>
      </c>
    </row>
    <row r="130" spans="1:12" ht="30" customHeight="1">
      <c r="A130" s="28"/>
      <c r="B130" s="17" t="s">
        <v>344</v>
      </c>
      <c r="C130" s="86"/>
      <c r="D130" s="8" t="s">
        <v>200</v>
      </c>
      <c r="E130" s="101" t="s">
        <v>36</v>
      </c>
      <c r="F130" s="99"/>
      <c r="G130" s="68" t="s">
        <v>448</v>
      </c>
      <c r="H130" s="3"/>
      <c r="I130" s="3"/>
      <c r="J130" s="57">
        <f>H130*K130+I130</f>
        <v>0</v>
      </c>
      <c r="K130" s="4">
        <v>5</v>
      </c>
      <c r="L130" s="27" t="s">
        <v>82</v>
      </c>
    </row>
    <row r="131" spans="1:12" s="33" customFormat="1" ht="30" customHeight="1">
      <c r="A131" s="28"/>
      <c r="B131" s="18" t="s">
        <v>22</v>
      </c>
      <c r="C131" s="83"/>
      <c r="D131" s="54" t="s">
        <v>254</v>
      </c>
      <c r="E131" s="5" t="s">
        <v>12</v>
      </c>
      <c r="F131" s="98"/>
      <c r="G131" s="53" t="s">
        <v>350</v>
      </c>
      <c r="H131" s="10"/>
      <c r="I131" s="10"/>
      <c r="J131" s="57">
        <f t="shared" si="59"/>
        <v>0</v>
      </c>
      <c r="K131" s="5">
        <v>4</v>
      </c>
      <c r="L131" s="11" t="s">
        <v>82</v>
      </c>
    </row>
    <row r="132" spans="1:12" ht="30" customHeight="1">
      <c r="A132" s="28"/>
      <c r="B132" s="18" t="s">
        <v>22</v>
      </c>
      <c r="C132" s="83"/>
      <c r="D132" s="9" t="s">
        <v>311</v>
      </c>
      <c r="E132" s="49" t="s">
        <v>18</v>
      </c>
      <c r="F132" s="98"/>
      <c r="G132" s="69" t="s">
        <v>352</v>
      </c>
      <c r="H132" s="3"/>
      <c r="I132" s="3"/>
      <c r="J132" s="57">
        <f t="shared" si="59"/>
        <v>0</v>
      </c>
      <c r="K132" s="4">
        <v>6</v>
      </c>
      <c r="L132" s="4" t="s">
        <v>81</v>
      </c>
    </row>
    <row r="133" spans="1:12" ht="30" customHeight="1">
      <c r="A133" s="28"/>
      <c r="B133" s="18" t="s">
        <v>22</v>
      </c>
      <c r="C133" s="83"/>
      <c r="D133" s="9" t="s">
        <v>199</v>
      </c>
      <c r="E133" s="49" t="s">
        <v>18</v>
      </c>
      <c r="F133" s="98"/>
      <c r="G133" s="69" t="s">
        <v>385</v>
      </c>
      <c r="H133" s="50"/>
      <c r="I133" s="3"/>
      <c r="J133" s="57">
        <f t="shared" si="59"/>
        <v>0</v>
      </c>
      <c r="K133" s="4">
        <v>12</v>
      </c>
      <c r="L133" s="4" t="s">
        <v>81</v>
      </c>
    </row>
    <row r="134" spans="1:12" ht="30" customHeight="1">
      <c r="A134" s="28"/>
      <c r="B134" s="18" t="s">
        <v>22</v>
      </c>
      <c r="C134" s="83"/>
      <c r="D134" s="9" t="s">
        <v>179</v>
      </c>
      <c r="E134" s="4" t="s">
        <v>18</v>
      </c>
      <c r="F134" s="98"/>
      <c r="G134" s="71" t="s">
        <v>385</v>
      </c>
      <c r="H134" s="3"/>
      <c r="I134" s="3"/>
      <c r="J134" s="57">
        <f t="shared" ref="J134:J144" si="60">H134*K134+I134</f>
        <v>0</v>
      </c>
      <c r="K134" s="4">
        <v>10</v>
      </c>
      <c r="L134" s="4" t="s">
        <v>81</v>
      </c>
    </row>
    <row r="135" spans="1:12" ht="30" customHeight="1">
      <c r="A135" s="28"/>
      <c r="B135" s="4" t="s">
        <v>262</v>
      </c>
      <c r="C135" s="87"/>
      <c r="D135" s="9" t="s">
        <v>305</v>
      </c>
      <c r="E135" s="49" t="s">
        <v>11</v>
      </c>
      <c r="F135" s="98"/>
      <c r="G135" s="70" t="s">
        <v>351</v>
      </c>
      <c r="H135" s="3"/>
      <c r="I135" s="3"/>
      <c r="J135" s="57">
        <f t="shared" si="60"/>
        <v>0</v>
      </c>
      <c r="K135" s="4">
        <v>12</v>
      </c>
      <c r="L135" s="27" t="s">
        <v>82</v>
      </c>
    </row>
    <row r="136" spans="1:12" ht="30" customHeight="1">
      <c r="A136" s="28"/>
      <c r="B136" s="4" t="s">
        <v>23</v>
      </c>
      <c r="C136" s="87"/>
      <c r="D136" s="9" t="s">
        <v>76</v>
      </c>
      <c r="E136" s="4" t="s">
        <v>18</v>
      </c>
      <c r="F136" s="98"/>
      <c r="G136" s="70" t="s">
        <v>356</v>
      </c>
      <c r="H136" s="3"/>
      <c r="I136" s="3"/>
      <c r="J136" s="57">
        <f t="shared" si="60"/>
        <v>0</v>
      </c>
      <c r="K136" s="4">
        <v>10</v>
      </c>
      <c r="L136" s="4" t="s">
        <v>81</v>
      </c>
    </row>
    <row r="137" spans="1:12" ht="30" customHeight="1">
      <c r="A137" s="28"/>
      <c r="B137" s="4" t="s">
        <v>23</v>
      </c>
      <c r="C137" s="87"/>
      <c r="D137" s="9" t="s">
        <v>74</v>
      </c>
      <c r="E137" s="4" t="s">
        <v>18</v>
      </c>
      <c r="F137" s="98"/>
      <c r="G137" s="70" t="s">
        <v>353</v>
      </c>
      <c r="H137" s="3"/>
      <c r="I137" s="3"/>
      <c r="J137" s="57">
        <f t="shared" si="60"/>
        <v>0</v>
      </c>
      <c r="K137" s="4">
        <v>6</v>
      </c>
      <c r="L137" s="4" t="s">
        <v>80</v>
      </c>
    </row>
    <row r="138" spans="1:12" ht="30" customHeight="1">
      <c r="A138" s="28"/>
      <c r="B138" s="4" t="s">
        <v>23</v>
      </c>
      <c r="C138" s="87"/>
      <c r="D138" s="9" t="s">
        <v>95</v>
      </c>
      <c r="E138" s="4" t="s">
        <v>18</v>
      </c>
      <c r="F138" s="98"/>
      <c r="G138" s="69" t="s">
        <v>352</v>
      </c>
      <c r="H138" s="3"/>
      <c r="I138" s="3"/>
      <c r="J138" s="57">
        <f t="shared" si="60"/>
        <v>0</v>
      </c>
      <c r="K138" s="4">
        <v>12</v>
      </c>
      <c r="L138" s="4" t="s">
        <v>81</v>
      </c>
    </row>
    <row r="139" spans="1:12" s="40" customFormat="1" ht="30" customHeight="1">
      <c r="A139" s="28"/>
      <c r="B139" s="4" t="s">
        <v>23</v>
      </c>
      <c r="C139" s="87"/>
      <c r="D139" s="9" t="s">
        <v>244</v>
      </c>
      <c r="E139" s="4" t="s">
        <v>184</v>
      </c>
      <c r="F139" s="98"/>
      <c r="G139" s="69" t="s">
        <v>363</v>
      </c>
      <c r="H139" s="3"/>
      <c r="I139" s="3"/>
      <c r="J139" s="57">
        <f t="shared" si="60"/>
        <v>0</v>
      </c>
      <c r="K139" s="4">
        <v>6</v>
      </c>
      <c r="L139" s="4" t="s">
        <v>81</v>
      </c>
    </row>
    <row r="140" spans="1:12" s="40" customFormat="1" ht="30" customHeight="1">
      <c r="A140" s="28"/>
      <c r="B140" s="4" t="s">
        <v>23</v>
      </c>
      <c r="C140" s="87"/>
      <c r="D140" s="9" t="s">
        <v>276</v>
      </c>
      <c r="E140" s="49" t="s">
        <v>184</v>
      </c>
      <c r="F140" s="98"/>
      <c r="G140" s="71" t="s">
        <v>385</v>
      </c>
      <c r="H140" s="3"/>
      <c r="I140" s="3"/>
      <c r="J140" s="57">
        <f t="shared" si="60"/>
        <v>0</v>
      </c>
      <c r="K140" s="4">
        <v>3000</v>
      </c>
      <c r="L140" s="4" t="s">
        <v>81</v>
      </c>
    </row>
    <row r="141" spans="1:12" s="40" customFormat="1" ht="30" customHeight="1">
      <c r="A141" s="28"/>
      <c r="B141" s="4" t="s">
        <v>23</v>
      </c>
      <c r="C141" s="87"/>
      <c r="D141" s="8" t="s">
        <v>150</v>
      </c>
      <c r="E141" s="101" t="s">
        <v>18</v>
      </c>
      <c r="F141" s="99"/>
      <c r="G141" s="68" t="s">
        <v>390</v>
      </c>
      <c r="H141" s="3"/>
      <c r="I141" s="3"/>
      <c r="J141" s="57">
        <f t="shared" si="60"/>
        <v>0</v>
      </c>
      <c r="K141" s="4">
        <v>6</v>
      </c>
      <c r="L141" s="4" t="s">
        <v>81</v>
      </c>
    </row>
    <row r="142" spans="1:12" s="40" customFormat="1" ht="30" customHeight="1">
      <c r="A142" s="28"/>
      <c r="B142" s="18" t="s">
        <v>23</v>
      </c>
      <c r="C142" s="83"/>
      <c r="D142" s="9" t="s">
        <v>179</v>
      </c>
      <c r="E142" s="4" t="s">
        <v>18</v>
      </c>
      <c r="F142" s="98"/>
      <c r="G142" s="71" t="s">
        <v>385</v>
      </c>
      <c r="H142" s="3"/>
      <c r="I142" s="3"/>
      <c r="J142" s="57">
        <f t="shared" si="60"/>
        <v>0</v>
      </c>
      <c r="K142" s="4">
        <v>10</v>
      </c>
      <c r="L142" s="4" t="s">
        <v>81</v>
      </c>
    </row>
    <row r="143" spans="1:12" s="40" customFormat="1" ht="30" customHeight="1">
      <c r="A143" s="28"/>
      <c r="B143" s="4" t="s">
        <v>23</v>
      </c>
      <c r="C143" s="87"/>
      <c r="D143" s="9" t="s">
        <v>180</v>
      </c>
      <c r="E143" s="4" t="s">
        <v>18</v>
      </c>
      <c r="F143" s="98"/>
      <c r="G143" s="71" t="s">
        <v>385</v>
      </c>
      <c r="H143" s="3"/>
      <c r="I143" s="3"/>
      <c r="J143" s="57">
        <f t="shared" si="60"/>
        <v>0</v>
      </c>
      <c r="K143" s="4">
        <v>10</v>
      </c>
      <c r="L143" s="4" t="s">
        <v>81</v>
      </c>
    </row>
    <row r="144" spans="1:12" ht="30" customHeight="1">
      <c r="A144" s="28"/>
      <c r="B144" s="4" t="s">
        <v>23</v>
      </c>
      <c r="C144" s="87"/>
      <c r="D144" s="9" t="s">
        <v>181</v>
      </c>
      <c r="E144" s="4" t="s">
        <v>18</v>
      </c>
      <c r="F144" s="98"/>
      <c r="G144" s="71" t="s">
        <v>385</v>
      </c>
      <c r="H144" s="3"/>
      <c r="I144" s="3"/>
      <c r="J144" s="57">
        <f t="shared" si="60"/>
        <v>0</v>
      </c>
      <c r="K144" s="4">
        <v>10</v>
      </c>
      <c r="L144" s="4" t="s">
        <v>81</v>
      </c>
    </row>
    <row r="145" spans="1:12" s="40" customFormat="1" ht="30" customHeight="1">
      <c r="A145" s="28"/>
      <c r="B145" s="4" t="s">
        <v>23</v>
      </c>
      <c r="C145" s="87"/>
      <c r="D145" s="9" t="s">
        <v>316</v>
      </c>
      <c r="E145" s="49" t="s">
        <v>184</v>
      </c>
      <c r="F145" s="98"/>
      <c r="G145" s="71" t="s">
        <v>385</v>
      </c>
      <c r="H145" s="3"/>
      <c r="I145" s="3"/>
      <c r="J145" s="57">
        <f t="shared" ref="J145" si="61">H145*K145+I145</f>
        <v>0</v>
      </c>
      <c r="K145" s="4">
        <v>5</v>
      </c>
      <c r="L145" s="4" t="s">
        <v>81</v>
      </c>
    </row>
    <row r="146" spans="1:12" s="40" customFormat="1" ht="30" customHeight="1">
      <c r="A146" s="28"/>
      <c r="B146" s="4" t="s">
        <v>23</v>
      </c>
      <c r="C146" s="87"/>
      <c r="D146" s="9" t="s">
        <v>271</v>
      </c>
      <c r="E146" s="49" t="s">
        <v>184</v>
      </c>
      <c r="F146" s="98"/>
      <c r="G146" s="71" t="s">
        <v>385</v>
      </c>
      <c r="H146" s="3"/>
      <c r="I146" s="3"/>
      <c r="J146" s="57">
        <f>H146*K146+I146</f>
        <v>0</v>
      </c>
      <c r="K146" s="4">
        <v>10</v>
      </c>
      <c r="L146" s="4" t="s">
        <v>81</v>
      </c>
    </row>
    <row r="147" spans="1:12" s="40" customFormat="1" ht="30" customHeight="1">
      <c r="A147" s="30"/>
      <c r="B147" s="30"/>
      <c r="C147" s="23"/>
      <c r="D147" s="30"/>
      <c r="E147" s="30"/>
      <c r="F147" s="31"/>
      <c r="G147" s="30"/>
      <c r="H147" s="30"/>
      <c r="I147" s="30"/>
      <c r="J147" s="23"/>
      <c r="K147" s="30"/>
      <c r="L147" s="30"/>
    </row>
    <row r="148" spans="1:12" s="40" customFormat="1" ht="30" customHeight="1">
      <c r="A148" s="30"/>
      <c r="B148" s="30"/>
      <c r="C148" s="23"/>
      <c r="D148" s="30"/>
      <c r="E148" s="30"/>
      <c r="F148" s="31"/>
      <c r="G148" s="30"/>
      <c r="H148" s="30"/>
      <c r="I148" s="30"/>
      <c r="J148" s="23"/>
      <c r="K148" s="30"/>
      <c r="L148" s="30"/>
    </row>
    <row r="149" spans="1:12" s="40" customFormat="1" ht="30" customHeight="1">
      <c r="A149" s="30"/>
      <c r="B149" s="30"/>
      <c r="C149" s="23"/>
      <c r="D149" s="30"/>
      <c r="E149" s="30"/>
      <c r="F149" s="31"/>
      <c r="G149" s="30"/>
      <c r="H149" s="30"/>
      <c r="I149" s="30"/>
      <c r="J149" s="23"/>
      <c r="K149" s="30"/>
      <c r="L149" s="30"/>
    </row>
    <row r="150" spans="1:12" ht="39.950000000000003" customHeight="1"/>
    <row r="151" spans="1:12" ht="39.950000000000003" customHeight="1"/>
    <row r="152" spans="1:12" ht="39.950000000000003" customHeight="1"/>
    <row r="153" spans="1:12" ht="39.950000000000003" customHeight="1"/>
    <row r="154" spans="1:12" ht="39.950000000000003" customHeight="1"/>
    <row r="155" spans="1:12" ht="39.950000000000003" customHeight="1"/>
    <row r="156" spans="1:12" ht="39.950000000000003" customHeight="1"/>
    <row r="157" spans="1:12" ht="39.950000000000003" customHeight="1"/>
    <row r="158" spans="1:12" ht="39.950000000000003" customHeight="1"/>
    <row r="159" spans="1:12" ht="39.950000000000003" customHeight="1"/>
    <row r="160" spans="1:12" ht="39.950000000000003" customHeight="1"/>
    <row r="161" ht="39.950000000000003" customHeight="1"/>
    <row r="162" ht="39.950000000000003" customHeight="1"/>
    <row r="163" ht="39.950000000000003" customHeight="1"/>
    <row r="164" ht="39.950000000000003" customHeight="1"/>
    <row r="165" ht="39.950000000000003" customHeight="1"/>
    <row r="166" ht="39.950000000000003" customHeight="1"/>
    <row r="167" ht="39.950000000000003" customHeight="1"/>
    <row r="168" ht="39.950000000000003" customHeight="1"/>
  </sheetData>
  <mergeCells count="2">
    <mergeCell ref="A1:B2"/>
    <mergeCell ref="D1:I2"/>
  </mergeCells>
  <phoneticPr fontId="1" type="noConversion"/>
  <printOptions horizontalCentered="1"/>
  <pageMargins left="0.23622047244094491" right="0.23622047244094491" top="0.35433070866141736" bottom="0.15748031496062992" header="0.31496062992125984" footer="0.31496062992125984"/>
  <pageSetup paperSize="9" scale="45" fitToHeight="0" orientation="portrait" r:id="rId1"/>
  <rowBreaks count="3" manualBreakCount="3">
    <brk id="64" max="11" man="1"/>
    <brk id="90" max="11" man="1"/>
    <brk id="147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0"/>
  <sheetViews>
    <sheetView tabSelected="1" topLeftCell="A157" workbookViewId="0">
      <selection activeCell="M180" sqref="M180"/>
    </sheetView>
  </sheetViews>
  <sheetFormatPr defaultRowHeight="16.5"/>
  <cols>
    <col min="1" max="1" width="9" style="256"/>
    <col min="2" max="2" width="18.625" style="256" bestFit="1" customWidth="1"/>
    <col min="3" max="3" width="9" style="256"/>
    <col min="4" max="4" width="36.625" style="256" customWidth="1"/>
    <col min="5" max="16384" width="9" style="256"/>
  </cols>
  <sheetData>
    <row r="1" spans="1:15">
      <c r="A1" s="256" t="s">
        <v>1032</v>
      </c>
      <c r="B1" s="256" t="s">
        <v>1033</v>
      </c>
      <c r="C1" s="256" t="s">
        <v>1034</v>
      </c>
      <c r="D1" s="256" t="s">
        <v>1035</v>
      </c>
      <c r="E1" s="256" t="s">
        <v>1036</v>
      </c>
      <c r="F1" s="256" t="s">
        <v>1037</v>
      </c>
      <c r="G1" s="256" t="s">
        <v>1038</v>
      </c>
      <c r="H1" s="256" t="s">
        <v>1039</v>
      </c>
      <c r="I1" s="256" t="s">
        <v>1040</v>
      </c>
      <c r="J1" s="256" t="s">
        <v>1041</v>
      </c>
      <c r="K1" s="256" t="s">
        <v>1042</v>
      </c>
      <c r="L1" s="256" t="s">
        <v>1043</v>
      </c>
      <c r="M1" s="256" t="s">
        <v>1044</v>
      </c>
      <c r="N1" s="256" t="s">
        <v>1045</v>
      </c>
    </row>
    <row r="2" spans="1:15">
      <c r="A2" s="256">
        <v>1</v>
      </c>
      <c r="B2" s="256" t="s">
        <v>1046</v>
      </c>
      <c r="C2" s="256">
        <v>30002902</v>
      </c>
      <c r="D2" s="256" t="s">
        <v>230</v>
      </c>
      <c r="E2" s="256" t="s">
        <v>12</v>
      </c>
      <c r="F2" s="256">
        <v>2.0011666666666668</v>
      </c>
      <c r="H2" s="256">
        <v>7</v>
      </c>
      <c r="I2" s="256">
        <v>5</v>
      </c>
      <c r="J2" s="256">
        <v>47</v>
      </c>
      <c r="K2" s="256">
        <v>6</v>
      </c>
      <c r="L2" s="256" t="s">
        <v>81</v>
      </c>
      <c r="M2" s="256">
        <v>5150</v>
      </c>
      <c r="N2" s="256">
        <v>242050</v>
      </c>
    </row>
    <row r="3" spans="1:15">
      <c r="A3" s="256">
        <v>2</v>
      </c>
      <c r="B3" s="256" t="s">
        <v>1047</v>
      </c>
      <c r="C3" s="256">
        <v>30002904</v>
      </c>
      <c r="D3" s="256" t="s">
        <v>595</v>
      </c>
      <c r="E3" s="256" t="s">
        <v>12</v>
      </c>
      <c r="F3" s="256">
        <v>0.61159999999999992</v>
      </c>
      <c r="H3" s="256">
        <v>3</v>
      </c>
      <c r="I3" s="256">
        <v>2</v>
      </c>
      <c r="J3" s="256">
        <v>17</v>
      </c>
      <c r="K3" s="256">
        <v>5</v>
      </c>
      <c r="L3" s="256" t="s">
        <v>81</v>
      </c>
      <c r="M3" s="256">
        <v>11400</v>
      </c>
      <c r="N3" s="256">
        <v>193800</v>
      </c>
      <c r="O3" s="256" t="s">
        <v>706</v>
      </c>
    </row>
    <row r="4" spans="1:15">
      <c r="A4" s="256">
        <v>3</v>
      </c>
      <c r="B4" s="256" t="s">
        <v>1047</v>
      </c>
      <c r="C4" s="256">
        <v>30003064</v>
      </c>
      <c r="D4" s="256" t="s">
        <v>329</v>
      </c>
      <c r="E4" s="256" t="s">
        <v>12</v>
      </c>
      <c r="F4" s="256">
        <v>1.2412000000000001</v>
      </c>
      <c r="H4" s="256">
        <v>1</v>
      </c>
      <c r="I4" s="256">
        <v>2</v>
      </c>
      <c r="J4" s="256">
        <v>7</v>
      </c>
      <c r="K4" s="256">
        <v>5</v>
      </c>
      <c r="L4" s="256" t="s">
        <v>81</v>
      </c>
      <c r="M4" s="256">
        <v>14700</v>
      </c>
      <c r="N4" s="256">
        <v>102900</v>
      </c>
    </row>
    <row r="5" spans="1:15">
      <c r="A5" s="256">
        <v>4</v>
      </c>
      <c r="B5" s="256" t="s">
        <v>1047</v>
      </c>
      <c r="C5" s="256">
        <v>30003367</v>
      </c>
      <c r="D5" s="256" t="s">
        <v>727</v>
      </c>
      <c r="E5" s="256" t="s">
        <v>12</v>
      </c>
      <c r="H5" s="256">
        <v>1</v>
      </c>
      <c r="I5" s="256">
        <v>3</v>
      </c>
      <c r="J5" s="256">
        <v>8</v>
      </c>
      <c r="K5" s="256">
        <v>5</v>
      </c>
      <c r="L5" s="256" t="s">
        <v>81</v>
      </c>
      <c r="M5" s="256">
        <v>11400</v>
      </c>
      <c r="N5" s="256">
        <v>91200</v>
      </c>
      <c r="O5" s="256" t="s">
        <v>706</v>
      </c>
    </row>
    <row r="6" spans="1:15">
      <c r="A6" s="256">
        <v>5</v>
      </c>
      <c r="B6" s="256" t="s">
        <v>1047</v>
      </c>
      <c r="C6" s="256">
        <v>20194666</v>
      </c>
      <c r="D6" s="256" t="s">
        <v>972</v>
      </c>
      <c r="E6" s="256" t="s">
        <v>12</v>
      </c>
      <c r="H6" s="256">
        <v>12</v>
      </c>
      <c r="J6" s="256">
        <v>60</v>
      </c>
      <c r="K6" s="256">
        <v>5</v>
      </c>
      <c r="L6" s="256" t="s">
        <v>81</v>
      </c>
      <c r="M6" s="256">
        <v>14700</v>
      </c>
      <c r="N6" s="256">
        <v>882000</v>
      </c>
    </row>
    <row r="7" spans="1:15">
      <c r="A7" s="256">
        <v>6</v>
      </c>
      <c r="B7" s="256" t="s">
        <v>1048</v>
      </c>
      <c r="C7" s="256">
        <v>30002846</v>
      </c>
      <c r="D7" s="256" t="s">
        <v>226</v>
      </c>
      <c r="E7" s="256" t="s">
        <v>12</v>
      </c>
      <c r="F7" s="256">
        <v>0.44219999999999998</v>
      </c>
      <c r="H7" s="256">
        <v>1</v>
      </c>
      <c r="I7" s="256">
        <v>2</v>
      </c>
      <c r="J7" s="256">
        <v>7</v>
      </c>
      <c r="K7" s="256">
        <v>5</v>
      </c>
      <c r="L7" s="256" t="s">
        <v>80</v>
      </c>
      <c r="M7" s="256">
        <v>8910</v>
      </c>
      <c r="N7" s="256">
        <v>62370</v>
      </c>
    </row>
    <row r="8" spans="1:15">
      <c r="A8" s="256">
        <v>7</v>
      </c>
      <c r="B8" s="256" t="s">
        <v>1048</v>
      </c>
      <c r="C8" s="256">
        <v>30003596</v>
      </c>
      <c r="D8" s="256" t="s">
        <v>694</v>
      </c>
      <c r="E8" s="256" t="s">
        <v>12</v>
      </c>
      <c r="F8" s="256">
        <v>1.1394</v>
      </c>
      <c r="H8" s="256">
        <v>1</v>
      </c>
      <c r="I8" s="256">
        <v>3</v>
      </c>
      <c r="J8" s="256">
        <v>8</v>
      </c>
      <c r="K8" s="256">
        <v>5</v>
      </c>
      <c r="L8" s="256" t="s">
        <v>81</v>
      </c>
      <c r="M8" s="256">
        <v>16140</v>
      </c>
      <c r="N8" s="256">
        <v>129120</v>
      </c>
    </row>
    <row r="9" spans="1:15">
      <c r="A9" s="256">
        <v>8</v>
      </c>
      <c r="B9" s="256" t="s">
        <v>1049</v>
      </c>
      <c r="C9" s="256">
        <v>30002896</v>
      </c>
      <c r="D9" s="256" t="s">
        <v>240</v>
      </c>
      <c r="E9" s="256" t="s">
        <v>12</v>
      </c>
      <c r="F9" s="256">
        <v>0.89300000000000002</v>
      </c>
      <c r="H9" s="256">
        <v>3</v>
      </c>
      <c r="I9" s="256">
        <v>2</v>
      </c>
      <c r="J9" s="256">
        <v>14</v>
      </c>
      <c r="K9" s="256">
        <v>4</v>
      </c>
      <c r="L9" s="256" t="s">
        <v>80</v>
      </c>
      <c r="M9" s="256">
        <v>10200</v>
      </c>
      <c r="N9" s="256">
        <v>142800</v>
      </c>
    </row>
    <row r="10" spans="1:15">
      <c r="A10" s="256">
        <v>9</v>
      </c>
      <c r="B10" s="256" t="s">
        <v>1049</v>
      </c>
      <c r="C10" s="256">
        <v>30003617</v>
      </c>
      <c r="D10" s="256" t="s">
        <v>749</v>
      </c>
      <c r="E10" s="256" t="s">
        <v>12</v>
      </c>
      <c r="F10" s="256" t="s">
        <v>1050</v>
      </c>
      <c r="H10" s="256">
        <v>6</v>
      </c>
      <c r="J10" s="256">
        <v>24</v>
      </c>
      <c r="K10" s="256">
        <v>4</v>
      </c>
      <c r="L10" s="256" t="s">
        <v>81</v>
      </c>
      <c r="M10" s="256">
        <v>14280</v>
      </c>
      <c r="N10" s="256">
        <v>342720</v>
      </c>
    </row>
    <row r="11" spans="1:15">
      <c r="A11" s="256">
        <v>10</v>
      </c>
      <c r="B11" s="256" t="s">
        <v>1051</v>
      </c>
      <c r="C11" s="256">
        <v>20195150</v>
      </c>
      <c r="D11" s="256" t="s">
        <v>695</v>
      </c>
      <c r="E11" s="256" t="s">
        <v>1021</v>
      </c>
      <c r="F11" s="256">
        <v>1.990875</v>
      </c>
      <c r="H11" s="256">
        <v>9</v>
      </c>
      <c r="I11" s="256">
        <v>11</v>
      </c>
      <c r="J11" s="256">
        <v>155</v>
      </c>
      <c r="K11" s="256">
        <v>16</v>
      </c>
      <c r="L11" s="256" t="s">
        <v>80</v>
      </c>
      <c r="M11" s="256">
        <v>7440</v>
      </c>
      <c r="N11" s="256">
        <v>1153200</v>
      </c>
    </row>
    <row r="12" spans="1:15">
      <c r="A12" s="256">
        <v>11</v>
      </c>
      <c r="B12" s="256" t="s">
        <v>1052</v>
      </c>
      <c r="C12" s="256">
        <v>30003582</v>
      </c>
      <c r="D12" s="256" t="s">
        <v>1012</v>
      </c>
      <c r="E12" s="256" t="s">
        <v>10</v>
      </c>
      <c r="F12" s="256">
        <v>10.21875</v>
      </c>
      <c r="H12" s="256">
        <v>14</v>
      </c>
      <c r="I12" s="256">
        <v>2</v>
      </c>
      <c r="J12" s="256">
        <v>58</v>
      </c>
      <c r="K12" s="256">
        <v>4</v>
      </c>
      <c r="L12" s="256" t="s">
        <v>80</v>
      </c>
      <c r="M12" s="256">
        <v>3950</v>
      </c>
      <c r="N12" s="256">
        <v>229100</v>
      </c>
      <c r="O12" s="256" t="s">
        <v>710</v>
      </c>
    </row>
    <row r="13" spans="1:15">
      <c r="A13" s="256">
        <v>11</v>
      </c>
      <c r="B13" s="256" t="s">
        <v>1052</v>
      </c>
      <c r="C13" s="256">
        <v>30003582</v>
      </c>
      <c r="D13" s="256" t="s">
        <v>676</v>
      </c>
      <c r="E13" s="256" t="s">
        <v>10</v>
      </c>
      <c r="F13" s="256">
        <v>10.21875</v>
      </c>
      <c r="H13" s="256">
        <v>34</v>
      </c>
      <c r="J13" s="256">
        <v>136</v>
      </c>
      <c r="K13" s="256">
        <v>4</v>
      </c>
      <c r="L13" s="256" t="s">
        <v>80</v>
      </c>
      <c r="M13" s="256">
        <v>3950</v>
      </c>
      <c r="N13" s="256">
        <v>537200</v>
      </c>
      <c r="O13" s="256" t="s">
        <v>710</v>
      </c>
    </row>
    <row r="14" spans="1:15">
      <c r="A14" s="256">
        <v>12</v>
      </c>
      <c r="B14" s="256" t="s">
        <v>1053</v>
      </c>
      <c r="C14" s="256">
        <v>20001846</v>
      </c>
      <c r="D14" s="256" t="s">
        <v>1054</v>
      </c>
      <c r="E14" s="256" t="s">
        <v>10</v>
      </c>
      <c r="F14" s="256">
        <v>16.602</v>
      </c>
      <c r="H14" s="256">
        <v>15</v>
      </c>
      <c r="J14" s="256">
        <v>45</v>
      </c>
      <c r="K14" s="256">
        <v>3</v>
      </c>
      <c r="L14" s="256" t="s">
        <v>83</v>
      </c>
      <c r="M14" s="256">
        <v>7600</v>
      </c>
      <c r="N14" s="256">
        <v>342000</v>
      </c>
    </row>
    <row r="15" spans="1:15">
      <c r="A15" s="256">
        <v>13</v>
      </c>
      <c r="B15" s="256" t="s">
        <v>868</v>
      </c>
      <c r="C15" s="256">
        <v>30002903</v>
      </c>
      <c r="D15" s="256" t="s">
        <v>592</v>
      </c>
      <c r="E15" s="256" t="s">
        <v>12</v>
      </c>
      <c r="F15" s="256">
        <v>9.4499999999999993</v>
      </c>
      <c r="H15" s="256">
        <v>24</v>
      </c>
      <c r="J15" s="256">
        <v>192</v>
      </c>
      <c r="K15" s="256">
        <v>8</v>
      </c>
      <c r="L15" s="256" t="s">
        <v>80</v>
      </c>
      <c r="M15" s="256">
        <v>10226.25</v>
      </c>
      <c r="N15" s="256">
        <v>1963440</v>
      </c>
      <c r="O15" s="256" t="s">
        <v>706</v>
      </c>
    </row>
    <row r="16" spans="1:15">
      <c r="A16" s="256">
        <v>14</v>
      </c>
      <c r="B16" s="256" t="s">
        <v>868</v>
      </c>
      <c r="C16" s="256">
        <v>30003671</v>
      </c>
      <c r="D16" s="256" t="s">
        <v>878</v>
      </c>
      <c r="E16" s="256" t="s">
        <v>10</v>
      </c>
      <c r="F16" s="256" t="s">
        <v>1050</v>
      </c>
      <c r="H16" s="256">
        <v>20</v>
      </c>
      <c r="I16" s="256">
        <v>22</v>
      </c>
      <c r="J16" s="256">
        <v>222</v>
      </c>
      <c r="K16" s="256">
        <v>10</v>
      </c>
      <c r="L16" s="256" t="s">
        <v>80</v>
      </c>
      <c r="M16" s="256">
        <v>6300</v>
      </c>
      <c r="N16" s="256">
        <v>1398600</v>
      </c>
    </row>
    <row r="17" spans="1:15">
      <c r="A17" s="256">
        <v>15</v>
      </c>
      <c r="B17" s="256" t="s">
        <v>1024</v>
      </c>
      <c r="C17" s="256">
        <v>30003656</v>
      </c>
      <c r="D17" s="256" t="s">
        <v>743</v>
      </c>
      <c r="E17" s="256" t="s">
        <v>12</v>
      </c>
      <c r="F17" s="256" t="s">
        <v>1050</v>
      </c>
      <c r="G17" s="256" t="s">
        <v>1055</v>
      </c>
      <c r="H17" s="256">
        <v>6</v>
      </c>
      <c r="I17" s="256">
        <v>26</v>
      </c>
      <c r="J17" s="256">
        <v>86</v>
      </c>
      <c r="K17" s="256">
        <v>10</v>
      </c>
      <c r="M17" s="256">
        <v>3200</v>
      </c>
      <c r="N17" s="256">
        <v>275200</v>
      </c>
    </row>
    <row r="18" spans="1:15">
      <c r="A18" s="256">
        <v>16</v>
      </c>
      <c r="B18" s="256" t="s">
        <v>1024</v>
      </c>
      <c r="C18" s="256">
        <v>30001165</v>
      </c>
      <c r="D18" s="256" t="s">
        <v>1056</v>
      </c>
      <c r="E18" s="256" t="s">
        <v>12</v>
      </c>
      <c r="F18" s="256">
        <v>2.82</v>
      </c>
      <c r="H18" s="256">
        <v>4</v>
      </c>
      <c r="J18" s="256">
        <v>4</v>
      </c>
      <c r="K18" s="256">
        <v>1</v>
      </c>
      <c r="L18" s="256" t="s">
        <v>83</v>
      </c>
      <c r="M18" s="256">
        <v>19800</v>
      </c>
      <c r="N18" s="256">
        <v>79200</v>
      </c>
    </row>
    <row r="19" spans="1:15">
      <c r="A19" s="256">
        <v>17</v>
      </c>
      <c r="B19" s="256" t="s">
        <v>1024</v>
      </c>
      <c r="C19" s="256">
        <v>30002355</v>
      </c>
      <c r="D19" s="256" t="s">
        <v>744</v>
      </c>
      <c r="E19" s="256" t="s">
        <v>12</v>
      </c>
      <c r="F19" s="256">
        <v>2.6260000000000003</v>
      </c>
      <c r="G19" s="256" t="s">
        <v>1055</v>
      </c>
      <c r="J19" s="256">
        <v>0</v>
      </c>
      <c r="K19" s="256">
        <v>10</v>
      </c>
      <c r="L19" s="256" t="s">
        <v>80</v>
      </c>
      <c r="M19" s="256">
        <v>2230</v>
      </c>
      <c r="N19" s="256">
        <v>0</v>
      </c>
    </row>
    <row r="20" spans="1:15">
      <c r="A20" s="256">
        <v>18</v>
      </c>
      <c r="B20" s="256" t="s">
        <v>1024</v>
      </c>
      <c r="C20" s="256">
        <v>30003673</v>
      </c>
      <c r="D20" s="256" t="s">
        <v>893</v>
      </c>
      <c r="E20" s="256" t="s">
        <v>12</v>
      </c>
      <c r="F20" s="256" t="s">
        <v>1050</v>
      </c>
      <c r="H20" s="256">
        <v>1</v>
      </c>
      <c r="J20" s="256">
        <v>1</v>
      </c>
      <c r="K20" s="256">
        <v>1</v>
      </c>
      <c r="L20" s="256" t="s">
        <v>80</v>
      </c>
      <c r="M20" s="256">
        <v>2230</v>
      </c>
      <c r="N20" s="256">
        <v>2230</v>
      </c>
    </row>
    <row r="21" spans="1:15">
      <c r="A21" s="256">
        <v>19</v>
      </c>
      <c r="B21" s="256" t="s">
        <v>1024</v>
      </c>
      <c r="C21" s="256">
        <v>30002684</v>
      </c>
      <c r="D21" s="256" t="s">
        <v>1057</v>
      </c>
      <c r="E21" s="256" t="s">
        <v>12</v>
      </c>
      <c r="F21" s="256" t="s">
        <v>1050</v>
      </c>
      <c r="G21" s="256" t="s">
        <v>1058</v>
      </c>
      <c r="J21" s="256">
        <v>0</v>
      </c>
      <c r="K21" s="256">
        <v>10</v>
      </c>
      <c r="M21" s="256">
        <v>2810</v>
      </c>
      <c r="N21" s="256">
        <v>0</v>
      </c>
    </row>
    <row r="22" spans="1:15">
      <c r="A22" s="256">
        <v>20</v>
      </c>
      <c r="B22" s="256" t="s">
        <v>1059</v>
      </c>
      <c r="C22" s="256">
        <v>30002593</v>
      </c>
      <c r="D22" s="256" t="s">
        <v>182</v>
      </c>
      <c r="E22" s="256" t="s">
        <v>12</v>
      </c>
      <c r="F22" s="256">
        <v>2.6006</v>
      </c>
      <c r="H22" s="256">
        <v>12</v>
      </c>
      <c r="I22" s="256">
        <v>9</v>
      </c>
      <c r="J22" s="256">
        <v>129</v>
      </c>
      <c r="K22" s="256">
        <v>10</v>
      </c>
      <c r="L22" s="256" t="s">
        <v>80</v>
      </c>
      <c r="M22" s="256">
        <v>5200</v>
      </c>
      <c r="N22" s="256">
        <v>670800</v>
      </c>
    </row>
    <row r="23" spans="1:15">
      <c r="A23" s="256">
        <v>21</v>
      </c>
      <c r="B23" s="256" t="s">
        <v>1059</v>
      </c>
      <c r="C23" s="256">
        <v>30002318</v>
      </c>
      <c r="D23" s="256" t="s">
        <v>977</v>
      </c>
      <c r="E23" s="256" t="s">
        <v>12</v>
      </c>
      <c r="F23" s="256">
        <v>3.8</v>
      </c>
      <c r="H23" s="256">
        <v>9</v>
      </c>
      <c r="J23" s="256">
        <v>90</v>
      </c>
      <c r="K23" s="256">
        <v>10</v>
      </c>
      <c r="L23" s="256" t="s">
        <v>80</v>
      </c>
      <c r="M23" s="256">
        <v>4300</v>
      </c>
      <c r="N23" s="256">
        <v>387000</v>
      </c>
    </row>
    <row r="24" spans="1:15">
      <c r="A24" s="256">
        <v>22</v>
      </c>
      <c r="B24" s="256" t="s">
        <v>1059</v>
      </c>
      <c r="C24" s="256">
        <v>30003566</v>
      </c>
      <c r="D24" s="256" t="s">
        <v>1010</v>
      </c>
      <c r="E24" s="256" t="s">
        <v>12</v>
      </c>
      <c r="F24" s="256">
        <v>3.8</v>
      </c>
      <c r="H24" s="256">
        <v>2</v>
      </c>
      <c r="J24" s="256">
        <v>20</v>
      </c>
      <c r="K24" s="256">
        <v>10</v>
      </c>
      <c r="L24" s="256" t="s">
        <v>80</v>
      </c>
      <c r="M24" s="256">
        <v>4300</v>
      </c>
      <c r="N24" s="256">
        <v>86000</v>
      </c>
    </row>
    <row r="25" spans="1:15">
      <c r="A25" s="256">
        <v>23</v>
      </c>
      <c r="B25" s="256" t="s">
        <v>1060</v>
      </c>
      <c r="C25" s="256">
        <v>30002007</v>
      </c>
      <c r="D25" s="256" t="s">
        <v>1061</v>
      </c>
      <c r="E25" s="256" t="s">
        <v>12</v>
      </c>
      <c r="F25" s="256">
        <v>1.2630833333333333</v>
      </c>
      <c r="I25" s="256">
        <v>10</v>
      </c>
      <c r="J25" s="256">
        <v>10</v>
      </c>
      <c r="K25" s="256">
        <v>12</v>
      </c>
      <c r="L25" s="256" t="s">
        <v>80</v>
      </c>
      <c r="M25" s="256">
        <v>5900</v>
      </c>
      <c r="N25" s="256">
        <v>59000</v>
      </c>
    </row>
    <row r="26" spans="1:15">
      <c r="A26" s="256">
        <v>24</v>
      </c>
      <c r="B26" s="256" t="s">
        <v>1060</v>
      </c>
      <c r="C26" s="256">
        <v>30000910</v>
      </c>
      <c r="D26" s="256" t="s">
        <v>33</v>
      </c>
      <c r="E26" s="256" t="s">
        <v>12</v>
      </c>
      <c r="F26" s="256">
        <v>2.4375833333333334</v>
      </c>
      <c r="H26" s="256">
        <v>8</v>
      </c>
      <c r="I26" s="256">
        <v>9</v>
      </c>
      <c r="J26" s="256">
        <v>105</v>
      </c>
      <c r="K26" s="256">
        <v>12</v>
      </c>
      <c r="L26" s="256" t="s">
        <v>80</v>
      </c>
      <c r="M26" s="256">
        <v>6250</v>
      </c>
      <c r="N26" s="256">
        <v>656250</v>
      </c>
    </row>
    <row r="27" spans="1:15">
      <c r="A27" s="256">
        <v>25</v>
      </c>
      <c r="B27" s="256" t="s">
        <v>1060</v>
      </c>
      <c r="C27" s="256">
        <v>30003510</v>
      </c>
      <c r="D27" s="256" t="s">
        <v>586</v>
      </c>
      <c r="E27" s="256" t="s">
        <v>12</v>
      </c>
      <c r="F27" s="256">
        <v>7.81175</v>
      </c>
      <c r="H27" s="256">
        <v>9</v>
      </c>
      <c r="I27" s="256">
        <v>6</v>
      </c>
      <c r="J27" s="256">
        <v>114</v>
      </c>
      <c r="K27" s="256">
        <v>12</v>
      </c>
      <c r="L27" s="256" t="s">
        <v>80</v>
      </c>
      <c r="M27" s="256">
        <v>5900</v>
      </c>
      <c r="N27" s="256">
        <v>672600</v>
      </c>
      <c r="O27" s="256" t="s">
        <v>704</v>
      </c>
    </row>
    <row r="28" spans="1:15">
      <c r="A28" s="256">
        <v>26</v>
      </c>
      <c r="B28" s="256" t="s">
        <v>1062</v>
      </c>
      <c r="C28" s="256">
        <v>30003288</v>
      </c>
      <c r="D28" s="256" t="s">
        <v>1063</v>
      </c>
      <c r="E28" s="256" t="s">
        <v>10</v>
      </c>
      <c r="F28" s="256">
        <v>0.35616666666666669</v>
      </c>
      <c r="H28" s="256">
        <v>1</v>
      </c>
      <c r="J28" s="256">
        <v>6</v>
      </c>
      <c r="K28" s="256">
        <v>6</v>
      </c>
      <c r="L28" s="256" t="s">
        <v>81</v>
      </c>
      <c r="M28" s="256">
        <v>3900</v>
      </c>
      <c r="N28" s="256">
        <v>23400</v>
      </c>
    </row>
    <row r="29" spans="1:15">
      <c r="A29" s="256">
        <v>27</v>
      </c>
      <c r="B29" s="256" t="s">
        <v>1062</v>
      </c>
      <c r="C29" s="256">
        <v>30003599</v>
      </c>
      <c r="D29" s="256" t="s">
        <v>730</v>
      </c>
      <c r="E29" s="256" t="s">
        <v>10</v>
      </c>
      <c r="F29" s="256">
        <v>8.4546666666666663</v>
      </c>
      <c r="H29" s="256">
        <v>58</v>
      </c>
      <c r="J29" s="256">
        <v>2</v>
      </c>
      <c r="K29" s="256">
        <v>3</v>
      </c>
      <c r="L29" s="256" t="s">
        <v>81</v>
      </c>
      <c r="M29" s="256">
        <v>3900</v>
      </c>
      <c r="N29" s="256">
        <v>7800</v>
      </c>
    </row>
    <row r="30" spans="1:15">
      <c r="A30" s="256">
        <v>27</v>
      </c>
      <c r="B30" s="256" t="s">
        <v>1062</v>
      </c>
      <c r="C30" s="256">
        <v>30003599</v>
      </c>
      <c r="D30" s="256" t="s">
        <v>1200</v>
      </c>
      <c r="E30" s="256" t="s">
        <v>10</v>
      </c>
      <c r="F30" s="256">
        <v>2.5364</v>
      </c>
      <c r="H30" s="256">
        <v>7</v>
      </c>
      <c r="I30" s="256">
        <v>5</v>
      </c>
      <c r="J30" s="256">
        <v>2</v>
      </c>
      <c r="K30" s="256">
        <v>10</v>
      </c>
      <c r="L30" s="256" t="s">
        <v>81</v>
      </c>
      <c r="M30" s="256">
        <v>3900</v>
      </c>
      <c r="N30" s="256">
        <v>7800</v>
      </c>
    </row>
    <row r="31" spans="1:15">
      <c r="A31" s="256">
        <v>28</v>
      </c>
      <c r="B31" s="256" t="s">
        <v>1064</v>
      </c>
      <c r="C31" s="256">
        <v>30000376</v>
      </c>
      <c r="D31" s="256" t="s">
        <v>222</v>
      </c>
      <c r="E31" s="256" t="s">
        <v>10</v>
      </c>
      <c r="F31" s="256">
        <v>3.2648000000000001</v>
      </c>
      <c r="H31" s="256">
        <v>7</v>
      </c>
      <c r="I31" s="256">
        <v>2</v>
      </c>
      <c r="J31" s="256">
        <v>72</v>
      </c>
      <c r="K31" s="256">
        <v>10</v>
      </c>
      <c r="L31" s="256" t="s">
        <v>80</v>
      </c>
      <c r="M31" s="256">
        <v>5150</v>
      </c>
      <c r="N31" s="256">
        <v>370800</v>
      </c>
    </row>
    <row r="32" spans="1:15">
      <c r="A32" s="256">
        <v>29</v>
      </c>
      <c r="B32" s="256" t="s">
        <v>1064</v>
      </c>
      <c r="C32" s="256">
        <v>30002614</v>
      </c>
      <c r="D32" s="256" t="s">
        <v>812</v>
      </c>
      <c r="E32" s="256" t="s">
        <v>10</v>
      </c>
      <c r="F32" s="256">
        <v>5.9682000000000004</v>
      </c>
      <c r="G32" s="256" t="s">
        <v>1065</v>
      </c>
      <c r="H32" s="256">
        <v>3</v>
      </c>
      <c r="I32" s="256">
        <v>10</v>
      </c>
      <c r="J32" s="256">
        <v>40</v>
      </c>
      <c r="K32" s="256">
        <v>10</v>
      </c>
      <c r="L32" s="256" t="s">
        <v>80</v>
      </c>
      <c r="M32" s="256">
        <v>5500</v>
      </c>
      <c r="N32" s="256">
        <v>220000</v>
      </c>
    </row>
    <row r="33" spans="1:15">
      <c r="A33" s="256">
        <v>29</v>
      </c>
      <c r="B33" s="256" t="s">
        <v>1064</v>
      </c>
      <c r="C33" s="256">
        <v>30003766</v>
      </c>
      <c r="D33" s="256" t="s">
        <v>1208</v>
      </c>
      <c r="E33" s="256" t="s">
        <v>10</v>
      </c>
      <c r="F33" s="256" t="s">
        <v>1050</v>
      </c>
      <c r="H33" s="256">
        <v>3</v>
      </c>
      <c r="I33" s="256">
        <v>6</v>
      </c>
      <c r="J33" s="256">
        <v>36</v>
      </c>
      <c r="K33" s="256">
        <v>10</v>
      </c>
      <c r="L33" s="256" t="s">
        <v>80</v>
      </c>
      <c r="M33" s="256">
        <v>6900</v>
      </c>
      <c r="N33" s="256">
        <v>248400</v>
      </c>
    </row>
    <row r="34" spans="1:15">
      <c r="A34" s="256">
        <v>30</v>
      </c>
      <c r="B34" s="256" t="s">
        <v>1066</v>
      </c>
      <c r="C34" s="256">
        <v>20001849</v>
      </c>
      <c r="D34" s="256" t="s">
        <v>1067</v>
      </c>
      <c r="E34" s="256" t="s">
        <v>12</v>
      </c>
      <c r="F34" s="256">
        <v>5.3746999999999998</v>
      </c>
      <c r="H34" s="256">
        <v>5</v>
      </c>
      <c r="I34" s="256">
        <v>4</v>
      </c>
      <c r="J34" s="256">
        <v>54</v>
      </c>
      <c r="K34" s="256">
        <v>10</v>
      </c>
      <c r="L34" s="256" t="s">
        <v>80</v>
      </c>
      <c r="M34" s="256">
        <v>4200</v>
      </c>
      <c r="N34" s="256">
        <v>226800</v>
      </c>
    </row>
    <row r="35" spans="1:15">
      <c r="A35" s="256">
        <v>31</v>
      </c>
      <c r="B35" s="256" t="s">
        <v>1068</v>
      </c>
      <c r="C35" s="256">
        <v>30003695</v>
      </c>
      <c r="D35" s="256" t="s">
        <v>932</v>
      </c>
      <c r="E35" s="256" t="s">
        <v>10</v>
      </c>
      <c r="F35" s="256" t="s">
        <v>1050</v>
      </c>
      <c r="H35" s="256">
        <v>25</v>
      </c>
      <c r="J35" s="256">
        <v>250</v>
      </c>
      <c r="K35" s="256">
        <v>10</v>
      </c>
      <c r="L35" s="256" t="s">
        <v>80</v>
      </c>
      <c r="M35" s="256">
        <v>24400</v>
      </c>
      <c r="N35" s="256">
        <v>6100000</v>
      </c>
    </row>
    <row r="36" spans="1:15">
      <c r="A36" s="256">
        <v>32</v>
      </c>
      <c r="B36" s="256" t="s">
        <v>1069</v>
      </c>
      <c r="C36" s="256">
        <v>30003556</v>
      </c>
      <c r="D36" s="256" t="s">
        <v>1070</v>
      </c>
      <c r="E36" s="256" t="s">
        <v>12</v>
      </c>
      <c r="F36" s="256">
        <v>7.3999999999999995E-3</v>
      </c>
      <c r="J36" s="256">
        <v>0</v>
      </c>
      <c r="K36" s="256">
        <v>5</v>
      </c>
      <c r="L36" s="256" t="s">
        <v>82</v>
      </c>
      <c r="M36" s="256">
        <v>19200</v>
      </c>
      <c r="N36" s="256">
        <v>0</v>
      </c>
      <c r="O36" s="256" t="s">
        <v>707</v>
      </c>
    </row>
    <row r="37" spans="1:15">
      <c r="A37" s="256">
        <v>33</v>
      </c>
      <c r="B37" s="256" t="s">
        <v>1069</v>
      </c>
      <c r="C37" s="256">
        <v>30003528</v>
      </c>
      <c r="D37" s="256" t="s">
        <v>632</v>
      </c>
      <c r="E37" s="256" t="s">
        <v>12</v>
      </c>
      <c r="F37" s="256">
        <v>4.5400000000000003E-2</v>
      </c>
      <c r="I37" s="256">
        <v>1</v>
      </c>
      <c r="J37" s="256">
        <v>1</v>
      </c>
      <c r="K37" s="256">
        <v>5</v>
      </c>
      <c r="L37" s="256" t="s">
        <v>82</v>
      </c>
      <c r="M37" s="256">
        <v>26500</v>
      </c>
      <c r="N37" s="256">
        <v>26500</v>
      </c>
      <c r="O37" s="256" t="s">
        <v>709</v>
      </c>
    </row>
    <row r="38" spans="1:15">
      <c r="A38" s="256">
        <v>34</v>
      </c>
      <c r="B38" s="256" t="s">
        <v>1066</v>
      </c>
      <c r="C38" s="256">
        <v>30003070</v>
      </c>
      <c r="D38" s="256" t="s">
        <v>270</v>
      </c>
      <c r="E38" s="256" t="s">
        <v>12</v>
      </c>
      <c r="F38" s="256">
        <v>0.4</v>
      </c>
      <c r="H38" s="256">
        <v>1</v>
      </c>
      <c r="I38" s="256">
        <v>20</v>
      </c>
      <c r="J38" s="256">
        <v>50</v>
      </c>
      <c r="K38" s="256">
        <v>30</v>
      </c>
      <c r="L38" s="256" t="s">
        <v>80</v>
      </c>
      <c r="M38" s="256">
        <v>1820</v>
      </c>
      <c r="N38" s="256">
        <v>91000</v>
      </c>
    </row>
    <row r="39" spans="1:15">
      <c r="A39" s="256">
        <v>35</v>
      </c>
      <c r="B39" s="256" t="s">
        <v>1071</v>
      </c>
      <c r="C39" s="256">
        <v>30003352</v>
      </c>
      <c r="D39" s="256" t="s">
        <v>988</v>
      </c>
      <c r="E39" s="256" t="s">
        <v>12</v>
      </c>
      <c r="H39" s="256">
        <v>11</v>
      </c>
      <c r="I39" s="256">
        <v>4</v>
      </c>
      <c r="J39" s="256">
        <v>136</v>
      </c>
      <c r="K39" s="256">
        <v>12</v>
      </c>
      <c r="L39" s="256" t="s">
        <v>81</v>
      </c>
      <c r="M39" s="256">
        <v>5330</v>
      </c>
      <c r="N39" s="256">
        <v>724880</v>
      </c>
    </row>
    <row r="40" spans="1:15">
      <c r="A40" s="256">
        <v>36</v>
      </c>
      <c r="B40" s="256" t="s">
        <v>1053</v>
      </c>
      <c r="D40" s="256" t="s">
        <v>1072</v>
      </c>
      <c r="E40" s="256" t="s">
        <v>1021</v>
      </c>
      <c r="F40" s="256" t="s">
        <v>1050</v>
      </c>
      <c r="G40" s="256" t="s">
        <v>1073</v>
      </c>
      <c r="J40" s="256">
        <v>0</v>
      </c>
      <c r="K40" s="256">
        <v>3</v>
      </c>
      <c r="M40" s="256">
        <v>6255</v>
      </c>
      <c r="N40" s="256">
        <v>0</v>
      </c>
    </row>
    <row r="41" spans="1:15">
      <c r="A41" s="256">
        <v>37</v>
      </c>
      <c r="B41" s="256" t="s">
        <v>1053</v>
      </c>
      <c r="D41" s="256" t="s">
        <v>1074</v>
      </c>
      <c r="E41" s="256" t="s">
        <v>12</v>
      </c>
      <c r="F41" s="256" t="s">
        <v>1050</v>
      </c>
      <c r="G41" s="256" t="s">
        <v>1058</v>
      </c>
      <c r="J41" s="256">
        <v>0</v>
      </c>
      <c r="K41" s="256">
        <v>2</v>
      </c>
      <c r="M41" s="256">
        <v>18000</v>
      </c>
      <c r="N41" s="256">
        <v>0</v>
      </c>
    </row>
    <row r="42" spans="1:15">
      <c r="A42" s="256">
        <v>38</v>
      </c>
      <c r="B42" s="256" t="s">
        <v>1075</v>
      </c>
      <c r="C42" s="256">
        <v>30002614</v>
      </c>
      <c r="D42" s="256" t="s">
        <v>1076</v>
      </c>
      <c r="E42" s="256" t="s">
        <v>12</v>
      </c>
      <c r="F42" s="256">
        <v>5.9682000000000004</v>
      </c>
      <c r="G42" s="256" t="s">
        <v>717</v>
      </c>
      <c r="J42" s="256">
        <v>0</v>
      </c>
      <c r="K42" s="256">
        <v>10</v>
      </c>
      <c r="L42" s="256" t="s">
        <v>80</v>
      </c>
      <c r="M42" s="256">
        <v>3400</v>
      </c>
      <c r="N42" s="256">
        <v>0</v>
      </c>
    </row>
    <row r="43" spans="1:15">
      <c r="A43" s="256">
        <v>39</v>
      </c>
      <c r="B43" s="256" t="s">
        <v>1075</v>
      </c>
      <c r="C43" s="256">
        <v>30000376</v>
      </c>
      <c r="D43" s="256" t="s">
        <v>1077</v>
      </c>
      <c r="E43" s="256" t="s">
        <v>12</v>
      </c>
      <c r="F43" s="256">
        <v>3.2648000000000001</v>
      </c>
      <c r="G43" s="256" t="s">
        <v>717</v>
      </c>
      <c r="J43" s="256">
        <v>0</v>
      </c>
      <c r="K43" s="256">
        <v>10</v>
      </c>
      <c r="L43" s="256" t="s">
        <v>80</v>
      </c>
      <c r="M43" s="256">
        <v>6300</v>
      </c>
      <c r="N43" s="256">
        <v>0</v>
      </c>
    </row>
    <row r="44" spans="1:15">
      <c r="A44" s="256">
        <v>40</v>
      </c>
      <c r="B44" s="256" t="s">
        <v>1047</v>
      </c>
      <c r="C44" s="256">
        <v>30003555</v>
      </c>
      <c r="D44" s="256" t="s">
        <v>1078</v>
      </c>
      <c r="E44" s="256" t="s">
        <v>12</v>
      </c>
      <c r="F44" s="256">
        <v>9.7599999999999992E-2</v>
      </c>
      <c r="J44" s="256">
        <v>0</v>
      </c>
      <c r="K44" s="256">
        <v>5</v>
      </c>
      <c r="L44" s="256" t="s">
        <v>82</v>
      </c>
      <c r="M44" s="256">
        <v>14550</v>
      </c>
      <c r="N44" s="256">
        <v>0</v>
      </c>
      <c r="O44" s="256" t="s">
        <v>707</v>
      </c>
    </row>
    <row r="45" spans="1:15">
      <c r="A45" s="256">
        <v>41</v>
      </c>
      <c r="B45" s="256" t="s">
        <v>1047</v>
      </c>
      <c r="C45" s="256">
        <v>30003612</v>
      </c>
      <c r="D45" s="256" t="s">
        <v>737</v>
      </c>
      <c r="E45" s="256" t="s">
        <v>12</v>
      </c>
      <c r="F45" s="256">
        <v>9.1200000000000003E-2</v>
      </c>
      <c r="J45" s="256">
        <v>0</v>
      </c>
      <c r="K45" s="256">
        <v>5</v>
      </c>
      <c r="L45" s="256" t="s">
        <v>81</v>
      </c>
      <c r="M45" s="256">
        <v>14700</v>
      </c>
      <c r="N45" s="256">
        <v>0</v>
      </c>
    </row>
    <row r="46" spans="1:15">
      <c r="A46" s="256">
        <v>42</v>
      </c>
      <c r="B46" s="256" t="s">
        <v>1047</v>
      </c>
      <c r="C46" s="256">
        <v>30003465</v>
      </c>
      <c r="D46" s="256" t="s">
        <v>1079</v>
      </c>
      <c r="E46" s="256" t="s">
        <v>12</v>
      </c>
      <c r="F46" s="256">
        <v>0.3926</v>
      </c>
      <c r="J46" s="256">
        <v>0</v>
      </c>
      <c r="K46" s="256">
        <v>5</v>
      </c>
      <c r="L46" s="256" t="s">
        <v>81</v>
      </c>
      <c r="M46" s="256">
        <v>13500</v>
      </c>
      <c r="N46" s="256">
        <v>0</v>
      </c>
      <c r="O46" s="256" t="s">
        <v>708</v>
      </c>
    </row>
    <row r="47" spans="1:15">
      <c r="A47" s="256">
        <v>43</v>
      </c>
      <c r="B47" s="256" t="s">
        <v>1047</v>
      </c>
      <c r="C47" s="256">
        <v>30003064</v>
      </c>
      <c r="D47" s="256" t="s">
        <v>871</v>
      </c>
      <c r="E47" s="256" t="s">
        <v>12</v>
      </c>
      <c r="J47" s="256">
        <v>0</v>
      </c>
      <c r="K47" s="256">
        <v>5</v>
      </c>
      <c r="L47" s="256" t="s">
        <v>81</v>
      </c>
      <c r="M47" s="256">
        <v>14700</v>
      </c>
      <c r="N47" s="256">
        <v>0</v>
      </c>
    </row>
    <row r="48" spans="1:15">
      <c r="A48" s="256">
        <v>44</v>
      </c>
      <c r="B48" s="256" t="s">
        <v>1024</v>
      </c>
      <c r="C48" s="256">
        <v>50000051</v>
      </c>
      <c r="D48" s="256" t="s">
        <v>1026</v>
      </c>
      <c r="E48" s="256" t="s">
        <v>12</v>
      </c>
      <c r="H48" s="256">
        <v>2</v>
      </c>
      <c r="I48" s="256">
        <v>16</v>
      </c>
      <c r="J48" s="256">
        <v>36</v>
      </c>
      <c r="K48" s="256">
        <v>10</v>
      </c>
      <c r="M48" s="256">
        <v>2230</v>
      </c>
    </row>
    <row r="49" spans="1:15">
      <c r="A49" s="256">
        <v>1</v>
      </c>
      <c r="B49" s="256" t="s">
        <v>1080</v>
      </c>
      <c r="C49" s="256">
        <v>30000121</v>
      </c>
      <c r="D49" s="256" t="s">
        <v>1081</v>
      </c>
      <c r="E49" s="256" t="s">
        <v>12</v>
      </c>
      <c r="F49" s="256">
        <v>16.944333333333333</v>
      </c>
      <c r="H49" s="256">
        <v>10</v>
      </c>
      <c r="I49" s="256">
        <v>2</v>
      </c>
      <c r="J49" s="256">
        <v>32</v>
      </c>
      <c r="K49" s="256">
        <v>3</v>
      </c>
      <c r="L49" s="256" t="s">
        <v>80</v>
      </c>
      <c r="M49" s="256">
        <v>19700</v>
      </c>
      <c r="N49" s="256">
        <v>630400</v>
      </c>
    </row>
    <row r="50" spans="1:15">
      <c r="A50" s="256">
        <v>2</v>
      </c>
      <c r="B50" s="256" t="s">
        <v>1080</v>
      </c>
      <c r="C50" s="256">
        <v>30000096</v>
      </c>
      <c r="D50" s="256" t="s">
        <v>862</v>
      </c>
      <c r="E50" s="256" t="s">
        <v>12</v>
      </c>
      <c r="H50" s="256">
        <v>7</v>
      </c>
      <c r="I50" s="256">
        <v>1</v>
      </c>
      <c r="J50" s="256">
        <v>15</v>
      </c>
      <c r="K50" s="256">
        <v>2</v>
      </c>
      <c r="L50" s="256" t="s">
        <v>80</v>
      </c>
      <c r="M50" s="256">
        <v>19700</v>
      </c>
      <c r="N50" s="256">
        <v>295500</v>
      </c>
    </row>
    <row r="51" spans="1:15">
      <c r="A51" s="256">
        <v>3</v>
      </c>
      <c r="B51" s="256" t="s">
        <v>1080</v>
      </c>
      <c r="C51" s="256">
        <v>30003681</v>
      </c>
      <c r="D51" s="256" t="s">
        <v>911</v>
      </c>
      <c r="E51" s="256" t="s">
        <v>12</v>
      </c>
      <c r="H51" s="256">
        <v>3</v>
      </c>
      <c r="J51" s="256">
        <v>45</v>
      </c>
      <c r="K51" s="256">
        <v>15</v>
      </c>
      <c r="L51" s="256" t="s">
        <v>80</v>
      </c>
      <c r="M51" s="256">
        <v>19700</v>
      </c>
      <c r="N51" s="256">
        <v>886500</v>
      </c>
    </row>
    <row r="52" spans="1:15">
      <c r="A52" s="256">
        <v>4</v>
      </c>
      <c r="B52" s="256" t="s">
        <v>1080</v>
      </c>
      <c r="C52" s="256">
        <v>30003664</v>
      </c>
      <c r="D52" s="256" t="s">
        <v>876</v>
      </c>
      <c r="E52" s="256" t="s">
        <v>12</v>
      </c>
      <c r="J52" s="256">
        <v>0</v>
      </c>
      <c r="K52" s="256">
        <v>15</v>
      </c>
      <c r="L52" s="256" t="s">
        <v>80</v>
      </c>
      <c r="M52" s="256">
        <v>19700</v>
      </c>
      <c r="N52" s="256">
        <v>0</v>
      </c>
    </row>
    <row r="53" spans="1:15">
      <c r="A53" s="256">
        <v>4</v>
      </c>
      <c r="B53" s="256" t="s">
        <v>1080</v>
      </c>
      <c r="C53" s="256">
        <v>30003744</v>
      </c>
      <c r="D53" s="256" t="s">
        <v>1003</v>
      </c>
      <c r="E53" s="256" t="s">
        <v>12</v>
      </c>
      <c r="I53" s="256">
        <v>9</v>
      </c>
      <c r="J53" s="256">
        <v>9</v>
      </c>
      <c r="K53" s="256">
        <v>15</v>
      </c>
      <c r="L53" s="256" t="s">
        <v>80</v>
      </c>
      <c r="M53" s="256">
        <v>19700</v>
      </c>
      <c r="N53" s="256">
        <v>177300</v>
      </c>
    </row>
    <row r="54" spans="1:15">
      <c r="A54" s="256">
        <v>5</v>
      </c>
      <c r="B54" s="256" t="s">
        <v>667</v>
      </c>
      <c r="C54" s="256">
        <v>30003607</v>
      </c>
      <c r="D54" s="256" t="s">
        <v>723</v>
      </c>
      <c r="E54" s="256" t="s">
        <v>10</v>
      </c>
      <c r="F54" s="256">
        <v>0.35639999999999999</v>
      </c>
      <c r="H54" s="256">
        <v>1</v>
      </c>
      <c r="I54" s="256">
        <v>1</v>
      </c>
      <c r="J54" s="256">
        <v>11</v>
      </c>
      <c r="K54" s="256">
        <v>10</v>
      </c>
      <c r="L54" s="256" t="s">
        <v>82</v>
      </c>
      <c r="M54" s="256">
        <v>6000</v>
      </c>
      <c r="N54" s="256">
        <v>66000</v>
      </c>
    </row>
    <row r="55" spans="1:15">
      <c r="A55" s="256">
        <v>6</v>
      </c>
      <c r="B55" s="256" t="s">
        <v>667</v>
      </c>
      <c r="C55" s="256">
        <v>30001057</v>
      </c>
      <c r="D55" s="256" t="s">
        <v>1082</v>
      </c>
      <c r="E55" s="256" t="s">
        <v>10</v>
      </c>
      <c r="F55" s="256">
        <v>0.50990000000000002</v>
      </c>
      <c r="H55" s="256">
        <v>2</v>
      </c>
      <c r="I55" s="256">
        <v>3</v>
      </c>
      <c r="J55" s="256">
        <v>23</v>
      </c>
      <c r="K55" s="256">
        <v>10</v>
      </c>
      <c r="L55" s="256" t="s">
        <v>82</v>
      </c>
      <c r="M55" s="256">
        <v>7000</v>
      </c>
      <c r="N55" s="256">
        <v>161000</v>
      </c>
    </row>
    <row r="56" spans="1:15">
      <c r="A56" s="256">
        <v>7</v>
      </c>
      <c r="B56" s="256" t="s">
        <v>667</v>
      </c>
      <c r="C56" s="256">
        <v>30002992</v>
      </c>
      <c r="D56" s="256" t="s">
        <v>253</v>
      </c>
      <c r="E56" s="256" t="s">
        <v>10</v>
      </c>
      <c r="F56" s="256">
        <v>3.6833333333333331</v>
      </c>
      <c r="H56" s="256">
        <v>10</v>
      </c>
      <c r="J56" s="256">
        <v>2400</v>
      </c>
      <c r="K56" s="256">
        <v>240</v>
      </c>
      <c r="L56" s="256" t="s">
        <v>81</v>
      </c>
      <c r="M56" s="256">
        <v>265</v>
      </c>
      <c r="N56" s="256">
        <v>636000</v>
      </c>
    </row>
    <row r="57" spans="1:15">
      <c r="A57" s="256">
        <v>7</v>
      </c>
      <c r="B57" s="256" t="s">
        <v>667</v>
      </c>
      <c r="C57" s="256">
        <v>30003716</v>
      </c>
      <c r="D57" s="256" t="s">
        <v>956</v>
      </c>
      <c r="E57" s="256" t="s">
        <v>10</v>
      </c>
      <c r="F57" s="256" t="s">
        <v>1050</v>
      </c>
      <c r="H57" s="256">
        <v>10</v>
      </c>
      <c r="J57" s="256">
        <v>4200</v>
      </c>
      <c r="K57" s="256">
        <v>420</v>
      </c>
      <c r="L57" s="256" t="s">
        <v>81</v>
      </c>
      <c r="M57" s="256">
        <v>265</v>
      </c>
      <c r="N57" s="256">
        <v>1113000</v>
      </c>
    </row>
    <row r="58" spans="1:15">
      <c r="A58" s="256">
        <v>8</v>
      </c>
      <c r="B58" s="256" t="s">
        <v>667</v>
      </c>
      <c r="C58" s="256">
        <v>30000065</v>
      </c>
      <c r="D58" s="256" t="s">
        <v>1083</v>
      </c>
      <c r="E58" s="256" t="s">
        <v>10</v>
      </c>
      <c r="F58" s="256">
        <v>1.7283999999999999</v>
      </c>
      <c r="H58" s="256">
        <v>5</v>
      </c>
      <c r="J58" s="256">
        <v>50</v>
      </c>
      <c r="K58" s="256">
        <v>10</v>
      </c>
      <c r="L58" s="256" t="s">
        <v>81</v>
      </c>
      <c r="M58" s="256">
        <v>8300</v>
      </c>
      <c r="N58" s="256">
        <v>415000</v>
      </c>
    </row>
    <row r="59" spans="1:15">
      <c r="A59" s="256">
        <v>10</v>
      </c>
      <c r="B59" s="256" t="s">
        <v>667</v>
      </c>
      <c r="C59" s="256">
        <v>30003526</v>
      </c>
      <c r="D59" s="256" t="s">
        <v>599</v>
      </c>
      <c r="E59" s="256" t="s">
        <v>10</v>
      </c>
      <c r="F59" s="256">
        <v>2.2544</v>
      </c>
      <c r="H59" s="256">
        <v>1</v>
      </c>
      <c r="J59" s="256">
        <v>10</v>
      </c>
      <c r="K59" s="256">
        <v>10</v>
      </c>
      <c r="L59" s="256" t="s">
        <v>81</v>
      </c>
      <c r="M59" s="256">
        <v>4900</v>
      </c>
      <c r="N59" s="256">
        <v>49000</v>
      </c>
      <c r="O59" s="256" t="s">
        <v>715</v>
      </c>
    </row>
    <row r="60" spans="1:15">
      <c r="A60" s="256">
        <v>11</v>
      </c>
      <c r="B60" s="256" t="s">
        <v>667</v>
      </c>
      <c r="C60" s="256">
        <v>30003509</v>
      </c>
      <c r="D60" s="256" t="s">
        <v>584</v>
      </c>
      <c r="E60" s="256" t="s">
        <v>10</v>
      </c>
      <c r="F60" s="256">
        <v>2.5044</v>
      </c>
      <c r="J60" s="256">
        <v>0</v>
      </c>
      <c r="K60" s="256">
        <v>10</v>
      </c>
      <c r="L60" s="256" t="s">
        <v>84</v>
      </c>
      <c r="M60" s="256">
        <v>5900</v>
      </c>
      <c r="N60" s="256">
        <v>0</v>
      </c>
      <c r="O60" s="256" t="s">
        <v>704</v>
      </c>
    </row>
    <row r="61" spans="1:15">
      <c r="A61" s="256">
        <v>12</v>
      </c>
      <c r="B61" s="256" t="s">
        <v>667</v>
      </c>
      <c r="C61" s="256">
        <v>30000709</v>
      </c>
      <c r="D61" s="256" t="s">
        <v>183</v>
      </c>
      <c r="E61" s="256" t="s">
        <v>10</v>
      </c>
      <c r="F61" s="256">
        <v>4.1959999999999997</v>
      </c>
      <c r="H61" s="256">
        <v>18</v>
      </c>
      <c r="J61" s="256">
        <v>180</v>
      </c>
      <c r="K61" s="256">
        <v>10</v>
      </c>
      <c r="L61" s="256" t="s">
        <v>81</v>
      </c>
      <c r="M61" s="256">
        <v>9000</v>
      </c>
      <c r="N61" s="256">
        <v>1620000</v>
      </c>
    </row>
    <row r="62" spans="1:15">
      <c r="A62" s="256">
        <v>14</v>
      </c>
      <c r="B62" s="256" t="s">
        <v>667</v>
      </c>
      <c r="C62" s="256">
        <v>30002363</v>
      </c>
      <c r="D62" s="256" t="s">
        <v>77</v>
      </c>
      <c r="E62" s="256" t="s">
        <v>10</v>
      </c>
      <c r="F62" s="256">
        <v>0.99740000000000006</v>
      </c>
      <c r="I62" s="256">
        <v>9</v>
      </c>
      <c r="J62" s="256">
        <v>9</v>
      </c>
      <c r="K62" s="256">
        <v>10</v>
      </c>
      <c r="L62" s="256" t="s">
        <v>82</v>
      </c>
      <c r="M62" s="256">
        <v>7800</v>
      </c>
      <c r="N62" s="256">
        <v>70200</v>
      </c>
    </row>
    <row r="63" spans="1:15">
      <c r="A63" s="256">
        <v>15</v>
      </c>
      <c r="B63" s="256" t="s">
        <v>667</v>
      </c>
      <c r="C63" s="256">
        <v>30002195</v>
      </c>
      <c r="D63" s="256" t="s">
        <v>43</v>
      </c>
      <c r="E63" s="256" t="s">
        <v>10</v>
      </c>
      <c r="F63" s="256">
        <v>2.8006000000000002</v>
      </c>
      <c r="H63" s="256">
        <v>15</v>
      </c>
      <c r="I63" s="256">
        <v>7</v>
      </c>
      <c r="J63" s="256">
        <v>157</v>
      </c>
      <c r="K63" s="256">
        <v>10</v>
      </c>
      <c r="L63" s="256" t="s">
        <v>82</v>
      </c>
      <c r="M63" s="256">
        <v>7408</v>
      </c>
      <c r="N63" s="256">
        <v>1163056</v>
      </c>
    </row>
    <row r="64" spans="1:15">
      <c r="A64" s="256">
        <v>16</v>
      </c>
      <c r="B64" s="256" t="s">
        <v>667</v>
      </c>
      <c r="C64" s="256">
        <v>30003011</v>
      </c>
      <c r="D64" s="256" t="s">
        <v>142</v>
      </c>
      <c r="E64" s="256" t="s">
        <v>10</v>
      </c>
      <c r="F64" s="256">
        <v>3.2000000000000001E-2</v>
      </c>
      <c r="J64" s="256">
        <v>0</v>
      </c>
      <c r="K64" s="256">
        <v>10</v>
      </c>
      <c r="L64" s="256" t="s">
        <v>81</v>
      </c>
      <c r="M64" s="256">
        <v>5400</v>
      </c>
      <c r="N64" s="256">
        <v>0</v>
      </c>
    </row>
    <row r="65" spans="1:15">
      <c r="A65" s="256">
        <v>17</v>
      </c>
      <c r="B65" s="256" t="s">
        <v>667</v>
      </c>
      <c r="C65" s="256">
        <v>30003508</v>
      </c>
      <c r="D65" s="256" t="s">
        <v>580</v>
      </c>
      <c r="E65" s="256" t="s">
        <v>10</v>
      </c>
      <c r="F65" s="256">
        <v>1.8052222222222223</v>
      </c>
      <c r="G65" s="256" t="s">
        <v>1084</v>
      </c>
      <c r="J65" s="256">
        <v>0</v>
      </c>
      <c r="K65" s="256">
        <v>9</v>
      </c>
      <c r="L65" s="256" t="s">
        <v>81</v>
      </c>
      <c r="M65" s="256">
        <v>12600</v>
      </c>
      <c r="N65" s="256">
        <v>0</v>
      </c>
      <c r="O65" s="256" t="s">
        <v>714</v>
      </c>
    </row>
    <row r="66" spans="1:15">
      <c r="A66" s="256">
        <v>18</v>
      </c>
      <c r="B66" s="256" t="s">
        <v>667</v>
      </c>
      <c r="C66" s="256">
        <v>30003443</v>
      </c>
      <c r="D66" s="256" t="s">
        <v>1085</v>
      </c>
      <c r="E66" s="256" t="s">
        <v>10</v>
      </c>
      <c r="F66" s="256">
        <v>4.5</v>
      </c>
      <c r="J66" s="256">
        <v>0</v>
      </c>
      <c r="K66" s="256">
        <v>420</v>
      </c>
      <c r="L66" s="256" t="s">
        <v>81</v>
      </c>
      <c r="M66" s="256">
        <v>190</v>
      </c>
      <c r="N66" s="256">
        <v>0</v>
      </c>
    </row>
    <row r="67" spans="1:15">
      <c r="A67" s="256">
        <v>19</v>
      </c>
      <c r="B67" s="256" t="s">
        <v>667</v>
      </c>
      <c r="C67" s="256">
        <v>30002096</v>
      </c>
      <c r="D67" s="256" t="s">
        <v>35</v>
      </c>
      <c r="E67" s="256" t="s">
        <v>10</v>
      </c>
      <c r="F67" s="256">
        <v>0.65650000000000008</v>
      </c>
      <c r="H67" s="256">
        <v>4</v>
      </c>
      <c r="I67" s="256">
        <v>8</v>
      </c>
      <c r="J67" s="256">
        <v>48</v>
      </c>
      <c r="K67" s="256">
        <v>10</v>
      </c>
      <c r="L67" s="256" t="s">
        <v>81</v>
      </c>
      <c r="M67" s="256">
        <v>7800</v>
      </c>
      <c r="N67" s="256">
        <v>374400</v>
      </c>
    </row>
    <row r="68" spans="1:15">
      <c r="A68" s="256">
        <v>20</v>
      </c>
      <c r="B68" s="256" t="s">
        <v>667</v>
      </c>
      <c r="C68" s="256">
        <v>30003662</v>
      </c>
      <c r="D68" s="256" t="s">
        <v>872</v>
      </c>
      <c r="E68" s="256" t="s">
        <v>10</v>
      </c>
      <c r="F68" s="256" t="s">
        <v>1050</v>
      </c>
      <c r="I68" s="256">
        <v>9</v>
      </c>
      <c r="J68" s="256">
        <v>9</v>
      </c>
      <c r="K68" s="256">
        <v>10</v>
      </c>
      <c r="L68" s="256" t="s">
        <v>82</v>
      </c>
      <c r="M68" s="256">
        <v>9000</v>
      </c>
    </row>
    <row r="69" spans="1:15">
      <c r="A69" s="256">
        <v>21</v>
      </c>
      <c r="B69" s="256" t="s">
        <v>667</v>
      </c>
      <c r="C69" s="256">
        <v>30003299</v>
      </c>
      <c r="D69" s="256" t="s">
        <v>300</v>
      </c>
      <c r="E69" s="256" t="s">
        <v>10</v>
      </c>
      <c r="F69" s="256">
        <v>0.29020000000000001</v>
      </c>
      <c r="H69" s="256">
        <v>4</v>
      </c>
      <c r="I69" s="256">
        <v>1</v>
      </c>
      <c r="J69" s="256">
        <v>41</v>
      </c>
      <c r="K69" s="256">
        <v>10</v>
      </c>
      <c r="L69" s="256" t="s">
        <v>81</v>
      </c>
      <c r="M69" s="256">
        <v>7400</v>
      </c>
      <c r="N69" s="256">
        <v>303400</v>
      </c>
    </row>
    <row r="70" spans="1:15">
      <c r="A70" s="256">
        <v>22</v>
      </c>
      <c r="B70" s="256" t="s">
        <v>667</v>
      </c>
      <c r="C70" s="256">
        <v>30002077</v>
      </c>
      <c r="D70" s="256" t="s">
        <v>1086</v>
      </c>
      <c r="E70" s="256" t="s">
        <v>10</v>
      </c>
      <c r="F70" s="256">
        <v>0.55759999999999998</v>
      </c>
      <c r="H70" s="256">
        <v>3</v>
      </c>
      <c r="I70" s="256">
        <v>3</v>
      </c>
      <c r="J70" s="256">
        <v>33</v>
      </c>
      <c r="K70" s="256">
        <v>10</v>
      </c>
      <c r="L70" s="256" t="s">
        <v>82</v>
      </c>
      <c r="M70" s="256">
        <v>7885</v>
      </c>
      <c r="N70" s="256">
        <v>260205</v>
      </c>
    </row>
    <row r="71" spans="1:15">
      <c r="A71" s="256">
        <v>23</v>
      </c>
      <c r="B71" s="256" t="s">
        <v>667</v>
      </c>
      <c r="C71" s="256">
        <v>30003608</v>
      </c>
      <c r="D71" s="256" t="s">
        <v>729</v>
      </c>
      <c r="E71" s="256" t="s">
        <v>10</v>
      </c>
      <c r="F71" s="256">
        <v>0.57409999999999994</v>
      </c>
      <c r="G71" s="256" t="s">
        <v>1087</v>
      </c>
      <c r="J71" s="256">
        <v>0</v>
      </c>
      <c r="K71" s="256">
        <v>10</v>
      </c>
      <c r="L71" s="256" t="s">
        <v>81</v>
      </c>
      <c r="M71" s="256">
        <v>7886</v>
      </c>
      <c r="N71" s="256">
        <v>0</v>
      </c>
    </row>
    <row r="72" spans="1:15">
      <c r="A72" s="256">
        <v>24</v>
      </c>
      <c r="B72" s="256" t="s">
        <v>667</v>
      </c>
      <c r="C72" s="256">
        <v>30003684</v>
      </c>
      <c r="D72" s="256" t="s">
        <v>912</v>
      </c>
      <c r="E72" s="256" t="s">
        <v>10</v>
      </c>
      <c r="J72" s="256">
        <v>0</v>
      </c>
      <c r="K72" s="256">
        <v>10</v>
      </c>
      <c r="L72" s="256" t="s">
        <v>82</v>
      </c>
      <c r="M72" s="256">
        <v>9000</v>
      </c>
    </row>
    <row r="73" spans="1:15">
      <c r="A73" s="256">
        <v>41</v>
      </c>
      <c r="B73" s="256" t="s">
        <v>667</v>
      </c>
      <c r="C73" s="256">
        <v>20194658</v>
      </c>
      <c r="D73" s="256" t="s">
        <v>998</v>
      </c>
      <c r="E73" s="256" t="s">
        <v>10</v>
      </c>
      <c r="F73" s="256" t="s">
        <v>1050</v>
      </c>
      <c r="H73" s="256">
        <v>4</v>
      </c>
      <c r="I73" s="256">
        <v>1</v>
      </c>
      <c r="J73" s="256">
        <v>33</v>
      </c>
      <c r="K73" s="256">
        <v>8</v>
      </c>
      <c r="L73" s="256" t="s">
        <v>81</v>
      </c>
      <c r="M73" s="256">
        <v>11600</v>
      </c>
      <c r="N73" s="256">
        <v>382800</v>
      </c>
    </row>
    <row r="74" spans="1:15">
      <c r="A74" s="256">
        <v>26</v>
      </c>
      <c r="B74" s="256" t="s">
        <v>667</v>
      </c>
      <c r="C74" s="256">
        <v>30003559</v>
      </c>
      <c r="D74" s="256" t="s">
        <v>623</v>
      </c>
      <c r="E74" s="256" t="s">
        <v>10</v>
      </c>
      <c r="F74" s="256">
        <v>0.32429999999999998</v>
      </c>
      <c r="J74" s="256">
        <v>0</v>
      </c>
      <c r="K74" s="256">
        <v>10</v>
      </c>
      <c r="L74" s="256" t="s">
        <v>82</v>
      </c>
      <c r="M74" s="256">
        <v>9200</v>
      </c>
      <c r="N74" s="256">
        <v>0</v>
      </c>
      <c r="O74" s="256" t="s">
        <v>711</v>
      </c>
    </row>
    <row r="75" spans="1:15">
      <c r="A75" s="256">
        <v>27</v>
      </c>
      <c r="B75" s="256" t="s">
        <v>667</v>
      </c>
      <c r="C75" s="256">
        <v>30003579</v>
      </c>
      <c r="D75" s="256" t="s">
        <v>666</v>
      </c>
      <c r="E75" s="256" t="s">
        <v>12</v>
      </c>
      <c r="F75" s="256">
        <v>0.94410000000000005</v>
      </c>
      <c r="J75" s="256">
        <v>0</v>
      </c>
      <c r="K75" s="256">
        <v>10</v>
      </c>
      <c r="L75" s="256" t="s">
        <v>82</v>
      </c>
      <c r="M75" s="256">
        <v>7600</v>
      </c>
      <c r="N75" s="256">
        <v>0</v>
      </c>
      <c r="O75" s="256" t="s">
        <v>712</v>
      </c>
    </row>
    <row r="76" spans="1:15">
      <c r="A76" s="256">
        <v>28</v>
      </c>
      <c r="B76" s="256" t="s">
        <v>667</v>
      </c>
      <c r="C76" s="256">
        <v>30003543</v>
      </c>
      <c r="D76" s="256" t="s">
        <v>617</v>
      </c>
      <c r="E76" s="256" t="s">
        <v>10</v>
      </c>
      <c r="F76" s="256">
        <v>0.88119999999999998</v>
      </c>
      <c r="J76" s="256">
        <v>0</v>
      </c>
      <c r="K76" s="256">
        <v>10</v>
      </c>
      <c r="L76" s="256" t="s">
        <v>84</v>
      </c>
      <c r="M76" s="256">
        <v>15600</v>
      </c>
      <c r="N76" s="256">
        <v>0</v>
      </c>
      <c r="O76" s="256" t="s">
        <v>713</v>
      </c>
    </row>
    <row r="77" spans="1:15">
      <c r="A77" s="256">
        <v>29</v>
      </c>
      <c r="B77" s="256" t="s">
        <v>667</v>
      </c>
      <c r="C77" s="256">
        <v>30002585</v>
      </c>
      <c r="D77" s="256" t="s">
        <v>284</v>
      </c>
      <c r="E77" s="256" t="s">
        <v>10</v>
      </c>
      <c r="F77" s="256">
        <v>1.0210000000000001</v>
      </c>
      <c r="H77" s="256">
        <v>3</v>
      </c>
      <c r="J77" s="256">
        <v>30</v>
      </c>
      <c r="K77" s="256">
        <v>10</v>
      </c>
      <c r="L77" s="256" t="s">
        <v>81</v>
      </c>
      <c r="M77" s="256">
        <v>9600</v>
      </c>
      <c r="N77" s="256">
        <v>288000</v>
      </c>
    </row>
    <row r="78" spans="1:15">
      <c r="A78" s="256">
        <v>30</v>
      </c>
      <c r="B78" s="256" t="s">
        <v>667</v>
      </c>
      <c r="C78" s="256">
        <v>30003634</v>
      </c>
      <c r="D78" s="256" t="s">
        <v>926</v>
      </c>
      <c r="E78" s="256" t="s">
        <v>10</v>
      </c>
      <c r="G78" s="256" t="s">
        <v>1088</v>
      </c>
      <c r="J78" s="256">
        <v>0</v>
      </c>
      <c r="K78" s="256">
        <v>10</v>
      </c>
      <c r="L78" s="256" t="s">
        <v>82</v>
      </c>
      <c r="M78" s="256">
        <v>9000</v>
      </c>
    </row>
    <row r="79" spans="1:15">
      <c r="A79" s="256">
        <v>31</v>
      </c>
      <c r="B79" s="256" t="s">
        <v>667</v>
      </c>
      <c r="C79" s="256">
        <v>30003439</v>
      </c>
      <c r="D79" s="256" t="s">
        <v>1089</v>
      </c>
      <c r="E79" s="256" t="s">
        <v>10</v>
      </c>
      <c r="F79" s="256">
        <v>0.46369999999999995</v>
      </c>
      <c r="J79" s="256">
        <v>5</v>
      </c>
      <c r="K79" s="256">
        <v>10</v>
      </c>
      <c r="L79" s="256" t="s">
        <v>82</v>
      </c>
      <c r="M79" s="256">
        <v>7600</v>
      </c>
      <c r="N79" s="256">
        <v>38000</v>
      </c>
    </row>
    <row r="80" spans="1:15">
      <c r="A80" s="256">
        <v>33</v>
      </c>
      <c r="B80" s="256" t="s">
        <v>667</v>
      </c>
      <c r="C80" s="256">
        <v>30003653</v>
      </c>
      <c r="D80" s="256" t="s">
        <v>864</v>
      </c>
      <c r="E80" s="256" t="s">
        <v>10</v>
      </c>
      <c r="F80" s="256" t="s">
        <v>1050</v>
      </c>
      <c r="H80" s="256">
        <v>3</v>
      </c>
      <c r="I80" s="256">
        <v>1</v>
      </c>
      <c r="J80" s="256">
        <v>31</v>
      </c>
      <c r="K80" s="256">
        <v>10</v>
      </c>
      <c r="L80" s="256" t="s">
        <v>82</v>
      </c>
      <c r="M80" s="256">
        <v>9000</v>
      </c>
    </row>
    <row r="81" spans="1:15">
      <c r="A81" s="256">
        <v>34</v>
      </c>
      <c r="B81" s="256" t="s">
        <v>667</v>
      </c>
      <c r="C81" s="256">
        <v>30003454</v>
      </c>
      <c r="D81" s="256" t="s">
        <v>1090</v>
      </c>
      <c r="E81" s="256" t="s">
        <v>10</v>
      </c>
      <c r="F81" s="256">
        <v>0.40499999999999997</v>
      </c>
      <c r="H81" s="256">
        <v>1</v>
      </c>
      <c r="I81" s="256">
        <v>4</v>
      </c>
      <c r="J81" s="256">
        <v>14</v>
      </c>
      <c r="K81" s="256">
        <v>10</v>
      </c>
      <c r="L81" s="256" t="s">
        <v>82</v>
      </c>
      <c r="M81" s="256">
        <v>6433</v>
      </c>
      <c r="N81" s="256">
        <v>90062</v>
      </c>
    </row>
    <row r="82" spans="1:15">
      <c r="A82" s="256">
        <v>35</v>
      </c>
      <c r="B82" s="256" t="s">
        <v>667</v>
      </c>
      <c r="C82" s="256">
        <v>30003010</v>
      </c>
      <c r="D82" s="256" t="s">
        <v>1091</v>
      </c>
      <c r="E82" s="256" t="s">
        <v>10</v>
      </c>
      <c r="F82" s="256">
        <v>2.6840999999999999</v>
      </c>
      <c r="H82" s="256">
        <v>6</v>
      </c>
      <c r="J82" s="256">
        <v>60</v>
      </c>
      <c r="K82" s="256">
        <v>10</v>
      </c>
      <c r="L82" s="256" t="s">
        <v>84</v>
      </c>
      <c r="M82" s="256">
        <v>5000</v>
      </c>
      <c r="N82" s="256">
        <v>300000</v>
      </c>
    </row>
    <row r="83" spans="1:15">
      <c r="A83" s="256">
        <v>36</v>
      </c>
      <c r="B83" s="256" t="s">
        <v>667</v>
      </c>
      <c r="C83" s="256">
        <v>30002875</v>
      </c>
      <c r="D83" s="256" t="s">
        <v>236</v>
      </c>
      <c r="E83" s="256" t="s">
        <v>10</v>
      </c>
      <c r="F83" s="256">
        <v>0.80589999999999995</v>
      </c>
      <c r="I83" s="256">
        <v>7</v>
      </c>
      <c r="J83" s="256">
        <v>7</v>
      </c>
      <c r="K83" s="256">
        <v>10</v>
      </c>
      <c r="L83" s="256" t="s">
        <v>81</v>
      </c>
      <c r="M83" s="256">
        <v>7600</v>
      </c>
      <c r="N83" s="256">
        <v>53200</v>
      </c>
    </row>
    <row r="84" spans="1:15">
      <c r="A84" s="256">
        <v>38</v>
      </c>
      <c r="B84" s="256" t="s">
        <v>667</v>
      </c>
      <c r="C84" s="256">
        <v>30002650</v>
      </c>
      <c r="D84" s="256" t="s">
        <v>198</v>
      </c>
      <c r="E84" s="256" t="s">
        <v>10</v>
      </c>
      <c r="F84" s="256">
        <v>0.63380000000000003</v>
      </c>
      <c r="H84" s="256">
        <v>1</v>
      </c>
      <c r="I84" s="256">
        <v>3</v>
      </c>
      <c r="J84" s="256">
        <v>13</v>
      </c>
      <c r="K84" s="256">
        <v>10</v>
      </c>
      <c r="L84" s="256" t="s">
        <v>81</v>
      </c>
      <c r="M84" s="256">
        <v>7000</v>
      </c>
      <c r="N84" s="256">
        <v>91000</v>
      </c>
    </row>
    <row r="85" spans="1:15">
      <c r="A85" s="256">
        <v>39</v>
      </c>
      <c r="B85" s="256" t="s">
        <v>667</v>
      </c>
      <c r="C85" s="256">
        <v>30003310</v>
      </c>
      <c r="D85" s="256" t="s">
        <v>299</v>
      </c>
      <c r="E85" s="256" t="s">
        <v>10</v>
      </c>
      <c r="F85" s="256">
        <v>0.3755</v>
      </c>
      <c r="J85" s="256">
        <v>0</v>
      </c>
      <c r="K85" s="256">
        <v>10</v>
      </c>
      <c r="L85" s="256" t="s">
        <v>81</v>
      </c>
      <c r="M85" s="256">
        <v>6200</v>
      </c>
      <c r="N85" s="256">
        <v>0</v>
      </c>
    </row>
    <row r="86" spans="1:15">
      <c r="A86" s="256">
        <v>40</v>
      </c>
      <c r="B86" s="256" t="s">
        <v>667</v>
      </c>
      <c r="C86" s="256">
        <v>30003308</v>
      </c>
      <c r="D86" s="256" t="s">
        <v>298</v>
      </c>
      <c r="E86" s="256" t="s">
        <v>10</v>
      </c>
      <c r="F86" s="256">
        <v>0.56609999999999994</v>
      </c>
      <c r="H86" s="256">
        <v>2</v>
      </c>
      <c r="I86" s="256">
        <v>4</v>
      </c>
      <c r="J86" s="256">
        <v>24</v>
      </c>
      <c r="K86" s="256">
        <v>10</v>
      </c>
      <c r="L86" s="256" t="s">
        <v>81</v>
      </c>
      <c r="M86" s="256">
        <v>7600</v>
      </c>
      <c r="N86" s="256">
        <v>182400</v>
      </c>
    </row>
    <row r="87" spans="1:15">
      <c r="A87" s="256">
        <v>41</v>
      </c>
      <c r="B87" s="256" t="s">
        <v>667</v>
      </c>
      <c r="C87" s="256">
        <v>30000091</v>
      </c>
      <c r="D87" s="256" t="s">
        <v>267</v>
      </c>
      <c r="E87" s="256" t="s">
        <v>10</v>
      </c>
      <c r="F87" s="256">
        <v>0.36399999999999999</v>
      </c>
      <c r="I87" s="256">
        <v>5</v>
      </c>
      <c r="J87" s="256">
        <v>5</v>
      </c>
      <c r="K87" s="256">
        <v>8</v>
      </c>
      <c r="L87" s="256" t="s">
        <v>81</v>
      </c>
      <c r="M87" s="256">
        <v>11600</v>
      </c>
      <c r="N87" s="256">
        <v>58000</v>
      </c>
    </row>
    <row r="88" spans="1:15">
      <c r="A88" s="256">
        <v>41</v>
      </c>
      <c r="B88" s="256" t="s">
        <v>667</v>
      </c>
      <c r="C88" s="256">
        <v>30003748</v>
      </c>
      <c r="D88" s="256" t="s">
        <v>1004</v>
      </c>
      <c r="E88" s="256" t="s">
        <v>10</v>
      </c>
      <c r="F88" s="256" t="s">
        <v>1050</v>
      </c>
      <c r="I88" s="256">
        <v>3</v>
      </c>
      <c r="J88" s="256">
        <v>3</v>
      </c>
      <c r="K88" s="256">
        <v>10</v>
      </c>
      <c r="L88" s="256" t="s">
        <v>81</v>
      </c>
      <c r="M88" s="256">
        <v>6000</v>
      </c>
      <c r="N88" s="256">
        <v>18000</v>
      </c>
    </row>
    <row r="89" spans="1:15">
      <c r="A89" s="256">
        <v>41</v>
      </c>
      <c r="B89" s="256" t="s">
        <v>667</v>
      </c>
      <c r="C89" s="256">
        <v>30003763</v>
      </c>
      <c r="D89" s="256" t="s">
        <v>1022</v>
      </c>
      <c r="E89" s="256" t="s">
        <v>10</v>
      </c>
      <c r="F89" s="256" t="s">
        <v>1050</v>
      </c>
      <c r="H89" s="256">
        <v>6</v>
      </c>
      <c r="J89" s="256">
        <v>4800</v>
      </c>
      <c r="K89" s="256">
        <v>800</v>
      </c>
      <c r="L89" s="256" t="s">
        <v>81</v>
      </c>
      <c r="M89" s="256">
        <v>110</v>
      </c>
      <c r="N89" s="256">
        <v>528000</v>
      </c>
    </row>
    <row r="90" spans="1:15">
      <c r="A90" s="256">
        <v>41</v>
      </c>
      <c r="B90" s="256" t="s">
        <v>667</v>
      </c>
      <c r="C90" s="256">
        <v>30003758</v>
      </c>
      <c r="D90" s="256" t="s">
        <v>1023</v>
      </c>
      <c r="E90" s="256" t="s">
        <v>10</v>
      </c>
      <c r="F90" s="256" t="s">
        <v>1050</v>
      </c>
      <c r="H90" s="256">
        <v>9</v>
      </c>
      <c r="J90" s="256">
        <v>90</v>
      </c>
      <c r="K90" s="256">
        <v>10</v>
      </c>
      <c r="L90" s="256" t="s">
        <v>81</v>
      </c>
      <c r="M90" s="256">
        <v>5400</v>
      </c>
      <c r="N90" s="256">
        <v>486000</v>
      </c>
    </row>
    <row r="91" spans="1:15">
      <c r="A91" s="256">
        <v>41</v>
      </c>
      <c r="B91" s="256" t="s">
        <v>667</v>
      </c>
      <c r="C91" s="256">
        <v>300003764</v>
      </c>
      <c r="D91" s="256" t="s">
        <v>1198</v>
      </c>
      <c r="E91" s="256" t="s">
        <v>10</v>
      </c>
      <c r="F91" s="256" t="s">
        <v>1050</v>
      </c>
      <c r="H91" s="256">
        <v>9.5</v>
      </c>
      <c r="J91" s="256">
        <v>4560</v>
      </c>
      <c r="K91" s="256">
        <v>480</v>
      </c>
      <c r="L91" s="256" t="s">
        <v>81</v>
      </c>
      <c r="M91" s="256">
        <v>135</v>
      </c>
      <c r="N91" s="256">
        <v>615600</v>
      </c>
    </row>
    <row r="92" spans="1:15">
      <c r="A92" s="256">
        <v>42</v>
      </c>
      <c r="B92" s="256" t="s">
        <v>1048</v>
      </c>
      <c r="C92" s="256">
        <v>30002599</v>
      </c>
      <c r="D92" s="256" t="s">
        <v>194</v>
      </c>
      <c r="E92" s="256" t="s">
        <v>12</v>
      </c>
      <c r="F92" s="256">
        <v>9.0694999999999997</v>
      </c>
      <c r="H92" s="256">
        <v>19</v>
      </c>
      <c r="I92" s="256">
        <v>1</v>
      </c>
      <c r="J92" s="256">
        <v>39</v>
      </c>
      <c r="K92" s="256">
        <v>2</v>
      </c>
      <c r="L92" s="256" t="s">
        <v>80</v>
      </c>
      <c r="M92" s="256">
        <v>31000</v>
      </c>
      <c r="N92" s="256">
        <v>1209000</v>
      </c>
    </row>
    <row r="93" spans="1:15">
      <c r="A93" s="256">
        <v>43</v>
      </c>
      <c r="B93" s="256" t="s">
        <v>1048</v>
      </c>
      <c r="C93" s="256">
        <v>30003400</v>
      </c>
      <c r="D93" s="256" t="s">
        <v>338</v>
      </c>
      <c r="E93" s="256" t="s">
        <v>12</v>
      </c>
      <c r="F93" s="256">
        <v>3.262</v>
      </c>
      <c r="H93" s="256">
        <v>15</v>
      </c>
      <c r="I93" s="256">
        <v>6</v>
      </c>
      <c r="J93" s="256">
        <v>126</v>
      </c>
      <c r="K93" s="256">
        <v>8</v>
      </c>
      <c r="L93" s="256" t="s">
        <v>80</v>
      </c>
      <c r="M93" s="256">
        <v>14700</v>
      </c>
      <c r="N93" s="256">
        <v>1852200</v>
      </c>
      <c r="O93" s="256" t="s">
        <v>713</v>
      </c>
    </row>
    <row r="94" spans="1:15">
      <c r="A94" s="256">
        <v>44</v>
      </c>
      <c r="B94" s="256" t="s">
        <v>1092</v>
      </c>
      <c r="C94" s="256">
        <v>30000746</v>
      </c>
      <c r="D94" s="256" t="s">
        <v>1093</v>
      </c>
      <c r="E94" s="256" t="s">
        <v>12</v>
      </c>
      <c r="F94" s="256">
        <v>0.46174999999999999</v>
      </c>
      <c r="H94" s="256">
        <v>1</v>
      </c>
      <c r="I94" s="256">
        <v>3</v>
      </c>
      <c r="J94" s="256">
        <v>7</v>
      </c>
      <c r="K94" s="256">
        <v>4</v>
      </c>
      <c r="L94" s="256" t="s">
        <v>82</v>
      </c>
      <c r="M94" s="256">
        <v>10500</v>
      </c>
      <c r="N94" s="256">
        <v>73500</v>
      </c>
    </row>
    <row r="95" spans="1:15">
      <c r="A95" s="256">
        <v>45</v>
      </c>
      <c r="B95" s="256" t="s">
        <v>1052</v>
      </c>
      <c r="C95" s="256">
        <v>30002442</v>
      </c>
      <c r="D95" s="256" t="s">
        <v>1094</v>
      </c>
      <c r="E95" s="256" t="s">
        <v>12</v>
      </c>
      <c r="F95" s="256">
        <v>8.4176000000000002</v>
      </c>
      <c r="H95" s="256">
        <v>8</v>
      </c>
      <c r="I95" s="256">
        <v>2</v>
      </c>
      <c r="J95" s="256">
        <v>42</v>
      </c>
      <c r="K95" s="256">
        <v>5</v>
      </c>
      <c r="L95" s="256" t="s">
        <v>80</v>
      </c>
      <c r="M95" s="256">
        <v>15540</v>
      </c>
      <c r="N95" s="256">
        <v>652680</v>
      </c>
    </row>
    <row r="96" spans="1:15">
      <c r="A96" s="256">
        <v>46</v>
      </c>
      <c r="B96" s="256" t="s">
        <v>1052</v>
      </c>
      <c r="C96" s="256">
        <v>30002092</v>
      </c>
      <c r="D96" s="256" t="s">
        <v>248</v>
      </c>
      <c r="E96" s="256" t="s">
        <v>12</v>
      </c>
      <c r="F96" s="256">
        <v>2.0404</v>
      </c>
      <c r="H96" s="256">
        <v>2</v>
      </c>
      <c r="I96" s="256">
        <v>3</v>
      </c>
      <c r="J96" s="256">
        <v>23</v>
      </c>
      <c r="K96" s="256">
        <v>10</v>
      </c>
      <c r="L96" s="256" t="s">
        <v>80</v>
      </c>
      <c r="M96" s="256">
        <v>10900</v>
      </c>
      <c r="N96" s="256">
        <v>250700</v>
      </c>
    </row>
    <row r="97" spans="1:15">
      <c r="A97" s="256">
        <v>46</v>
      </c>
      <c r="B97" s="256" t="s">
        <v>1052</v>
      </c>
      <c r="C97" s="256">
        <v>30001919</v>
      </c>
      <c r="D97" s="256" t="s">
        <v>978</v>
      </c>
      <c r="E97" s="256" t="s">
        <v>12</v>
      </c>
      <c r="F97" s="256" t="s">
        <v>1050</v>
      </c>
      <c r="H97" s="256">
        <v>3</v>
      </c>
      <c r="I97" s="256">
        <v>8</v>
      </c>
      <c r="J97" s="256">
        <v>38</v>
      </c>
      <c r="K97" s="256">
        <v>10</v>
      </c>
      <c r="L97" s="256" t="s">
        <v>80</v>
      </c>
      <c r="M97" s="256">
        <v>10900</v>
      </c>
      <c r="N97" s="256">
        <v>414200</v>
      </c>
    </row>
    <row r="98" spans="1:15">
      <c r="A98" s="256">
        <v>46</v>
      </c>
      <c r="B98" s="256" t="s">
        <v>1052</v>
      </c>
      <c r="C98" s="256">
        <v>30003742</v>
      </c>
      <c r="D98" s="256" t="s">
        <v>979</v>
      </c>
      <c r="E98" s="256" t="s">
        <v>12</v>
      </c>
      <c r="F98" s="256" t="s">
        <v>1050</v>
      </c>
      <c r="H98" s="256">
        <v>20</v>
      </c>
      <c r="J98" s="256">
        <v>60</v>
      </c>
      <c r="K98" s="256">
        <v>3</v>
      </c>
      <c r="L98" s="256" t="s">
        <v>80</v>
      </c>
      <c r="M98" s="256">
        <v>10900</v>
      </c>
      <c r="N98" s="256">
        <v>654000</v>
      </c>
    </row>
    <row r="99" spans="1:15">
      <c r="A99" s="256">
        <v>46</v>
      </c>
      <c r="B99" s="256" t="s">
        <v>1052</v>
      </c>
      <c r="C99" s="256">
        <v>30003601</v>
      </c>
      <c r="D99" s="256" t="s">
        <v>1002</v>
      </c>
      <c r="E99" s="256" t="s">
        <v>12</v>
      </c>
      <c r="F99" s="256">
        <v>1.4684166666666665</v>
      </c>
      <c r="H99" s="256">
        <v>6</v>
      </c>
      <c r="I99" s="256">
        <v>8</v>
      </c>
      <c r="J99" s="256">
        <v>80</v>
      </c>
      <c r="K99" s="256">
        <v>12</v>
      </c>
      <c r="L99" s="256" t="s">
        <v>80</v>
      </c>
      <c r="M99" s="256">
        <v>10900</v>
      </c>
      <c r="N99" s="256">
        <v>872000</v>
      </c>
    </row>
    <row r="100" spans="1:15">
      <c r="A100" s="256">
        <v>46</v>
      </c>
      <c r="B100" s="256" t="s">
        <v>1052</v>
      </c>
      <c r="C100" s="256">
        <v>30003757</v>
      </c>
      <c r="D100" s="256" t="s">
        <v>1012</v>
      </c>
      <c r="E100" s="256" t="s">
        <v>12</v>
      </c>
      <c r="F100" s="256" t="s">
        <v>1050</v>
      </c>
      <c r="H100" s="256">
        <v>14</v>
      </c>
      <c r="I100" s="256">
        <v>2</v>
      </c>
      <c r="J100" s="256">
        <v>58</v>
      </c>
      <c r="K100" s="256">
        <v>4</v>
      </c>
      <c r="L100" s="256" t="s">
        <v>80</v>
      </c>
      <c r="M100" s="256">
        <v>10900</v>
      </c>
      <c r="N100" s="256">
        <v>632200</v>
      </c>
    </row>
    <row r="101" spans="1:15">
      <c r="A101" s="256">
        <v>47</v>
      </c>
      <c r="B101" s="256" t="s">
        <v>1095</v>
      </c>
      <c r="C101" s="256">
        <v>30000121</v>
      </c>
      <c r="D101" s="256" t="s">
        <v>913</v>
      </c>
      <c r="E101" s="256" t="s">
        <v>12</v>
      </c>
      <c r="G101" s="256" t="s">
        <v>1096</v>
      </c>
      <c r="J101" s="256">
        <v>0</v>
      </c>
      <c r="K101" s="256">
        <v>1</v>
      </c>
      <c r="L101" s="256" t="s">
        <v>80</v>
      </c>
      <c r="M101" s="256">
        <v>19700</v>
      </c>
      <c r="N101" s="256">
        <v>0</v>
      </c>
    </row>
    <row r="102" spans="1:15">
      <c r="A102" s="256">
        <v>48</v>
      </c>
      <c r="B102" s="256" t="s">
        <v>1053</v>
      </c>
      <c r="C102" s="256">
        <v>30003376</v>
      </c>
      <c r="D102" s="256" t="s">
        <v>1097</v>
      </c>
      <c r="E102" s="256" t="s">
        <v>10</v>
      </c>
      <c r="F102" s="256">
        <v>6.19</v>
      </c>
      <c r="H102" s="256">
        <v>3</v>
      </c>
      <c r="J102" s="256">
        <v>3</v>
      </c>
      <c r="K102" s="256">
        <v>1</v>
      </c>
      <c r="L102" s="256" t="s">
        <v>1098</v>
      </c>
      <c r="M102" s="256">
        <v>5000</v>
      </c>
      <c r="N102" s="256">
        <v>15000</v>
      </c>
    </row>
    <row r="103" spans="1:15">
      <c r="A103" s="256">
        <v>49</v>
      </c>
      <c r="B103" s="256" t="s">
        <v>1053</v>
      </c>
      <c r="C103" s="256">
        <v>30001166</v>
      </c>
      <c r="D103" s="256" t="s">
        <v>1099</v>
      </c>
      <c r="E103" s="256" t="s">
        <v>10</v>
      </c>
      <c r="F103" s="256">
        <v>2.0960000000000001</v>
      </c>
      <c r="H103" s="256">
        <v>5</v>
      </c>
      <c r="I103" s="256">
        <v>4</v>
      </c>
      <c r="J103" s="256">
        <v>29</v>
      </c>
      <c r="K103" s="256">
        <v>5</v>
      </c>
      <c r="L103" s="256" t="s">
        <v>83</v>
      </c>
      <c r="M103" s="256">
        <v>11000</v>
      </c>
      <c r="N103" s="256">
        <v>319000</v>
      </c>
    </row>
    <row r="104" spans="1:15">
      <c r="A104" s="256">
        <v>50</v>
      </c>
      <c r="B104" s="256" t="s">
        <v>1053</v>
      </c>
      <c r="C104" s="256">
        <v>30002298</v>
      </c>
      <c r="D104" s="256" t="s">
        <v>1100</v>
      </c>
      <c r="E104" s="256" t="s">
        <v>10</v>
      </c>
      <c r="F104" s="256">
        <v>4.4219999999999997</v>
      </c>
      <c r="H104" s="256">
        <v>21</v>
      </c>
      <c r="J104" s="256">
        <v>21</v>
      </c>
      <c r="K104" s="256">
        <v>1</v>
      </c>
      <c r="L104" s="256" t="s">
        <v>83</v>
      </c>
      <c r="M104" s="256">
        <v>19000</v>
      </c>
      <c r="N104" s="256">
        <v>399000</v>
      </c>
    </row>
    <row r="105" spans="1:15">
      <c r="A105" s="256">
        <v>51</v>
      </c>
      <c r="B105" s="256" t="s">
        <v>1053</v>
      </c>
      <c r="C105" s="256">
        <v>30000124</v>
      </c>
      <c r="D105" s="256" t="s">
        <v>1101</v>
      </c>
      <c r="E105" s="256" t="s">
        <v>10</v>
      </c>
      <c r="F105" s="256">
        <v>3.5059999999999998</v>
      </c>
      <c r="H105" s="256">
        <v>7</v>
      </c>
      <c r="J105" s="256">
        <v>14</v>
      </c>
      <c r="K105" s="256">
        <v>2</v>
      </c>
      <c r="L105" s="256" t="s">
        <v>83</v>
      </c>
      <c r="M105" s="256">
        <v>15000</v>
      </c>
      <c r="N105" s="256">
        <v>210000</v>
      </c>
    </row>
    <row r="106" spans="1:15">
      <c r="A106" s="256">
        <v>52</v>
      </c>
      <c r="B106" s="256" t="s">
        <v>1053</v>
      </c>
      <c r="C106" s="256">
        <v>30001136</v>
      </c>
      <c r="D106" s="256" t="s">
        <v>1102</v>
      </c>
      <c r="E106" s="256" t="s">
        <v>10</v>
      </c>
      <c r="F106" s="256">
        <v>8.8719999999999999</v>
      </c>
      <c r="H106" s="256">
        <v>17</v>
      </c>
      <c r="J106" s="256">
        <v>17</v>
      </c>
      <c r="K106" s="256">
        <v>1</v>
      </c>
      <c r="L106" s="256" t="s">
        <v>83</v>
      </c>
      <c r="M106" s="256">
        <v>36000</v>
      </c>
      <c r="N106" s="256">
        <v>612000</v>
      </c>
    </row>
    <row r="107" spans="1:15">
      <c r="A107" s="256">
        <v>53</v>
      </c>
      <c r="B107" s="256" t="s">
        <v>1053</v>
      </c>
      <c r="C107" s="256">
        <v>30000081</v>
      </c>
      <c r="D107" s="256" t="s">
        <v>1103</v>
      </c>
      <c r="E107" s="256" t="s">
        <v>10</v>
      </c>
      <c r="F107" s="256">
        <v>0.59399999999999997</v>
      </c>
      <c r="H107" s="256">
        <v>2</v>
      </c>
      <c r="J107" s="256">
        <v>2</v>
      </c>
      <c r="K107" s="256">
        <v>1</v>
      </c>
      <c r="L107" s="256" t="s">
        <v>83</v>
      </c>
      <c r="M107" s="256">
        <v>11000</v>
      </c>
      <c r="N107" s="256">
        <v>22000</v>
      </c>
    </row>
    <row r="108" spans="1:15">
      <c r="A108" s="256">
        <v>54</v>
      </c>
      <c r="B108" s="256" t="s">
        <v>1053</v>
      </c>
      <c r="D108" s="256" t="s">
        <v>433</v>
      </c>
      <c r="E108" s="256" t="s">
        <v>10</v>
      </c>
      <c r="F108" s="256" t="s">
        <v>1050</v>
      </c>
      <c r="G108" s="256">
        <v>46300</v>
      </c>
      <c r="J108" s="256">
        <v>0</v>
      </c>
      <c r="K108" s="256">
        <v>1</v>
      </c>
      <c r="L108" s="256" t="s">
        <v>80</v>
      </c>
      <c r="M108" s="256">
        <v>2250</v>
      </c>
      <c r="N108" s="256">
        <v>0</v>
      </c>
      <c r="O108" s="256" t="s">
        <v>1104</v>
      </c>
    </row>
    <row r="109" spans="1:15">
      <c r="A109" s="256">
        <v>55</v>
      </c>
      <c r="B109" s="256" t="s">
        <v>1053</v>
      </c>
      <c r="D109" s="256" t="s">
        <v>1105</v>
      </c>
      <c r="E109" s="256" t="s">
        <v>10</v>
      </c>
      <c r="F109" s="256" t="s">
        <v>1050</v>
      </c>
      <c r="G109" s="256" t="s">
        <v>1106</v>
      </c>
      <c r="J109" s="256">
        <v>0</v>
      </c>
      <c r="K109" s="256">
        <v>1</v>
      </c>
      <c r="L109" s="256" t="s">
        <v>1098</v>
      </c>
      <c r="M109" s="256">
        <v>31500</v>
      </c>
      <c r="N109" s="256">
        <v>0</v>
      </c>
    </row>
    <row r="110" spans="1:15">
      <c r="A110" s="256">
        <v>56</v>
      </c>
      <c r="B110" s="256" t="s">
        <v>1053</v>
      </c>
      <c r="C110" s="256">
        <v>30001823</v>
      </c>
      <c r="D110" s="256" t="s">
        <v>72</v>
      </c>
      <c r="E110" s="256" t="s">
        <v>10</v>
      </c>
      <c r="F110" s="256">
        <v>0.63</v>
      </c>
      <c r="H110" s="256">
        <v>4</v>
      </c>
      <c r="J110" s="256">
        <v>4</v>
      </c>
      <c r="K110" s="256">
        <v>1</v>
      </c>
      <c r="L110" s="256" t="s">
        <v>83</v>
      </c>
      <c r="M110" s="256">
        <v>29000</v>
      </c>
      <c r="N110" s="256">
        <v>116000</v>
      </c>
    </row>
    <row r="111" spans="1:15">
      <c r="A111" s="256">
        <v>57</v>
      </c>
      <c r="B111" s="256" t="s">
        <v>1053</v>
      </c>
      <c r="C111" s="256">
        <v>30001126</v>
      </c>
      <c r="D111" s="256" t="s">
        <v>1107</v>
      </c>
      <c r="E111" s="256" t="s">
        <v>10</v>
      </c>
      <c r="F111" s="256">
        <v>16.805</v>
      </c>
      <c r="H111" s="256">
        <v>35</v>
      </c>
      <c r="J111" s="256">
        <v>35</v>
      </c>
      <c r="K111" s="256">
        <v>1</v>
      </c>
      <c r="L111" s="256" t="s">
        <v>83</v>
      </c>
      <c r="M111" s="256">
        <v>20000</v>
      </c>
      <c r="N111" s="256">
        <v>700000</v>
      </c>
    </row>
    <row r="112" spans="1:15">
      <c r="A112" s="256">
        <v>58</v>
      </c>
      <c r="B112" s="256" t="s">
        <v>1053</v>
      </c>
      <c r="C112" s="256">
        <v>30000086</v>
      </c>
      <c r="D112" s="256" t="s">
        <v>1108</v>
      </c>
      <c r="E112" s="256" t="s">
        <v>10</v>
      </c>
      <c r="F112" s="256">
        <v>6.3529999999999998</v>
      </c>
      <c r="H112" s="256">
        <v>33</v>
      </c>
      <c r="J112" s="256">
        <v>33</v>
      </c>
      <c r="K112" s="256">
        <v>1</v>
      </c>
      <c r="L112" s="256" t="s">
        <v>83</v>
      </c>
      <c r="M112" s="256">
        <v>5200</v>
      </c>
      <c r="N112" s="256">
        <v>171600</v>
      </c>
    </row>
    <row r="113" spans="1:15">
      <c r="A113" s="256">
        <v>59</v>
      </c>
      <c r="B113" s="256" t="s">
        <v>1053</v>
      </c>
      <c r="C113" s="256">
        <v>30003416</v>
      </c>
      <c r="D113" s="256" t="s">
        <v>357</v>
      </c>
      <c r="E113" s="256" t="s">
        <v>10</v>
      </c>
      <c r="F113" s="256">
        <v>0.26800000000000002</v>
      </c>
      <c r="H113" s="256">
        <v>1</v>
      </c>
      <c r="J113" s="256">
        <v>1</v>
      </c>
      <c r="K113" s="256">
        <v>1</v>
      </c>
      <c r="L113" s="256" t="s">
        <v>83</v>
      </c>
      <c r="M113" s="256">
        <v>31000</v>
      </c>
      <c r="N113" s="256">
        <v>31000</v>
      </c>
    </row>
    <row r="114" spans="1:15">
      <c r="A114" s="256">
        <v>61</v>
      </c>
      <c r="B114" s="256" t="s">
        <v>1053</v>
      </c>
      <c r="C114" s="256">
        <v>30003068</v>
      </c>
      <c r="D114" s="256" t="s">
        <v>887</v>
      </c>
      <c r="E114" s="256" t="s">
        <v>10</v>
      </c>
      <c r="F114" s="256" t="s">
        <v>1050</v>
      </c>
      <c r="I114" s="256">
        <v>4</v>
      </c>
      <c r="J114" s="256">
        <v>4</v>
      </c>
      <c r="K114" s="256">
        <v>5</v>
      </c>
      <c r="L114" s="256" t="s">
        <v>83</v>
      </c>
      <c r="M114" s="256">
        <v>8500</v>
      </c>
      <c r="N114" s="256">
        <v>34000</v>
      </c>
    </row>
    <row r="115" spans="1:15">
      <c r="A115" s="256">
        <v>3</v>
      </c>
      <c r="B115" s="256" t="s">
        <v>1109</v>
      </c>
      <c r="C115" s="256">
        <v>30003442</v>
      </c>
      <c r="D115" s="256" t="s">
        <v>1110</v>
      </c>
      <c r="E115" s="256" t="s">
        <v>12</v>
      </c>
      <c r="F115" s="256">
        <v>6.3</v>
      </c>
      <c r="H115" s="256">
        <v>8</v>
      </c>
      <c r="J115" s="256">
        <v>48</v>
      </c>
      <c r="K115" s="256">
        <v>6</v>
      </c>
      <c r="L115" s="256" t="s">
        <v>80</v>
      </c>
      <c r="M115" s="256">
        <v>8190</v>
      </c>
      <c r="N115" s="256">
        <v>393120</v>
      </c>
    </row>
    <row r="116" spans="1:15">
      <c r="A116" s="256">
        <v>4</v>
      </c>
      <c r="B116" s="256" t="s">
        <v>1109</v>
      </c>
      <c r="C116" s="256">
        <v>30003393</v>
      </c>
      <c r="D116" s="256" t="s">
        <v>1111</v>
      </c>
      <c r="E116" s="256" t="s">
        <v>12</v>
      </c>
      <c r="F116" s="256">
        <v>6.1749999999999998</v>
      </c>
      <c r="J116" s="256">
        <v>0</v>
      </c>
      <c r="K116" s="256">
        <v>6</v>
      </c>
      <c r="L116" s="256" t="s">
        <v>82</v>
      </c>
      <c r="M116" s="256">
        <v>7500</v>
      </c>
      <c r="N116" s="256">
        <v>0</v>
      </c>
    </row>
    <row r="117" spans="1:15">
      <c r="A117" s="256">
        <v>5</v>
      </c>
      <c r="B117" s="256" t="s">
        <v>1112</v>
      </c>
      <c r="C117" s="256">
        <v>30003294</v>
      </c>
      <c r="D117" s="256" t="s">
        <v>308</v>
      </c>
      <c r="E117" s="256" t="s">
        <v>10</v>
      </c>
      <c r="F117" s="256">
        <v>2.2688333333333333</v>
      </c>
      <c r="H117" s="256">
        <v>10</v>
      </c>
      <c r="J117" s="256">
        <v>60</v>
      </c>
      <c r="K117" s="256">
        <v>6</v>
      </c>
      <c r="L117" s="256" t="s">
        <v>82</v>
      </c>
      <c r="M117" s="256">
        <v>18600</v>
      </c>
      <c r="N117" s="256">
        <v>1116000</v>
      </c>
    </row>
    <row r="118" spans="1:15">
      <c r="A118" s="256">
        <v>5</v>
      </c>
      <c r="B118" s="256" t="s">
        <v>1080</v>
      </c>
      <c r="C118" s="256">
        <v>30003606</v>
      </c>
      <c r="D118" s="256" t="s">
        <v>987</v>
      </c>
      <c r="E118" s="256" t="s">
        <v>10</v>
      </c>
      <c r="F118" s="256">
        <v>0.58319999999999994</v>
      </c>
      <c r="H118" s="256">
        <v>2</v>
      </c>
      <c r="J118" s="256">
        <v>20</v>
      </c>
      <c r="K118" s="256">
        <v>10</v>
      </c>
      <c r="L118" s="256" t="s">
        <v>82</v>
      </c>
      <c r="M118" s="256">
        <v>18600</v>
      </c>
      <c r="N118" s="256">
        <v>372000</v>
      </c>
    </row>
    <row r="119" spans="1:15">
      <c r="A119" s="256">
        <v>4</v>
      </c>
      <c r="B119" s="256" t="s">
        <v>1080</v>
      </c>
      <c r="C119" s="256">
        <v>30003532</v>
      </c>
      <c r="D119" s="256" t="s">
        <v>1113</v>
      </c>
      <c r="E119" s="256" t="s">
        <v>12</v>
      </c>
      <c r="G119" s="256" t="s">
        <v>1088</v>
      </c>
      <c r="H119" s="256">
        <v>1</v>
      </c>
      <c r="I119" s="256">
        <v>7</v>
      </c>
      <c r="J119" s="256">
        <v>17</v>
      </c>
      <c r="K119" s="256">
        <v>10</v>
      </c>
      <c r="L119" s="256" t="s">
        <v>80</v>
      </c>
      <c r="M119" s="256">
        <v>19700</v>
      </c>
      <c r="N119" s="256">
        <v>334900</v>
      </c>
    </row>
    <row r="120" spans="1:15">
      <c r="A120" s="256">
        <v>4</v>
      </c>
      <c r="B120" s="256" t="s">
        <v>1080</v>
      </c>
      <c r="C120" s="256">
        <v>30003745</v>
      </c>
      <c r="D120" s="256" t="s">
        <v>1114</v>
      </c>
      <c r="E120" s="256" t="s">
        <v>12</v>
      </c>
      <c r="H120" s="256">
        <v>1</v>
      </c>
      <c r="J120" s="256">
        <v>10</v>
      </c>
      <c r="K120" s="256">
        <v>10</v>
      </c>
      <c r="L120" s="256" t="s">
        <v>80</v>
      </c>
      <c r="M120" s="256">
        <v>19700</v>
      </c>
      <c r="N120" s="256">
        <v>197000</v>
      </c>
    </row>
    <row r="121" spans="1:15">
      <c r="A121" s="256">
        <v>4</v>
      </c>
      <c r="B121" s="256" t="s">
        <v>1080</v>
      </c>
      <c r="C121" s="256">
        <v>30003489</v>
      </c>
      <c r="D121" s="256" t="s">
        <v>1009</v>
      </c>
      <c r="E121" s="256" t="s">
        <v>12</v>
      </c>
      <c r="H121" s="256">
        <v>1</v>
      </c>
      <c r="J121" s="256">
        <v>10</v>
      </c>
      <c r="K121" s="256">
        <v>10</v>
      </c>
      <c r="L121" s="256" t="s">
        <v>80</v>
      </c>
      <c r="M121" s="256">
        <v>19700</v>
      </c>
      <c r="N121" s="256">
        <v>197000</v>
      </c>
    </row>
    <row r="122" spans="1:15">
      <c r="A122" s="256">
        <v>6</v>
      </c>
      <c r="B122" s="256" t="s">
        <v>1115</v>
      </c>
      <c r="C122" s="256">
        <v>30003575</v>
      </c>
      <c r="D122" s="256" t="s">
        <v>652</v>
      </c>
      <c r="E122" s="256" t="s">
        <v>10</v>
      </c>
      <c r="F122" s="256">
        <v>0.57166666666666666</v>
      </c>
      <c r="J122" s="256">
        <v>0</v>
      </c>
      <c r="K122" s="256">
        <v>3</v>
      </c>
      <c r="L122" s="256" t="s">
        <v>82</v>
      </c>
      <c r="M122" s="256">
        <v>5900</v>
      </c>
      <c r="N122" s="256">
        <v>0</v>
      </c>
      <c r="O122" s="256" t="s">
        <v>716</v>
      </c>
    </row>
    <row r="123" spans="1:15">
      <c r="A123" s="256">
        <v>7</v>
      </c>
      <c r="B123" s="256" t="s">
        <v>1115</v>
      </c>
      <c r="C123" s="256">
        <v>30003391</v>
      </c>
      <c r="D123" s="256" t="s">
        <v>223</v>
      </c>
      <c r="E123" s="256" t="s">
        <v>10</v>
      </c>
      <c r="F123" s="256">
        <v>11.671999999999999</v>
      </c>
      <c r="J123" s="256">
        <v>0</v>
      </c>
      <c r="K123" s="256">
        <v>3</v>
      </c>
      <c r="L123" s="256" t="s">
        <v>88</v>
      </c>
      <c r="M123" s="256">
        <v>17700</v>
      </c>
      <c r="N123" s="256">
        <v>0</v>
      </c>
    </row>
    <row r="124" spans="1:15">
      <c r="A124" s="256">
        <v>8</v>
      </c>
      <c r="B124" s="256" t="s">
        <v>1115</v>
      </c>
      <c r="C124" s="256">
        <v>30002894</v>
      </c>
      <c r="D124" s="256" t="s">
        <v>241</v>
      </c>
      <c r="E124" s="256" t="s">
        <v>10</v>
      </c>
      <c r="F124" s="256">
        <v>3.6038749999999999</v>
      </c>
      <c r="J124" s="256">
        <v>0</v>
      </c>
      <c r="K124" s="256">
        <v>8</v>
      </c>
      <c r="L124" s="256" t="s">
        <v>88</v>
      </c>
      <c r="M124" s="256">
        <v>7100</v>
      </c>
      <c r="N124" s="256">
        <v>0</v>
      </c>
    </row>
    <row r="125" spans="1:15">
      <c r="A125" s="256">
        <v>9</v>
      </c>
      <c r="B125" s="256" t="s">
        <v>1115</v>
      </c>
      <c r="C125" s="256">
        <v>30003072</v>
      </c>
      <c r="D125" s="256" t="s">
        <v>312</v>
      </c>
      <c r="E125" s="256" t="s">
        <v>10</v>
      </c>
      <c r="F125" s="256">
        <v>6.4720000000000004</v>
      </c>
      <c r="H125" s="256">
        <v>11</v>
      </c>
      <c r="I125" s="256">
        <v>6</v>
      </c>
      <c r="J125" s="256">
        <v>94</v>
      </c>
      <c r="K125" s="256">
        <v>8</v>
      </c>
      <c r="L125" s="256" t="s">
        <v>88</v>
      </c>
      <c r="M125" s="256">
        <v>4900</v>
      </c>
      <c r="N125" s="256">
        <v>460600</v>
      </c>
    </row>
    <row r="126" spans="1:15">
      <c r="A126" s="256">
        <v>9</v>
      </c>
      <c r="B126" s="256" t="s">
        <v>1115</v>
      </c>
      <c r="C126" s="256">
        <v>30003072</v>
      </c>
      <c r="D126" s="256" t="s">
        <v>1116</v>
      </c>
      <c r="E126" s="256" t="s">
        <v>1021</v>
      </c>
      <c r="F126" s="256">
        <v>0.45819469026548676</v>
      </c>
      <c r="J126" s="256">
        <v>0</v>
      </c>
      <c r="K126" s="256">
        <v>113</v>
      </c>
      <c r="L126" s="256" t="s">
        <v>88</v>
      </c>
      <c r="M126" s="256">
        <v>4900</v>
      </c>
      <c r="N126" s="256">
        <v>0</v>
      </c>
    </row>
    <row r="127" spans="1:15">
      <c r="A127" s="256">
        <v>12</v>
      </c>
      <c r="B127" s="256" t="s">
        <v>1117</v>
      </c>
      <c r="C127" s="256">
        <v>20195320</v>
      </c>
      <c r="D127" s="256" t="s">
        <v>957</v>
      </c>
      <c r="E127" s="256" t="s">
        <v>12</v>
      </c>
      <c r="F127" s="256" t="s">
        <v>1050</v>
      </c>
      <c r="H127" s="256">
        <v>35</v>
      </c>
      <c r="J127" s="256">
        <v>175</v>
      </c>
      <c r="K127" s="256">
        <v>5</v>
      </c>
      <c r="L127" s="256" t="s">
        <v>82</v>
      </c>
      <c r="M127" s="256">
        <v>12870</v>
      </c>
      <c r="N127" s="256">
        <v>2252250</v>
      </c>
      <c r="O127" s="256" t="s">
        <v>711</v>
      </c>
    </row>
    <row r="128" spans="1:15">
      <c r="A128" s="256">
        <v>13</v>
      </c>
      <c r="B128" s="256" t="s">
        <v>1117</v>
      </c>
      <c r="C128" s="256">
        <v>30002747</v>
      </c>
      <c r="D128" s="256" t="s">
        <v>954</v>
      </c>
      <c r="E128" s="256" t="s">
        <v>12</v>
      </c>
      <c r="F128" s="256">
        <v>6.1811999999999996</v>
      </c>
      <c r="G128" s="256" t="s">
        <v>1118</v>
      </c>
      <c r="H128" s="256">
        <v>17</v>
      </c>
      <c r="J128" s="256">
        <v>85</v>
      </c>
      <c r="K128" s="256">
        <v>5</v>
      </c>
      <c r="L128" s="256" t="s">
        <v>82</v>
      </c>
      <c r="M128" s="256">
        <v>12470</v>
      </c>
      <c r="N128" s="256">
        <v>1059950</v>
      </c>
    </row>
    <row r="129" spans="1:14">
      <c r="A129" s="256">
        <v>14</v>
      </c>
      <c r="B129" s="256" t="s">
        <v>1117</v>
      </c>
      <c r="C129" s="256">
        <v>30002748</v>
      </c>
      <c r="D129" s="256" t="s">
        <v>938</v>
      </c>
      <c r="E129" s="256" t="s">
        <v>12</v>
      </c>
      <c r="F129" s="256">
        <v>24.799199999999999</v>
      </c>
      <c r="H129" s="256">
        <v>11</v>
      </c>
      <c r="J129" s="256">
        <v>55</v>
      </c>
      <c r="K129" s="256">
        <v>5</v>
      </c>
      <c r="L129" s="256" t="s">
        <v>82</v>
      </c>
      <c r="M129" s="256">
        <v>12670</v>
      </c>
      <c r="N129" s="256">
        <v>696850</v>
      </c>
    </row>
    <row r="130" spans="1:14">
      <c r="A130" s="256">
        <v>15</v>
      </c>
      <c r="B130" s="256" t="s">
        <v>1117</v>
      </c>
      <c r="C130" s="256">
        <v>30002522</v>
      </c>
      <c r="D130" s="256" t="s">
        <v>141</v>
      </c>
      <c r="E130" s="256" t="s">
        <v>12</v>
      </c>
      <c r="F130" s="256">
        <v>17.915799999999997</v>
      </c>
      <c r="H130" s="256">
        <v>12</v>
      </c>
      <c r="J130" s="256">
        <v>60</v>
      </c>
      <c r="K130" s="256">
        <v>5</v>
      </c>
      <c r="L130" s="256" t="s">
        <v>88</v>
      </c>
      <c r="M130" s="256">
        <v>12670</v>
      </c>
      <c r="N130" s="256">
        <v>760200</v>
      </c>
    </row>
    <row r="131" spans="1:14">
      <c r="A131" s="256">
        <v>16</v>
      </c>
      <c r="B131" s="256" t="s">
        <v>1117</v>
      </c>
      <c r="C131" s="256">
        <v>30003415</v>
      </c>
      <c r="D131" s="256" t="s">
        <v>345</v>
      </c>
      <c r="E131" s="256" t="s">
        <v>12</v>
      </c>
      <c r="F131" s="256">
        <v>0.33260000000000001</v>
      </c>
      <c r="H131" s="256">
        <v>9</v>
      </c>
      <c r="J131" s="256">
        <v>45</v>
      </c>
      <c r="K131" s="256">
        <v>5</v>
      </c>
      <c r="L131" s="256" t="s">
        <v>88</v>
      </c>
      <c r="M131" s="256">
        <v>12870</v>
      </c>
      <c r="N131" s="256">
        <v>579150</v>
      </c>
    </row>
    <row r="132" spans="1:14">
      <c r="A132" s="256">
        <v>20</v>
      </c>
      <c r="B132" s="256" t="s">
        <v>1048</v>
      </c>
      <c r="C132" s="256">
        <v>30003287</v>
      </c>
      <c r="D132" s="256" t="s">
        <v>296</v>
      </c>
      <c r="E132" s="256" t="s">
        <v>12</v>
      </c>
      <c r="F132" s="256">
        <v>1.0150000000000001</v>
      </c>
      <c r="H132" s="256">
        <v>3</v>
      </c>
      <c r="I132" s="256">
        <v>6</v>
      </c>
      <c r="J132" s="256">
        <v>36</v>
      </c>
      <c r="K132" s="256">
        <v>10</v>
      </c>
      <c r="L132" s="256" t="s">
        <v>88</v>
      </c>
      <c r="M132" s="256">
        <v>7330</v>
      </c>
      <c r="N132" s="256">
        <v>263880</v>
      </c>
    </row>
    <row r="133" spans="1:14">
      <c r="A133" s="256">
        <v>21</v>
      </c>
      <c r="B133" s="256" t="s">
        <v>1048</v>
      </c>
      <c r="C133" s="256">
        <v>30002893</v>
      </c>
      <c r="D133" s="256" t="s">
        <v>239</v>
      </c>
      <c r="E133" s="256" t="s">
        <v>12</v>
      </c>
      <c r="F133" s="256">
        <v>2.5505</v>
      </c>
      <c r="H133" s="256">
        <v>5</v>
      </c>
      <c r="I133" s="256">
        <v>4</v>
      </c>
      <c r="J133" s="256">
        <v>44</v>
      </c>
      <c r="K133" s="256">
        <v>8</v>
      </c>
      <c r="L133" s="256" t="s">
        <v>88</v>
      </c>
      <c r="M133" s="256">
        <v>6210</v>
      </c>
      <c r="N133" s="256">
        <v>273240</v>
      </c>
    </row>
    <row r="134" spans="1:14">
      <c r="A134" s="256">
        <v>21</v>
      </c>
      <c r="B134" s="256" t="s">
        <v>1048</v>
      </c>
      <c r="C134" s="256">
        <v>30002324</v>
      </c>
      <c r="D134" s="256" t="s">
        <v>900</v>
      </c>
      <c r="E134" s="256" t="s">
        <v>12</v>
      </c>
      <c r="H134" s="256">
        <v>17</v>
      </c>
      <c r="I134" s="256">
        <v>7</v>
      </c>
      <c r="J134" s="256">
        <v>143</v>
      </c>
      <c r="K134" s="256">
        <v>8</v>
      </c>
      <c r="L134" s="256" t="s">
        <v>88</v>
      </c>
      <c r="N134" s="256">
        <v>0</v>
      </c>
    </row>
    <row r="135" spans="1:14">
      <c r="A135" s="256">
        <v>21</v>
      </c>
      <c r="B135" s="256" t="s">
        <v>1048</v>
      </c>
      <c r="C135" s="256">
        <v>30003743</v>
      </c>
      <c r="D135" s="256" t="s">
        <v>1005</v>
      </c>
      <c r="E135" s="256" t="s">
        <v>12</v>
      </c>
      <c r="H135" s="256">
        <v>7</v>
      </c>
      <c r="J135" s="256">
        <v>35</v>
      </c>
      <c r="K135" s="256">
        <v>5</v>
      </c>
      <c r="L135" s="256" t="s">
        <v>88</v>
      </c>
      <c r="N135" s="256">
        <v>0</v>
      </c>
    </row>
    <row r="136" spans="1:14">
      <c r="A136" s="256">
        <v>22</v>
      </c>
      <c r="B136" s="256" t="s">
        <v>1119</v>
      </c>
      <c r="C136" s="256">
        <v>30003637</v>
      </c>
      <c r="D136" s="256" t="s">
        <v>910</v>
      </c>
      <c r="E136" s="256" t="s">
        <v>12</v>
      </c>
      <c r="F136" s="256" t="s">
        <v>1050</v>
      </c>
      <c r="J136" s="256">
        <v>0</v>
      </c>
      <c r="K136" s="256">
        <v>10</v>
      </c>
      <c r="L136" s="256" t="s">
        <v>80</v>
      </c>
      <c r="M136" s="256">
        <v>6850</v>
      </c>
      <c r="N136" s="256">
        <v>0</v>
      </c>
    </row>
    <row r="137" spans="1:14">
      <c r="A137" s="256">
        <v>23</v>
      </c>
      <c r="B137" s="256" t="s">
        <v>1120</v>
      </c>
      <c r="C137" s="256">
        <v>30003373</v>
      </c>
      <c r="D137" s="256" t="s">
        <v>904</v>
      </c>
      <c r="E137" s="256" t="s">
        <v>12</v>
      </c>
      <c r="F137" s="256" t="s">
        <v>1050</v>
      </c>
      <c r="H137" s="256">
        <v>27</v>
      </c>
      <c r="J137" s="256">
        <v>135</v>
      </c>
      <c r="K137" s="256">
        <v>5</v>
      </c>
      <c r="L137" s="256" t="s">
        <v>88</v>
      </c>
      <c r="M137" s="256">
        <v>6496</v>
      </c>
      <c r="N137" s="256">
        <v>876960</v>
      </c>
    </row>
    <row r="138" spans="1:14">
      <c r="A138" s="256">
        <v>23</v>
      </c>
      <c r="B138" s="256" t="s">
        <v>1120</v>
      </c>
      <c r="C138" s="256">
        <v>30003640</v>
      </c>
      <c r="D138" s="256" t="s">
        <v>905</v>
      </c>
      <c r="E138" s="256" t="s">
        <v>12</v>
      </c>
      <c r="F138" s="256" t="s">
        <v>1050</v>
      </c>
      <c r="G138" s="256" t="s">
        <v>1118</v>
      </c>
      <c r="H138" s="256">
        <v>14</v>
      </c>
      <c r="I138" s="256">
        <v>3</v>
      </c>
      <c r="J138" s="256">
        <v>87</v>
      </c>
      <c r="K138" s="256">
        <v>6</v>
      </c>
      <c r="L138" s="256" t="s">
        <v>88</v>
      </c>
      <c r="M138" s="256">
        <v>6496</v>
      </c>
      <c r="N138" s="256">
        <v>565152</v>
      </c>
    </row>
    <row r="139" spans="1:14">
      <c r="A139" s="256">
        <v>24</v>
      </c>
      <c r="B139" s="256" t="s">
        <v>868</v>
      </c>
      <c r="C139" s="256">
        <v>30003051</v>
      </c>
      <c r="D139" s="256" t="s">
        <v>961</v>
      </c>
      <c r="E139" s="256" t="s">
        <v>12</v>
      </c>
      <c r="F139" s="256" t="s">
        <v>1050</v>
      </c>
      <c r="H139" s="256">
        <v>31</v>
      </c>
      <c r="I139" s="256">
        <v>8</v>
      </c>
      <c r="J139" s="256">
        <v>318</v>
      </c>
      <c r="K139" s="256">
        <v>10</v>
      </c>
      <c r="L139" s="256" t="s">
        <v>88</v>
      </c>
      <c r="M139" s="256">
        <v>11325</v>
      </c>
      <c r="N139" s="256">
        <v>3601350</v>
      </c>
    </row>
    <row r="140" spans="1:14">
      <c r="A140" s="256">
        <v>24</v>
      </c>
      <c r="B140" s="256" t="s">
        <v>868</v>
      </c>
      <c r="C140" s="256">
        <v>20001437</v>
      </c>
      <c r="D140" s="256" t="s">
        <v>1121</v>
      </c>
      <c r="E140" s="256" t="s">
        <v>12</v>
      </c>
      <c r="F140" s="256">
        <v>0.7843</v>
      </c>
      <c r="H140" s="256">
        <v>6</v>
      </c>
      <c r="I140" s="256">
        <v>6</v>
      </c>
      <c r="J140" s="256">
        <v>66</v>
      </c>
      <c r="K140" s="256">
        <v>10</v>
      </c>
      <c r="L140" s="256" t="s">
        <v>88</v>
      </c>
      <c r="M140" s="256">
        <v>11325</v>
      </c>
      <c r="N140" s="256">
        <v>747450</v>
      </c>
    </row>
    <row r="141" spans="1:14">
      <c r="A141" s="256">
        <v>25</v>
      </c>
      <c r="B141" s="256" t="s">
        <v>868</v>
      </c>
      <c r="C141" s="256">
        <v>30003527</v>
      </c>
      <c r="D141" s="256" t="s">
        <v>597</v>
      </c>
      <c r="E141" s="256" t="s">
        <v>12</v>
      </c>
      <c r="F141" s="256">
        <v>5.8566666666666665</v>
      </c>
      <c r="H141" s="256">
        <v>9</v>
      </c>
      <c r="J141" s="256">
        <v>54</v>
      </c>
      <c r="K141" s="256">
        <v>6</v>
      </c>
      <c r="L141" s="256" t="s">
        <v>82</v>
      </c>
      <c r="M141" s="256">
        <v>12838.333333333334</v>
      </c>
      <c r="N141" s="256">
        <v>693270</v>
      </c>
    </row>
    <row r="142" spans="1:14">
      <c r="A142" s="256">
        <v>26</v>
      </c>
      <c r="B142" s="256" t="s">
        <v>868</v>
      </c>
      <c r="C142" s="256">
        <v>30003652</v>
      </c>
      <c r="D142" s="256" t="s">
        <v>866</v>
      </c>
      <c r="E142" s="256" t="s">
        <v>12</v>
      </c>
      <c r="F142" s="256" t="s">
        <v>1050</v>
      </c>
      <c r="H142" s="256">
        <v>18</v>
      </c>
      <c r="J142" s="256">
        <v>108</v>
      </c>
      <c r="K142" s="256">
        <v>6</v>
      </c>
      <c r="L142" s="256" t="s">
        <v>82</v>
      </c>
      <c r="N142" s="256">
        <v>0</v>
      </c>
    </row>
    <row r="143" spans="1:14">
      <c r="A143" s="256">
        <v>27</v>
      </c>
      <c r="B143" s="256" t="s">
        <v>868</v>
      </c>
      <c r="C143" s="256">
        <v>30002988</v>
      </c>
      <c r="D143" s="256" t="s">
        <v>251</v>
      </c>
      <c r="E143" s="256" t="s">
        <v>12</v>
      </c>
      <c r="F143" s="256">
        <v>0.98230000000000006</v>
      </c>
      <c r="H143" s="256">
        <v>5</v>
      </c>
      <c r="I143" s="256">
        <v>1</v>
      </c>
      <c r="J143" s="256">
        <v>51</v>
      </c>
      <c r="K143" s="256">
        <v>10</v>
      </c>
      <c r="L143" s="256" t="s">
        <v>88</v>
      </c>
      <c r="M143" s="256">
        <v>7370</v>
      </c>
      <c r="N143" s="256">
        <v>375870</v>
      </c>
    </row>
    <row r="144" spans="1:14">
      <c r="A144" s="256">
        <v>30</v>
      </c>
      <c r="B144" s="256" t="s">
        <v>868</v>
      </c>
      <c r="C144" s="256">
        <v>30003440</v>
      </c>
      <c r="D144" s="256" t="s">
        <v>1122</v>
      </c>
      <c r="E144" s="256" t="s">
        <v>12</v>
      </c>
      <c r="F144" s="256">
        <v>2.9114999999999998</v>
      </c>
      <c r="J144" s="256">
        <v>0</v>
      </c>
      <c r="K144" s="256">
        <v>10</v>
      </c>
      <c r="L144" s="256" t="s">
        <v>80</v>
      </c>
      <c r="M144" s="256">
        <v>6400</v>
      </c>
      <c r="N144" s="256">
        <v>0</v>
      </c>
    </row>
    <row r="145" spans="1:15">
      <c r="A145" s="256">
        <v>31</v>
      </c>
      <c r="B145" s="256" t="s">
        <v>868</v>
      </c>
      <c r="C145" s="256">
        <v>30002549</v>
      </c>
      <c r="D145" s="256" t="s">
        <v>147</v>
      </c>
      <c r="E145" s="256" t="s">
        <v>12</v>
      </c>
      <c r="F145" s="256">
        <v>11.50625</v>
      </c>
      <c r="H145" s="256">
        <v>8</v>
      </c>
      <c r="I145" s="256">
        <v>7</v>
      </c>
      <c r="J145" s="256">
        <v>71</v>
      </c>
      <c r="K145" s="256">
        <v>8</v>
      </c>
      <c r="L145" s="256" t="s">
        <v>88</v>
      </c>
      <c r="M145" s="256">
        <v>9006.25</v>
      </c>
      <c r="N145" s="256">
        <v>639443.75</v>
      </c>
    </row>
    <row r="146" spans="1:15">
      <c r="A146" s="256">
        <v>32</v>
      </c>
      <c r="B146" s="256" t="s">
        <v>868</v>
      </c>
      <c r="C146" s="256">
        <v>30003295</v>
      </c>
      <c r="D146" s="256" t="s">
        <v>307</v>
      </c>
      <c r="E146" s="256" t="s">
        <v>12</v>
      </c>
      <c r="F146" s="256">
        <v>4.9783333333333335</v>
      </c>
      <c r="H146" s="256">
        <v>46</v>
      </c>
      <c r="J146" s="256">
        <v>552</v>
      </c>
      <c r="K146" s="256">
        <v>12</v>
      </c>
      <c r="L146" s="256" t="s">
        <v>88</v>
      </c>
      <c r="M146" s="256">
        <v>5058.333333333333</v>
      </c>
      <c r="N146" s="256">
        <v>2792200</v>
      </c>
    </row>
    <row r="147" spans="1:15">
      <c r="A147" s="256">
        <v>32</v>
      </c>
      <c r="B147" s="256" t="s">
        <v>868</v>
      </c>
      <c r="C147" s="256">
        <v>30003674</v>
      </c>
      <c r="D147" s="256" t="s">
        <v>894</v>
      </c>
      <c r="E147" s="256" t="s">
        <v>12</v>
      </c>
      <c r="F147" s="256" t="s">
        <v>1050</v>
      </c>
      <c r="H147" s="256">
        <v>10</v>
      </c>
      <c r="I147" s="256">
        <v>6</v>
      </c>
      <c r="J147" s="256">
        <v>106</v>
      </c>
      <c r="K147" s="256">
        <v>10</v>
      </c>
      <c r="L147" s="256" t="s">
        <v>88</v>
      </c>
      <c r="M147" s="256">
        <v>5058.333333333333</v>
      </c>
      <c r="N147" s="256">
        <v>536183.33333333326</v>
      </c>
    </row>
    <row r="148" spans="1:15">
      <c r="A148" s="256">
        <v>32</v>
      </c>
      <c r="B148" s="256" t="s">
        <v>868</v>
      </c>
      <c r="C148" s="256">
        <v>30003063</v>
      </c>
      <c r="D148" s="256" t="s">
        <v>901</v>
      </c>
      <c r="E148" s="256" t="s">
        <v>12</v>
      </c>
      <c r="F148" s="256" t="s">
        <v>1050</v>
      </c>
      <c r="I148" s="256">
        <v>7</v>
      </c>
      <c r="J148" s="256">
        <v>7</v>
      </c>
      <c r="K148" s="256">
        <v>10</v>
      </c>
      <c r="L148" s="256" t="s">
        <v>88</v>
      </c>
      <c r="M148" s="256">
        <v>5058.333333333333</v>
      </c>
      <c r="N148" s="256">
        <v>35408.333333333328</v>
      </c>
    </row>
    <row r="149" spans="1:15">
      <c r="A149" s="256">
        <v>32</v>
      </c>
      <c r="B149" s="256" t="s">
        <v>868</v>
      </c>
      <c r="C149" s="256">
        <v>30003754</v>
      </c>
      <c r="D149" s="256" t="s">
        <v>1011</v>
      </c>
      <c r="E149" s="256" t="s">
        <v>12</v>
      </c>
      <c r="F149" s="256" t="s">
        <v>1050</v>
      </c>
      <c r="H149" s="256">
        <v>20</v>
      </c>
      <c r="J149" s="256">
        <v>200</v>
      </c>
      <c r="K149" s="256">
        <v>10</v>
      </c>
      <c r="L149" s="256" t="s">
        <v>88</v>
      </c>
      <c r="M149" s="256">
        <v>5058.333333333333</v>
      </c>
      <c r="N149" s="256">
        <v>1011666.6666666666</v>
      </c>
    </row>
    <row r="150" spans="1:15">
      <c r="A150" s="256">
        <v>34</v>
      </c>
      <c r="B150" s="256" t="s">
        <v>1024</v>
      </c>
      <c r="C150" s="256">
        <v>30001804</v>
      </c>
      <c r="D150" s="256" t="s">
        <v>1123</v>
      </c>
      <c r="E150" s="256" t="s">
        <v>12</v>
      </c>
      <c r="F150" s="256">
        <v>21.220874999999999</v>
      </c>
      <c r="H150" s="256">
        <v>32</v>
      </c>
      <c r="I150" s="256">
        <v>6</v>
      </c>
      <c r="J150" s="256">
        <v>262</v>
      </c>
      <c r="K150" s="256">
        <v>8</v>
      </c>
      <c r="L150" s="256" t="s">
        <v>88</v>
      </c>
      <c r="M150" s="256">
        <v>5900</v>
      </c>
      <c r="N150" s="256">
        <v>1545800</v>
      </c>
    </row>
    <row r="151" spans="1:15">
      <c r="A151" s="256">
        <v>35</v>
      </c>
      <c r="B151" s="256" t="s">
        <v>1024</v>
      </c>
      <c r="C151" s="256">
        <v>30002098</v>
      </c>
      <c r="D151" s="256" t="s">
        <v>32</v>
      </c>
      <c r="E151" s="256" t="s">
        <v>12</v>
      </c>
      <c r="F151" s="256">
        <v>8.3570999999999991</v>
      </c>
      <c r="H151" s="256">
        <v>6</v>
      </c>
      <c r="J151" s="256">
        <v>60</v>
      </c>
      <c r="K151" s="256">
        <v>10</v>
      </c>
      <c r="L151" s="256" t="s">
        <v>88</v>
      </c>
      <c r="M151" s="256">
        <v>6050</v>
      </c>
      <c r="N151" s="256">
        <v>363000</v>
      </c>
    </row>
    <row r="152" spans="1:15">
      <c r="A152" s="256">
        <v>36</v>
      </c>
      <c r="B152" s="256" t="s">
        <v>1024</v>
      </c>
      <c r="C152" s="256">
        <v>30002987</v>
      </c>
      <c r="D152" s="256" t="s">
        <v>252</v>
      </c>
      <c r="E152" s="256" t="s">
        <v>12</v>
      </c>
      <c r="F152" s="256">
        <v>11.05</v>
      </c>
      <c r="H152" s="256">
        <v>19</v>
      </c>
      <c r="I152" s="256">
        <v>6</v>
      </c>
      <c r="J152" s="256">
        <v>158</v>
      </c>
      <c r="K152" s="256">
        <v>8</v>
      </c>
      <c r="L152" s="256" t="s">
        <v>88</v>
      </c>
      <c r="M152" s="256">
        <v>10100</v>
      </c>
      <c r="N152" s="256">
        <v>1595800</v>
      </c>
    </row>
    <row r="153" spans="1:15">
      <c r="A153" s="256">
        <v>39</v>
      </c>
      <c r="B153" s="256" t="s">
        <v>1024</v>
      </c>
      <c r="C153" s="256">
        <v>30003364</v>
      </c>
      <c r="D153" s="256" t="s">
        <v>1124</v>
      </c>
      <c r="E153" s="256" t="s">
        <v>12</v>
      </c>
      <c r="F153" s="256">
        <v>4.3561249999999996</v>
      </c>
      <c r="H153" s="256">
        <v>18</v>
      </c>
      <c r="J153" s="256">
        <v>144</v>
      </c>
      <c r="K153" s="256">
        <v>8</v>
      </c>
      <c r="L153" s="256" t="s">
        <v>88</v>
      </c>
      <c r="M153" s="256">
        <v>11800</v>
      </c>
      <c r="N153" s="256">
        <v>1699200</v>
      </c>
    </row>
    <row r="154" spans="1:15">
      <c r="A154" s="256">
        <v>40</v>
      </c>
      <c r="B154" s="256" t="s">
        <v>1125</v>
      </c>
      <c r="C154" s="256">
        <v>30003464</v>
      </c>
      <c r="D154" s="256" t="s">
        <v>1126</v>
      </c>
      <c r="E154" s="256" t="s">
        <v>10</v>
      </c>
      <c r="F154" s="256">
        <v>2.0019</v>
      </c>
      <c r="H154" s="256">
        <v>3</v>
      </c>
      <c r="J154" s="256">
        <v>30</v>
      </c>
      <c r="K154" s="256">
        <v>10</v>
      </c>
      <c r="L154" s="256" t="s">
        <v>82</v>
      </c>
      <c r="M154" s="256">
        <v>7650</v>
      </c>
      <c r="N154" s="256">
        <v>229500</v>
      </c>
    </row>
    <row r="155" spans="1:15">
      <c r="A155" s="256">
        <v>41</v>
      </c>
      <c r="B155" s="256" t="s">
        <v>1127</v>
      </c>
      <c r="C155" s="256">
        <v>20195171</v>
      </c>
      <c r="D155" s="256" t="s">
        <v>833</v>
      </c>
      <c r="E155" s="256" t="s">
        <v>10</v>
      </c>
      <c r="F155" s="256" t="s">
        <v>1050</v>
      </c>
      <c r="H155" s="256">
        <v>13</v>
      </c>
      <c r="J155" s="256">
        <v>91</v>
      </c>
      <c r="K155" s="256">
        <v>7</v>
      </c>
      <c r="L155" s="256" t="s">
        <v>82</v>
      </c>
      <c r="M155" s="256">
        <v>13500</v>
      </c>
      <c r="N155" s="256">
        <v>94500</v>
      </c>
    </row>
    <row r="156" spans="1:15">
      <c r="A156" s="256">
        <v>42</v>
      </c>
      <c r="B156" s="256" t="s">
        <v>1127</v>
      </c>
      <c r="C156" s="256">
        <v>30003631</v>
      </c>
      <c r="D156" s="256" t="s">
        <v>834</v>
      </c>
      <c r="E156" s="256" t="s">
        <v>10</v>
      </c>
      <c r="F156" s="256" t="s">
        <v>1050</v>
      </c>
      <c r="H156" s="256">
        <v>13</v>
      </c>
      <c r="J156" s="256">
        <v>91</v>
      </c>
      <c r="K156" s="256">
        <v>7</v>
      </c>
      <c r="L156" s="256" t="s">
        <v>82</v>
      </c>
      <c r="M156" s="256">
        <v>13500</v>
      </c>
      <c r="N156" s="256">
        <v>94500</v>
      </c>
    </row>
    <row r="157" spans="1:15">
      <c r="A157" s="256">
        <v>42</v>
      </c>
      <c r="B157" s="256" t="s">
        <v>1127</v>
      </c>
      <c r="C157" s="256">
        <v>20194323</v>
      </c>
      <c r="D157" s="256" t="s">
        <v>958</v>
      </c>
      <c r="E157" s="256" t="s">
        <v>10</v>
      </c>
      <c r="F157" s="256" t="s">
        <v>1050</v>
      </c>
      <c r="H157" s="256">
        <v>11</v>
      </c>
      <c r="J157" s="256">
        <v>77</v>
      </c>
      <c r="K157" s="256">
        <v>7</v>
      </c>
      <c r="L157" s="256" t="s">
        <v>82</v>
      </c>
      <c r="M157" s="256">
        <v>13500</v>
      </c>
      <c r="N157" s="256">
        <v>94500</v>
      </c>
    </row>
    <row r="158" spans="1:15">
      <c r="A158" s="256">
        <v>43</v>
      </c>
      <c r="B158" s="256" t="s">
        <v>1128</v>
      </c>
      <c r="C158" s="256">
        <v>30003487</v>
      </c>
      <c r="D158" s="256" t="s">
        <v>1129</v>
      </c>
      <c r="E158" s="256" t="s">
        <v>10</v>
      </c>
      <c r="F158" s="256">
        <v>9.9999999999999992E-2</v>
      </c>
      <c r="J158" s="256">
        <v>0</v>
      </c>
      <c r="K158" s="256">
        <v>6</v>
      </c>
      <c r="L158" s="256" t="s">
        <v>82</v>
      </c>
      <c r="M158" s="256">
        <v>12400</v>
      </c>
      <c r="N158" s="256">
        <v>0</v>
      </c>
      <c r="O158" s="256" t="s">
        <v>707</v>
      </c>
    </row>
    <row r="159" spans="1:15">
      <c r="A159" s="256">
        <v>44</v>
      </c>
      <c r="B159" s="256" t="s">
        <v>1130</v>
      </c>
      <c r="C159" s="256">
        <v>30003600</v>
      </c>
      <c r="D159" s="256" t="s">
        <v>733</v>
      </c>
      <c r="E159" s="256" t="s">
        <v>12</v>
      </c>
      <c r="F159" s="256">
        <v>2.3249999999999997</v>
      </c>
      <c r="G159" s="256" t="s">
        <v>1087</v>
      </c>
      <c r="J159" s="256">
        <v>0</v>
      </c>
      <c r="K159" s="256">
        <v>12</v>
      </c>
      <c r="L159" s="256" t="s">
        <v>88</v>
      </c>
      <c r="M159" s="256">
        <v>7800</v>
      </c>
      <c r="N159" s="256">
        <v>0</v>
      </c>
    </row>
    <row r="160" spans="1:15">
      <c r="A160" s="256">
        <v>45</v>
      </c>
      <c r="B160" s="256" t="s">
        <v>1131</v>
      </c>
      <c r="C160" s="256">
        <v>30003297</v>
      </c>
      <c r="D160" s="256" t="s">
        <v>297</v>
      </c>
      <c r="E160" s="256" t="s">
        <v>10</v>
      </c>
      <c r="F160" s="256">
        <v>4.1818</v>
      </c>
      <c r="J160" s="256">
        <v>0</v>
      </c>
      <c r="K160" s="256">
        <v>5</v>
      </c>
      <c r="L160" s="256" t="s">
        <v>88</v>
      </c>
      <c r="M160" s="256">
        <v>11080</v>
      </c>
      <c r="N160" s="256">
        <v>0</v>
      </c>
    </row>
    <row r="161" spans="1:16">
      <c r="A161" s="256">
        <v>46</v>
      </c>
      <c r="B161" s="256" t="s">
        <v>1062</v>
      </c>
      <c r="C161" s="256">
        <v>30003663</v>
      </c>
      <c r="D161" s="256" t="s">
        <v>1132</v>
      </c>
      <c r="E161" s="256" t="s">
        <v>1133</v>
      </c>
      <c r="F161" s="256" t="s">
        <v>1050</v>
      </c>
      <c r="H161" s="256">
        <v>30</v>
      </c>
      <c r="J161" s="256">
        <v>60</v>
      </c>
      <c r="K161" s="256">
        <v>2</v>
      </c>
      <c r="M161" s="256">
        <v>18900</v>
      </c>
      <c r="N161" s="256">
        <v>1134000</v>
      </c>
    </row>
    <row r="162" spans="1:16">
      <c r="A162" s="256">
        <v>46</v>
      </c>
      <c r="B162" s="256" t="s">
        <v>1062</v>
      </c>
      <c r="C162" s="256">
        <v>30003747</v>
      </c>
      <c r="D162" s="256" t="s">
        <v>1006</v>
      </c>
      <c r="E162" s="256" t="s">
        <v>1133</v>
      </c>
      <c r="F162" s="256" t="s">
        <v>1050</v>
      </c>
      <c r="J162" s="256">
        <v>0</v>
      </c>
      <c r="K162" s="256">
        <v>2</v>
      </c>
      <c r="M162" s="256">
        <v>18900</v>
      </c>
      <c r="N162" s="256">
        <v>0</v>
      </c>
    </row>
    <row r="163" spans="1:16">
      <c r="A163" s="256">
        <v>51</v>
      </c>
      <c r="B163" s="256" t="s">
        <v>1134</v>
      </c>
      <c r="C163" s="256">
        <v>30001086</v>
      </c>
      <c r="D163" s="256" t="s">
        <v>38</v>
      </c>
      <c r="E163" s="256" t="s">
        <v>12</v>
      </c>
      <c r="F163" s="256">
        <v>0.72950000000000004</v>
      </c>
      <c r="H163" s="256">
        <v>2</v>
      </c>
      <c r="I163" s="256">
        <v>4</v>
      </c>
      <c r="J163" s="256">
        <v>24</v>
      </c>
      <c r="K163" s="256">
        <v>10</v>
      </c>
      <c r="L163" s="256" t="s">
        <v>83</v>
      </c>
      <c r="M163" s="256">
        <v>2000</v>
      </c>
      <c r="N163" s="256">
        <v>48000</v>
      </c>
    </row>
    <row r="164" spans="1:16">
      <c r="A164" s="256">
        <v>52</v>
      </c>
      <c r="B164" s="256" t="s">
        <v>1134</v>
      </c>
      <c r="C164" s="256">
        <v>30002949</v>
      </c>
      <c r="D164" s="256" t="s">
        <v>37</v>
      </c>
      <c r="E164" s="256" t="s">
        <v>12</v>
      </c>
      <c r="F164" s="256">
        <v>0.57400000000000007</v>
      </c>
      <c r="H164" s="256">
        <v>3</v>
      </c>
      <c r="I164" s="256">
        <v>5</v>
      </c>
      <c r="J164" s="256">
        <v>35</v>
      </c>
      <c r="K164" s="256">
        <v>10</v>
      </c>
      <c r="L164" s="256" t="s">
        <v>83</v>
      </c>
      <c r="M164" s="256">
        <v>1850</v>
      </c>
      <c r="N164" s="256">
        <v>64750</v>
      </c>
    </row>
    <row r="165" spans="1:16">
      <c r="A165" s="256">
        <v>53</v>
      </c>
      <c r="B165" s="256" t="s">
        <v>1134</v>
      </c>
      <c r="C165" s="256">
        <v>20001843</v>
      </c>
      <c r="D165" s="256" t="s">
        <v>31</v>
      </c>
      <c r="E165" s="256" t="s">
        <v>12</v>
      </c>
      <c r="F165" s="256">
        <v>11.9214</v>
      </c>
      <c r="H165" s="256">
        <v>33</v>
      </c>
      <c r="I165" s="256">
        <v>8</v>
      </c>
      <c r="J165" s="256">
        <v>338</v>
      </c>
      <c r="K165" s="256">
        <v>10</v>
      </c>
      <c r="L165" s="256" t="s">
        <v>87</v>
      </c>
      <c r="M165" s="256">
        <v>1900</v>
      </c>
      <c r="N165" s="256">
        <v>642200</v>
      </c>
    </row>
    <row r="166" spans="1:16">
      <c r="A166" s="256">
        <v>54</v>
      </c>
      <c r="B166" s="256" t="s">
        <v>1134</v>
      </c>
      <c r="C166" s="256">
        <v>30003603</v>
      </c>
      <c r="D166" s="256" t="s">
        <v>693</v>
      </c>
      <c r="E166" s="256" t="s">
        <v>12</v>
      </c>
      <c r="F166" s="256">
        <v>7.5144000000000002</v>
      </c>
      <c r="H166" s="256">
        <v>11</v>
      </c>
      <c r="I166" s="256">
        <v>4</v>
      </c>
      <c r="J166" s="256">
        <v>59</v>
      </c>
      <c r="K166" s="256">
        <v>5</v>
      </c>
      <c r="L166" s="256" t="s">
        <v>1098</v>
      </c>
      <c r="M166" s="256">
        <v>2200</v>
      </c>
      <c r="N166" s="256">
        <v>129800</v>
      </c>
    </row>
    <row r="167" spans="1:16">
      <c r="A167" s="256">
        <v>55</v>
      </c>
      <c r="B167" s="256" t="s">
        <v>1134</v>
      </c>
      <c r="C167" s="256">
        <v>30002283</v>
      </c>
      <c r="D167" s="256" t="s">
        <v>94</v>
      </c>
      <c r="E167" s="256" t="s">
        <v>12</v>
      </c>
      <c r="F167" s="256">
        <v>1.1164000000000001</v>
      </c>
      <c r="H167" s="256">
        <v>6</v>
      </c>
      <c r="I167" s="256">
        <v>1</v>
      </c>
      <c r="J167" s="256">
        <v>7</v>
      </c>
      <c r="K167" s="256">
        <v>10</v>
      </c>
      <c r="L167" s="256" t="s">
        <v>83</v>
      </c>
      <c r="M167" s="256">
        <v>2500</v>
      </c>
      <c r="N167" s="256">
        <v>17500</v>
      </c>
    </row>
    <row r="168" spans="1:16">
      <c r="A168" s="256">
        <v>56</v>
      </c>
      <c r="B168" s="256" t="s">
        <v>1134</v>
      </c>
      <c r="C168" s="256">
        <v>30001145</v>
      </c>
      <c r="D168" s="256" t="s">
        <v>68</v>
      </c>
      <c r="E168" s="256" t="s">
        <v>12</v>
      </c>
      <c r="F168" s="256">
        <v>0.99049999999999994</v>
      </c>
      <c r="H168" s="256">
        <v>5</v>
      </c>
      <c r="I168" s="256">
        <v>7</v>
      </c>
      <c r="J168" s="256">
        <v>57</v>
      </c>
      <c r="K168" s="256">
        <v>10</v>
      </c>
      <c r="L168" s="256" t="s">
        <v>83</v>
      </c>
      <c r="M168" s="256">
        <v>2400</v>
      </c>
      <c r="N168" s="256">
        <v>136800</v>
      </c>
    </row>
    <row r="169" spans="1:16">
      <c r="A169" s="256">
        <v>58</v>
      </c>
      <c r="B169" s="256" t="s">
        <v>1068</v>
      </c>
      <c r="C169" s="256">
        <v>30002109</v>
      </c>
      <c r="D169" s="256" t="s">
        <v>1135</v>
      </c>
      <c r="E169" s="256" t="s">
        <v>10</v>
      </c>
      <c r="F169" s="256">
        <v>3.4552</v>
      </c>
      <c r="H169" s="256">
        <v>39</v>
      </c>
      <c r="J169" s="256">
        <v>390</v>
      </c>
      <c r="K169" s="256">
        <v>10</v>
      </c>
      <c r="L169" s="256" t="s">
        <v>80</v>
      </c>
      <c r="M169" s="256">
        <v>5900</v>
      </c>
      <c r="N169" s="256">
        <v>2301000</v>
      </c>
    </row>
    <row r="170" spans="1:16">
      <c r="A170" s="256">
        <v>58</v>
      </c>
      <c r="B170" s="256" t="s">
        <v>1068</v>
      </c>
      <c r="C170" s="256">
        <v>30003013</v>
      </c>
      <c r="D170" s="256" t="s">
        <v>859</v>
      </c>
      <c r="E170" s="256" t="s">
        <v>10</v>
      </c>
      <c r="H170" s="256">
        <v>17</v>
      </c>
      <c r="J170" s="256">
        <v>170</v>
      </c>
      <c r="K170" s="256">
        <v>10</v>
      </c>
      <c r="L170" s="256" t="s">
        <v>80</v>
      </c>
      <c r="M170" s="256">
        <v>5900</v>
      </c>
      <c r="N170" s="256">
        <v>1003000</v>
      </c>
    </row>
    <row r="171" spans="1:16">
      <c r="A171" s="256">
        <v>59</v>
      </c>
      <c r="B171" s="256" t="s">
        <v>1136</v>
      </c>
      <c r="D171" s="256" t="s">
        <v>944</v>
      </c>
      <c r="E171" s="256" t="s">
        <v>10</v>
      </c>
      <c r="J171" s="256">
        <v>0</v>
      </c>
      <c r="K171" s="256">
        <v>10</v>
      </c>
      <c r="L171" s="256" t="s">
        <v>83</v>
      </c>
      <c r="M171" s="256">
        <v>900</v>
      </c>
      <c r="N171" s="256">
        <v>0</v>
      </c>
      <c r="P171" s="256" t="s">
        <v>1137</v>
      </c>
    </row>
    <row r="172" spans="1:16">
      <c r="A172" s="256">
        <v>59</v>
      </c>
      <c r="B172" s="256" t="s">
        <v>933</v>
      </c>
      <c r="C172" s="256">
        <v>30003715</v>
      </c>
      <c r="D172" s="256" t="s">
        <v>1138</v>
      </c>
      <c r="E172" s="256" t="s">
        <v>12</v>
      </c>
      <c r="F172" s="256">
        <v>5.6388888888888893</v>
      </c>
      <c r="H172" s="256">
        <v>40</v>
      </c>
      <c r="J172" s="256">
        <v>240</v>
      </c>
      <c r="K172" s="256">
        <v>6</v>
      </c>
      <c r="L172" s="256" t="s">
        <v>83</v>
      </c>
      <c r="M172" s="256">
        <v>900</v>
      </c>
      <c r="N172" s="256">
        <v>216000</v>
      </c>
      <c r="P172" s="256" t="s">
        <v>1137</v>
      </c>
    </row>
    <row r="173" spans="1:16">
      <c r="A173" s="256">
        <v>59</v>
      </c>
      <c r="B173" s="256" t="s">
        <v>1139</v>
      </c>
      <c r="C173" s="256">
        <v>30003733</v>
      </c>
      <c r="D173" s="256" t="s">
        <v>981</v>
      </c>
      <c r="E173" s="256" t="s">
        <v>10</v>
      </c>
      <c r="H173" s="256">
        <v>7</v>
      </c>
      <c r="I173" s="256">
        <v>12</v>
      </c>
      <c r="J173" s="256">
        <v>82</v>
      </c>
      <c r="K173" s="256">
        <v>10</v>
      </c>
      <c r="L173" s="256" t="s">
        <v>83</v>
      </c>
      <c r="M173" s="256">
        <v>9600</v>
      </c>
      <c r="N173" s="256">
        <v>787200</v>
      </c>
      <c r="P173" s="256" t="s">
        <v>1137</v>
      </c>
    </row>
    <row r="174" spans="1:16">
      <c r="A174" s="256">
        <v>59</v>
      </c>
      <c r="B174" s="256" t="s">
        <v>1140</v>
      </c>
      <c r="C174" s="256">
        <v>30003734</v>
      </c>
      <c r="D174" s="256" t="s">
        <v>983</v>
      </c>
      <c r="E174" s="256" t="s">
        <v>12</v>
      </c>
      <c r="H174" s="256">
        <v>17</v>
      </c>
      <c r="J174" s="256">
        <v>102</v>
      </c>
      <c r="K174" s="256">
        <v>6</v>
      </c>
      <c r="L174" s="256" t="s">
        <v>83</v>
      </c>
      <c r="M174" s="256">
        <v>17000</v>
      </c>
      <c r="N174" s="256">
        <v>1734000</v>
      </c>
      <c r="P174" s="256" t="s">
        <v>1137</v>
      </c>
    </row>
    <row r="175" spans="1:16">
      <c r="A175" s="256">
        <v>59</v>
      </c>
      <c r="B175" s="256" t="s">
        <v>1140</v>
      </c>
      <c r="C175" s="256">
        <v>30003732</v>
      </c>
      <c r="D175" s="256" t="s">
        <v>984</v>
      </c>
      <c r="E175" s="256" t="s">
        <v>12</v>
      </c>
      <c r="H175" s="256">
        <v>43</v>
      </c>
      <c r="J175" s="256">
        <v>344</v>
      </c>
      <c r="K175" s="256">
        <v>8</v>
      </c>
      <c r="L175" s="256" t="s">
        <v>83</v>
      </c>
      <c r="M175" s="256">
        <v>8000</v>
      </c>
      <c r="N175" s="256">
        <v>2752000</v>
      </c>
      <c r="P175" s="256" t="s">
        <v>1137</v>
      </c>
    </row>
    <row r="176" spans="1:16">
      <c r="A176" s="256">
        <v>59</v>
      </c>
      <c r="B176" s="256" t="s">
        <v>1140</v>
      </c>
      <c r="C176" s="256">
        <v>30003731</v>
      </c>
      <c r="D176" s="256" t="s">
        <v>985</v>
      </c>
      <c r="E176" s="256" t="s">
        <v>12</v>
      </c>
      <c r="H176" s="256">
        <v>29</v>
      </c>
      <c r="I176" s="256">
        <v>3</v>
      </c>
      <c r="J176" s="256">
        <v>293</v>
      </c>
      <c r="K176" s="256">
        <v>10</v>
      </c>
      <c r="L176" s="256" t="s">
        <v>83</v>
      </c>
      <c r="M176" s="256">
        <v>11800</v>
      </c>
      <c r="N176" s="256">
        <v>3457400</v>
      </c>
      <c r="P176" s="256" t="s">
        <v>1137</v>
      </c>
    </row>
    <row r="177" spans="1:16">
      <c r="A177" s="256">
        <v>59</v>
      </c>
      <c r="B177" s="256" t="s">
        <v>1140</v>
      </c>
      <c r="C177" s="256">
        <v>30003741</v>
      </c>
      <c r="D177" s="256" t="s">
        <v>986</v>
      </c>
      <c r="E177" s="256" t="s">
        <v>12</v>
      </c>
      <c r="H177" s="256">
        <v>9</v>
      </c>
      <c r="J177" s="256">
        <v>36</v>
      </c>
      <c r="K177" s="256">
        <v>4</v>
      </c>
      <c r="L177" s="256" t="s">
        <v>83</v>
      </c>
      <c r="M177" s="256">
        <v>19200</v>
      </c>
      <c r="N177" s="256">
        <v>691200</v>
      </c>
      <c r="P177" s="256" t="s">
        <v>1137</v>
      </c>
    </row>
    <row r="178" spans="1:16">
      <c r="A178" s="256">
        <v>59</v>
      </c>
      <c r="B178" s="256" t="s">
        <v>1075</v>
      </c>
      <c r="C178" s="256">
        <v>30003746</v>
      </c>
      <c r="D178" s="256" t="s">
        <v>1207</v>
      </c>
      <c r="E178" s="256" t="s">
        <v>12</v>
      </c>
      <c r="H178" s="256">
        <v>2</v>
      </c>
      <c r="I178" s="256">
        <v>2</v>
      </c>
      <c r="J178" s="256">
        <v>8</v>
      </c>
      <c r="K178" s="256">
        <v>3</v>
      </c>
      <c r="M178" s="256">
        <v>7000</v>
      </c>
      <c r="N178" s="256">
        <v>56000</v>
      </c>
      <c r="P178" s="256" t="s">
        <v>1137</v>
      </c>
    </row>
    <row r="179" spans="1:16">
      <c r="A179" s="256">
        <v>1</v>
      </c>
      <c r="B179" s="256" t="s">
        <v>1141</v>
      </c>
      <c r="C179" s="256">
        <v>30003009</v>
      </c>
      <c r="D179" s="256" t="s">
        <v>105</v>
      </c>
      <c r="E179" s="256" t="s">
        <v>10</v>
      </c>
      <c r="F179" s="256">
        <v>6.4757319999999998</v>
      </c>
      <c r="H179" s="256">
        <v>21</v>
      </c>
      <c r="J179" s="256">
        <v>10500</v>
      </c>
      <c r="K179" s="256">
        <v>500</v>
      </c>
      <c r="M179" s="256">
        <v>3000</v>
      </c>
      <c r="N179" s="256">
        <v>31500000</v>
      </c>
    </row>
    <row r="180" spans="1:16">
      <c r="A180" s="256">
        <v>2</v>
      </c>
      <c r="B180" s="256" t="s">
        <v>1142</v>
      </c>
      <c r="C180" s="256">
        <v>30002629</v>
      </c>
      <c r="D180" s="256" t="s">
        <v>1143</v>
      </c>
      <c r="E180" s="256" t="s">
        <v>10</v>
      </c>
      <c r="F180" s="256">
        <v>43.797499999999999</v>
      </c>
      <c r="H180" s="256">
        <v>40</v>
      </c>
      <c r="J180" s="256">
        <v>160</v>
      </c>
      <c r="K180" s="256">
        <v>4</v>
      </c>
      <c r="L180" s="256" t="s">
        <v>81</v>
      </c>
      <c r="M180" s="256">
        <v>3750</v>
      </c>
      <c r="N180" s="256">
        <v>600000</v>
      </c>
    </row>
    <row r="181" spans="1:16">
      <c r="A181" s="256">
        <v>4</v>
      </c>
      <c r="B181" s="256" t="s">
        <v>1144</v>
      </c>
      <c r="C181" s="256">
        <v>30003762</v>
      </c>
      <c r="D181" s="256" t="s">
        <v>1013</v>
      </c>
      <c r="E181" s="256" t="s">
        <v>12</v>
      </c>
      <c r="G181" s="256">
        <v>46315</v>
      </c>
      <c r="H181" s="256">
        <v>26</v>
      </c>
      <c r="J181" s="256">
        <v>1300</v>
      </c>
      <c r="K181" s="256">
        <v>50</v>
      </c>
      <c r="L181" s="256" t="s">
        <v>82</v>
      </c>
      <c r="M181" s="256">
        <v>7250</v>
      </c>
      <c r="N181" s="256">
        <v>9425000</v>
      </c>
    </row>
    <row r="182" spans="1:16">
      <c r="A182" s="256">
        <v>4</v>
      </c>
      <c r="B182" s="256" t="s">
        <v>1144</v>
      </c>
      <c r="C182" s="256">
        <v>30002439</v>
      </c>
      <c r="D182" s="256" t="s">
        <v>1145</v>
      </c>
      <c r="E182" s="256" t="s">
        <v>12</v>
      </c>
      <c r="J182" s="256">
        <v>0</v>
      </c>
      <c r="K182" s="256">
        <v>400</v>
      </c>
      <c r="L182" s="256" t="s">
        <v>82</v>
      </c>
      <c r="M182" s="256">
        <v>7250</v>
      </c>
      <c r="N182" s="256">
        <v>0</v>
      </c>
    </row>
    <row r="183" spans="1:16">
      <c r="A183" s="256">
        <v>5</v>
      </c>
      <c r="B183" s="256" t="s">
        <v>1146</v>
      </c>
      <c r="C183" s="256">
        <v>30000093</v>
      </c>
      <c r="D183" s="256" t="s">
        <v>44</v>
      </c>
      <c r="E183" s="256" t="s">
        <v>12</v>
      </c>
      <c r="F183" s="256">
        <v>0.85483333333333322</v>
      </c>
      <c r="H183" s="256">
        <v>5</v>
      </c>
      <c r="J183" s="256">
        <v>30</v>
      </c>
      <c r="K183" s="256">
        <v>6</v>
      </c>
      <c r="L183" s="256" t="s">
        <v>82</v>
      </c>
      <c r="M183" s="256">
        <v>6508.3333300000004</v>
      </c>
      <c r="N183" s="256">
        <v>195249.99990000002</v>
      </c>
    </row>
    <row r="184" spans="1:16">
      <c r="A184" s="256">
        <v>6</v>
      </c>
      <c r="B184" s="256" t="s">
        <v>1147</v>
      </c>
      <c r="C184" s="256">
        <v>30003148</v>
      </c>
      <c r="D184" s="256" t="s">
        <v>232</v>
      </c>
      <c r="E184" s="256" t="s">
        <v>10</v>
      </c>
      <c r="F184" s="256" t="s">
        <v>1050</v>
      </c>
      <c r="G184" s="256" t="s">
        <v>1148</v>
      </c>
      <c r="J184" s="256">
        <v>0</v>
      </c>
      <c r="K184" s="256">
        <v>32</v>
      </c>
      <c r="M184" s="256">
        <v>10200</v>
      </c>
      <c r="N184" s="256">
        <v>0</v>
      </c>
    </row>
    <row r="185" spans="1:16">
      <c r="A185" s="256">
        <v>7</v>
      </c>
      <c r="B185" s="256" t="s">
        <v>1048</v>
      </c>
      <c r="C185" s="256">
        <v>30003368</v>
      </c>
      <c r="D185" s="256" t="s">
        <v>725</v>
      </c>
      <c r="E185" s="256" t="s">
        <v>12</v>
      </c>
      <c r="F185" s="256">
        <v>1.2444999999999999</v>
      </c>
      <c r="H185" s="256">
        <v>3</v>
      </c>
      <c r="I185" s="256">
        <v>1</v>
      </c>
      <c r="J185" s="256">
        <v>31</v>
      </c>
      <c r="K185" s="256">
        <v>10</v>
      </c>
      <c r="L185" s="256" t="s">
        <v>1149</v>
      </c>
      <c r="M185" s="256">
        <v>4460</v>
      </c>
      <c r="N185" s="256">
        <v>138260</v>
      </c>
    </row>
    <row r="186" spans="1:16">
      <c r="A186" s="256">
        <v>8</v>
      </c>
      <c r="B186" s="256" t="s">
        <v>1048</v>
      </c>
      <c r="C186" s="256">
        <v>30003340</v>
      </c>
      <c r="D186" s="256" t="s">
        <v>322</v>
      </c>
      <c r="E186" s="256" t="s">
        <v>12</v>
      </c>
      <c r="F186" s="256">
        <v>0.96887500000000004</v>
      </c>
      <c r="H186" s="256">
        <v>1</v>
      </c>
      <c r="I186" s="256">
        <v>3</v>
      </c>
      <c r="J186" s="256">
        <v>11</v>
      </c>
      <c r="K186" s="256">
        <v>8</v>
      </c>
      <c r="L186" s="256" t="s">
        <v>82</v>
      </c>
      <c r="M186" s="256">
        <v>8510</v>
      </c>
      <c r="N186" s="256">
        <v>93610</v>
      </c>
    </row>
    <row r="187" spans="1:16">
      <c r="A187" s="256">
        <v>9</v>
      </c>
      <c r="B187" s="256" t="s">
        <v>1048</v>
      </c>
      <c r="C187" s="256">
        <v>30003735</v>
      </c>
      <c r="D187" s="256" t="s">
        <v>960</v>
      </c>
      <c r="E187" s="256" t="s">
        <v>12</v>
      </c>
      <c r="H187" s="256">
        <v>24</v>
      </c>
      <c r="J187" s="256">
        <v>7200</v>
      </c>
      <c r="K187" s="256">
        <v>300</v>
      </c>
      <c r="L187" s="256" t="s">
        <v>82</v>
      </c>
      <c r="M187" s="256">
        <v>6530</v>
      </c>
      <c r="N187" s="256">
        <v>47016000</v>
      </c>
      <c r="O187" s="256" t="s">
        <v>711</v>
      </c>
    </row>
    <row r="188" spans="1:16">
      <c r="A188" s="256">
        <v>10</v>
      </c>
      <c r="B188" s="256" t="s">
        <v>1048</v>
      </c>
      <c r="C188" s="256">
        <v>50000028</v>
      </c>
      <c r="D188" s="256" t="s">
        <v>924</v>
      </c>
      <c r="E188" s="256" t="s">
        <v>10</v>
      </c>
      <c r="F188" s="256" t="s">
        <v>1050</v>
      </c>
      <c r="H188" s="256">
        <v>6</v>
      </c>
      <c r="J188" s="256">
        <v>6</v>
      </c>
      <c r="K188" s="256">
        <v>1</v>
      </c>
      <c r="M188" s="256">
        <v>19800</v>
      </c>
      <c r="N188" s="256">
        <v>118800</v>
      </c>
    </row>
    <row r="189" spans="1:16">
      <c r="A189" s="256">
        <v>11</v>
      </c>
      <c r="B189" s="256" t="s">
        <v>1147</v>
      </c>
      <c r="C189" s="256">
        <v>30003605</v>
      </c>
      <c r="D189" s="256" t="s">
        <v>722</v>
      </c>
      <c r="E189" s="256" t="s">
        <v>10</v>
      </c>
      <c r="F189" s="256">
        <v>1.6581250000000001</v>
      </c>
      <c r="H189" s="256">
        <v>6</v>
      </c>
      <c r="J189" s="256">
        <v>192</v>
      </c>
      <c r="K189" s="256">
        <v>32</v>
      </c>
      <c r="M189" s="256">
        <v>10200</v>
      </c>
      <c r="N189" s="256">
        <v>1958400</v>
      </c>
    </row>
    <row r="190" spans="1:16">
      <c r="A190" s="256">
        <v>12</v>
      </c>
      <c r="B190" s="256" t="s">
        <v>1147</v>
      </c>
      <c r="C190" s="256">
        <v>30003421</v>
      </c>
      <c r="D190" s="256" t="s">
        <v>865</v>
      </c>
      <c r="E190" s="256" t="s">
        <v>10</v>
      </c>
      <c r="F190" s="256">
        <v>1.1273000000000002</v>
      </c>
      <c r="J190" s="256">
        <v>0</v>
      </c>
      <c r="K190" s="256">
        <v>30</v>
      </c>
      <c r="M190" s="256">
        <v>11500</v>
      </c>
      <c r="N190" s="256">
        <v>0</v>
      </c>
    </row>
    <row r="191" spans="1:16">
      <c r="A191" s="256">
        <v>13</v>
      </c>
      <c r="B191" s="256" t="s">
        <v>1147</v>
      </c>
      <c r="C191" s="256">
        <v>30003155</v>
      </c>
      <c r="D191" s="256" t="s">
        <v>255</v>
      </c>
      <c r="E191" s="256" t="s">
        <v>10</v>
      </c>
      <c r="F191" s="256" t="s">
        <v>1050</v>
      </c>
      <c r="G191" s="256" t="s">
        <v>1148</v>
      </c>
      <c r="J191" s="256">
        <v>0</v>
      </c>
      <c r="K191" s="256">
        <v>32</v>
      </c>
      <c r="M191" s="256">
        <v>10200</v>
      </c>
      <c r="N191" s="256">
        <v>0</v>
      </c>
    </row>
    <row r="192" spans="1:16">
      <c r="A192" s="256">
        <v>14</v>
      </c>
      <c r="B192" s="256" t="s">
        <v>1147</v>
      </c>
      <c r="C192" s="256">
        <v>30003115</v>
      </c>
      <c r="D192" s="256" t="s">
        <v>139</v>
      </c>
      <c r="E192" s="256" t="s">
        <v>10</v>
      </c>
      <c r="F192" s="256">
        <v>2.2897500000000002</v>
      </c>
      <c r="H192" s="256">
        <v>2</v>
      </c>
      <c r="J192" s="256">
        <v>16</v>
      </c>
      <c r="K192" s="256">
        <v>8</v>
      </c>
      <c r="M192" s="256">
        <v>63900</v>
      </c>
      <c r="N192" s="256">
        <v>1022400</v>
      </c>
    </row>
    <row r="193" spans="1:15">
      <c r="A193" s="256">
        <v>15</v>
      </c>
      <c r="B193" s="256" t="s">
        <v>1150</v>
      </c>
      <c r="C193" s="256">
        <v>30000363</v>
      </c>
      <c r="D193" s="256" t="s">
        <v>975</v>
      </c>
      <c r="E193" s="256" t="s">
        <v>10</v>
      </c>
      <c r="F193" s="256" t="s">
        <v>1050</v>
      </c>
      <c r="H193" s="256">
        <v>3</v>
      </c>
      <c r="J193" s="256">
        <v>18</v>
      </c>
      <c r="K193" s="256">
        <v>6</v>
      </c>
      <c r="M193" s="256">
        <v>12990</v>
      </c>
      <c r="N193" s="256">
        <v>233820</v>
      </c>
    </row>
    <row r="194" spans="1:15">
      <c r="A194" s="256">
        <v>15</v>
      </c>
      <c r="B194" s="256" t="s">
        <v>1151</v>
      </c>
      <c r="C194" s="256">
        <v>30003168</v>
      </c>
      <c r="D194" s="256" t="s">
        <v>96</v>
      </c>
      <c r="E194" s="256" t="s">
        <v>10</v>
      </c>
      <c r="F194" s="256">
        <v>0.1033</v>
      </c>
      <c r="H194" s="256">
        <v>1</v>
      </c>
      <c r="I194" s="256">
        <v>7</v>
      </c>
      <c r="J194" s="256">
        <v>57</v>
      </c>
      <c r="K194" s="256">
        <v>50</v>
      </c>
      <c r="M194" s="256">
        <v>12990</v>
      </c>
      <c r="N194" s="256">
        <v>740430</v>
      </c>
    </row>
    <row r="195" spans="1:15">
      <c r="A195" s="256">
        <v>16</v>
      </c>
      <c r="B195" s="256" t="s">
        <v>1151</v>
      </c>
      <c r="C195" s="256">
        <v>30003541</v>
      </c>
      <c r="D195" s="256" t="s">
        <v>1152</v>
      </c>
      <c r="E195" s="256" t="s">
        <v>10</v>
      </c>
      <c r="F195" s="256">
        <v>6.538125</v>
      </c>
      <c r="H195" s="256">
        <v>19</v>
      </c>
      <c r="J195" s="256">
        <v>608</v>
      </c>
      <c r="K195" s="256">
        <v>32</v>
      </c>
      <c r="M195" s="256">
        <v>11800</v>
      </c>
      <c r="N195" s="256">
        <v>7174400</v>
      </c>
      <c r="O195" s="256" t="s">
        <v>713</v>
      </c>
    </row>
    <row r="196" spans="1:15">
      <c r="A196" s="256">
        <v>18</v>
      </c>
      <c r="B196" s="256" t="s">
        <v>1153</v>
      </c>
      <c r="C196" s="256">
        <v>30003419</v>
      </c>
      <c r="D196" s="256" t="s">
        <v>325</v>
      </c>
      <c r="E196" s="256" t="s">
        <v>12</v>
      </c>
      <c r="F196" s="256">
        <v>9.1219999999999999</v>
      </c>
      <c r="J196" s="256">
        <v>0</v>
      </c>
      <c r="K196" s="256">
        <v>5</v>
      </c>
      <c r="L196" s="256" t="s">
        <v>81</v>
      </c>
      <c r="M196" s="256">
        <v>13000</v>
      </c>
      <c r="N196" s="256">
        <v>0</v>
      </c>
    </row>
    <row r="197" spans="1:15">
      <c r="A197" s="256">
        <v>19</v>
      </c>
      <c r="B197" s="256" t="s">
        <v>1154</v>
      </c>
      <c r="C197" s="256">
        <v>30001164</v>
      </c>
      <c r="D197" s="256" t="s">
        <v>1155</v>
      </c>
      <c r="E197" s="256" t="s">
        <v>12</v>
      </c>
      <c r="F197" s="256">
        <v>9.6799999999999997E-2</v>
      </c>
      <c r="H197" s="256">
        <v>1</v>
      </c>
      <c r="I197" s="256">
        <v>6</v>
      </c>
      <c r="J197" s="256">
        <v>26</v>
      </c>
      <c r="K197" s="256">
        <v>20</v>
      </c>
      <c r="L197" s="256" t="s">
        <v>82</v>
      </c>
      <c r="M197" s="256">
        <v>8750</v>
      </c>
      <c r="N197" s="256">
        <v>227500</v>
      </c>
    </row>
    <row r="198" spans="1:15">
      <c r="A198" s="256">
        <v>20</v>
      </c>
      <c r="B198" s="256" t="s">
        <v>1154</v>
      </c>
      <c r="C198" s="256">
        <v>30001581</v>
      </c>
      <c r="D198" s="256" t="s">
        <v>45</v>
      </c>
      <c r="E198" s="256" t="s">
        <v>12</v>
      </c>
      <c r="F198" s="256">
        <v>1.3220000000000001</v>
      </c>
      <c r="H198" s="256">
        <v>3</v>
      </c>
      <c r="J198" s="256">
        <v>12</v>
      </c>
      <c r="K198" s="256">
        <v>4</v>
      </c>
      <c r="L198" s="256" t="s">
        <v>81</v>
      </c>
      <c r="M198" s="256">
        <v>4300</v>
      </c>
      <c r="N198" s="256">
        <v>51600</v>
      </c>
    </row>
    <row r="199" spans="1:15">
      <c r="A199" s="256">
        <v>21</v>
      </c>
      <c r="B199" s="256" t="s">
        <v>1156</v>
      </c>
      <c r="C199" s="256">
        <v>30003061</v>
      </c>
      <c r="D199" s="256" t="s">
        <v>277</v>
      </c>
      <c r="E199" s="256" t="s">
        <v>10</v>
      </c>
      <c r="F199" s="256">
        <v>3.0656666666666665</v>
      </c>
      <c r="H199" s="256">
        <v>5</v>
      </c>
      <c r="J199" s="256">
        <v>30</v>
      </c>
      <c r="K199" s="256">
        <v>6</v>
      </c>
      <c r="L199" s="256" t="s">
        <v>81</v>
      </c>
      <c r="M199" s="256">
        <v>9680</v>
      </c>
      <c r="N199" s="256">
        <v>290400</v>
      </c>
    </row>
    <row r="200" spans="1:15">
      <c r="A200" s="256">
        <v>22</v>
      </c>
      <c r="B200" s="256" t="s">
        <v>1156</v>
      </c>
      <c r="C200" s="256">
        <v>30002759</v>
      </c>
      <c r="D200" s="256" t="s">
        <v>97</v>
      </c>
      <c r="E200" s="256" t="s">
        <v>10</v>
      </c>
      <c r="F200" s="256">
        <v>15.9625</v>
      </c>
      <c r="H200" s="256">
        <v>36</v>
      </c>
      <c r="J200" s="256">
        <v>864</v>
      </c>
      <c r="K200" s="256">
        <v>24</v>
      </c>
      <c r="L200" s="256" t="s">
        <v>81</v>
      </c>
      <c r="M200" s="256">
        <v>1138.75</v>
      </c>
      <c r="N200" s="256">
        <v>983880</v>
      </c>
    </row>
    <row r="201" spans="1:15">
      <c r="A201" s="256">
        <v>23</v>
      </c>
      <c r="B201" s="256" t="s">
        <v>1157</v>
      </c>
      <c r="C201" s="256">
        <v>30001140</v>
      </c>
      <c r="D201" s="256" t="s">
        <v>1158</v>
      </c>
      <c r="E201" s="256" t="s">
        <v>10</v>
      </c>
      <c r="F201" s="256">
        <v>16.893999999999998</v>
      </c>
      <c r="H201" s="256">
        <v>90</v>
      </c>
      <c r="J201" s="256">
        <v>90</v>
      </c>
      <c r="K201" s="256">
        <v>1</v>
      </c>
      <c r="L201" s="256" t="s">
        <v>89</v>
      </c>
      <c r="M201" s="256">
        <v>35000</v>
      </c>
      <c r="N201" s="256">
        <v>3150000</v>
      </c>
    </row>
    <row r="202" spans="1:15">
      <c r="A202" s="256">
        <v>24</v>
      </c>
      <c r="B202" s="256" t="s">
        <v>1157</v>
      </c>
      <c r="C202" s="256">
        <v>30000389</v>
      </c>
      <c r="D202" s="256" t="s">
        <v>1159</v>
      </c>
      <c r="E202" s="256" t="s">
        <v>10</v>
      </c>
      <c r="F202" s="256">
        <v>29.8447</v>
      </c>
      <c r="J202" s="256">
        <v>0</v>
      </c>
      <c r="K202" s="256">
        <v>20</v>
      </c>
      <c r="L202" s="256" t="s">
        <v>80</v>
      </c>
      <c r="M202" s="256">
        <v>3150</v>
      </c>
      <c r="N202" s="256">
        <v>0</v>
      </c>
    </row>
    <row r="203" spans="1:15">
      <c r="A203" s="256">
        <v>25</v>
      </c>
      <c r="B203" s="256" t="s">
        <v>1157</v>
      </c>
      <c r="C203" s="256">
        <v>30001710</v>
      </c>
      <c r="D203" s="256" t="s">
        <v>1160</v>
      </c>
      <c r="E203" s="256" t="s">
        <v>10</v>
      </c>
      <c r="F203" s="256">
        <v>1.4044999999999999</v>
      </c>
      <c r="J203" s="256">
        <v>0</v>
      </c>
      <c r="K203" s="256">
        <v>6</v>
      </c>
      <c r="L203" s="256" t="s">
        <v>90</v>
      </c>
      <c r="M203" s="256">
        <v>4929</v>
      </c>
      <c r="N203" s="256">
        <v>0</v>
      </c>
    </row>
    <row r="204" spans="1:15">
      <c r="A204" s="256">
        <v>26</v>
      </c>
      <c r="B204" s="256" t="s">
        <v>1157</v>
      </c>
      <c r="C204" s="256">
        <v>30003392</v>
      </c>
      <c r="D204" s="256" t="s">
        <v>336</v>
      </c>
      <c r="E204" s="256" t="s">
        <v>10</v>
      </c>
      <c r="F204" s="256">
        <v>1.07</v>
      </c>
      <c r="H204" s="256">
        <v>7</v>
      </c>
      <c r="J204" s="256">
        <v>7</v>
      </c>
      <c r="K204" s="256">
        <v>1</v>
      </c>
      <c r="L204" s="256" t="s">
        <v>90</v>
      </c>
      <c r="M204" s="256">
        <v>23000</v>
      </c>
      <c r="N204" s="256">
        <v>161000</v>
      </c>
    </row>
    <row r="205" spans="1:15">
      <c r="A205" s="256">
        <v>26</v>
      </c>
      <c r="B205" s="256" t="s">
        <v>1157</v>
      </c>
      <c r="C205" s="256">
        <v>30002086</v>
      </c>
      <c r="D205" s="256" t="s">
        <v>959</v>
      </c>
      <c r="E205" s="256" t="s">
        <v>10</v>
      </c>
      <c r="H205" s="256">
        <v>1</v>
      </c>
      <c r="J205" s="256">
        <v>6</v>
      </c>
      <c r="K205" s="256">
        <v>6</v>
      </c>
      <c r="L205" s="256" t="s">
        <v>90</v>
      </c>
      <c r="M205" s="256">
        <v>23000</v>
      </c>
      <c r="N205" s="256">
        <v>138000</v>
      </c>
    </row>
    <row r="206" spans="1:15">
      <c r="A206" s="256">
        <v>26</v>
      </c>
      <c r="B206" s="256" t="s">
        <v>1157</v>
      </c>
      <c r="C206" s="256">
        <v>30000179</v>
      </c>
      <c r="D206" s="256" t="s">
        <v>1161</v>
      </c>
      <c r="E206" s="256" t="s">
        <v>10</v>
      </c>
      <c r="J206" s="256">
        <v>0</v>
      </c>
      <c r="K206" s="256">
        <v>1</v>
      </c>
      <c r="L206" s="256" t="s">
        <v>90</v>
      </c>
      <c r="M206" s="256">
        <v>23000</v>
      </c>
      <c r="N206" s="256">
        <v>0</v>
      </c>
    </row>
    <row r="207" spans="1:15">
      <c r="A207" s="256">
        <v>27</v>
      </c>
      <c r="B207" s="256" t="s">
        <v>1162</v>
      </c>
      <c r="C207" s="256">
        <v>30003544</v>
      </c>
      <c r="D207" s="256" t="s">
        <v>1163</v>
      </c>
      <c r="E207" s="256" t="s">
        <v>10</v>
      </c>
      <c r="F207" s="256">
        <v>16.436</v>
      </c>
      <c r="H207" s="256">
        <v>60</v>
      </c>
      <c r="J207" s="256">
        <v>60</v>
      </c>
      <c r="K207" s="256">
        <v>1</v>
      </c>
      <c r="L207" s="256" t="s">
        <v>81</v>
      </c>
      <c r="M207" s="256">
        <v>26880</v>
      </c>
      <c r="N207" s="256">
        <v>1612800</v>
      </c>
      <c r="O207" s="256" t="s">
        <v>713</v>
      </c>
    </row>
    <row r="208" spans="1:15">
      <c r="A208" s="256">
        <v>28</v>
      </c>
      <c r="B208" s="256" t="s">
        <v>1162</v>
      </c>
      <c r="C208" s="256">
        <v>30003296</v>
      </c>
      <c r="D208" s="256" t="s">
        <v>310</v>
      </c>
      <c r="E208" s="256" t="s">
        <v>10</v>
      </c>
      <c r="F208" s="256">
        <v>0.39300000000000002</v>
      </c>
      <c r="H208" s="256">
        <v>4</v>
      </c>
      <c r="J208" s="256">
        <v>24</v>
      </c>
      <c r="K208" s="256">
        <v>6</v>
      </c>
      <c r="L208" s="256" t="s">
        <v>83</v>
      </c>
      <c r="M208" s="256">
        <v>7150</v>
      </c>
      <c r="N208" s="256">
        <v>171600</v>
      </c>
    </row>
    <row r="209" spans="1:15">
      <c r="A209" s="256">
        <v>29</v>
      </c>
      <c r="B209" s="256" t="s">
        <v>1162</v>
      </c>
      <c r="C209" s="256">
        <v>30003365</v>
      </c>
      <c r="D209" s="256" t="s">
        <v>953</v>
      </c>
      <c r="E209" s="256" t="s">
        <v>10</v>
      </c>
      <c r="F209" s="256">
        <v>5.45E-2</v>
      </c>
      <c r="J209" s="256">
        <v>0</v>
      </c>
      <c r="K209" s="256">
        <v>6</v>
      </c>
      <c r="L209" s="256" t="s">
        <v>83</v>
      </c>
      <c r="M209" s="256">
        <v>9200</v>
      </c>
      <c r="N209" s="256">
        <v>0</v>
      </c>
      <c r="O209" s="256" t="s">
        <v>707</v>
      </c>
    </row>
    <row r="210" spans="1:15">
      <c r="A210" s="256">
        <v>30</v>
      </c>
      <c r="B210" s="256" t="s">
        <v>1162</v>
      </c>
      <c r="C210" s="256">
        <v>30003276</v>
      </c>
      <c r="D210" s="256" t="s">
        <v>289</v>
      </c>
      <c r="E210" s="256" t="s">
        <v>10</v>
      </c>
      <c r="F210" s="256">
        <v>6.9166666666666668E-2</v>
      </c>
      <c r="J210" s="256">
        <v>0</v>
      </c>
      <c r="K210" s="256">
        <v>12</v>
      </c>
      <c r="L210" s="256" t="s">
        <v>82</v>
      </c>
      <c r="M210" s="256">
        <v>16750</v>
      </c>
      <c r="N210" s="256">
        <v>0</v>
      </c>
      <c r="O210" s="256" t="s">
        <v>707</v>
      </c>
    </row>
    <row r="211" spans="1:15">
      <c r="A211" s="256">
        <v>31</v>
      </c>
      <c r="B211" s="256" t="s">
        <v>1162</v>
      </c>
      <c r="C211" s="256">
        <v>30002439</v>
      </c>
      <c r="D211" s="256" t="s">
        <v>319</v>
      </c>
      <c r="E211" s="256" t="s">
        <v>12</v>
      </c>
      <c r="F211" s="256">
        <v>0.25744444444444448</v>
      </c>
      <c r="H211" s="256">
        <v>2</v>
      </c>
      <c r="I211" s="256">
        <v>4</v>
      </c>
      <c r="J211" s="256">
        <v>22</v>
      </c>
      <c r="K211" s="256">
        <v>9</v>
      </c>
      <c r="L211" s="256" t="s">
        <v>82</v>
      </c>
      <c r="M211" s="256">
        <v>7250</v>
      </c>
      <c r="N211" s="256">
        <v>159500</v>
      </c>
    </row>
    <row r="212" spans="1:15">
      <c r="A212" s="256">
        <v>32</v>
      </c>
      <c r="B212" s="256" t="s">
        <v>1162</v>
      </c>
      <c r="C212" s="256">
        <v>30003772</v>
      </c>
      <c r="D212" s="256" t="s">
        <v>1203</v>
      </c>
      <c r="E212" s="256" t="s">
        <v>12</v>
      </c>
      <c r="H212" s="256">
        <v>3</v>
      </c>
      <c r="J212" s="256">
        <v>3</v>
      </c>
      <c r="K212" s="256">
        <v>1</v>
      </c>
      <c r="L212" s="256" t="s">
        <v>82</v>
      </c>
      <c r="M212" s="256">
        <v>22500</v>
      </c>
      <c r="N212" s="256">
        <v>67500</v>
      </c>
    </row>
    <row r="213" spans="1:15">
      <c r="A213" s="256">
        <v>33</v>
      </c>
      <c r="B213" s="256" t="s">
        <v>1164</v>
      </c>
      <c r="C213" s="256">
        <v>30003476</v>
      </c>
      <c r="D213" s="256" t="s">
        <v>1165</v>
      </c>
      <c r="E213" s="256" t="s">
        <v>10</v>
      </c>
      <c r="F213" s="256">
        <v>1.3</v>
      </c>
      <c r="H213" s="256">
        <v>11</v>
      </c>
      <c r="I213" s="256">
        <v>2</v>
      </c>
      <c r="J213" s="256">
        <v>68</v>
      </c>
      <c r="K213" s="256">
        <v>6</v>
      </c>
      <c r="L213" s="256" t="s">
        <v>83</v>
      </c>
      <c r="M213" s="256">
        <v>4200</v>
      </c>
      <c r="N213" s="256">
        <v>285600</v>
      </c>
    </row>
    <row r="214" spans="1:15">
      <c r="A214" s="256">
        <v>34</v>
      </c>
      <c r="B214" s="256" t="s">
        <v>1157</v>
      </c>
      <c r="C214" s="256">
        <v>30003296</v>
      </c>
      <c r="D214" s="256" t="s">
        <v>1166</v>
      </c>
      <c r="E214" s="256" t="s">
        <v>10</v>
      </c>
      <c r="F214" s="256">
        <v>0.39300000000000002</v>
      </c>
      <c r="J214" s="256">
        <v>0</v>
      </c>
      <c r="K214" s="256">
        <v>6</v>
      </c>
      <c r="L214" s="256" t="s">
        <v>81</v>
      </c>
      <c r="M214" s="256">
        <v>6773</v>
      </c>
      <c r="N214" s="256">
        <v>0</v>
      </c>
      <c r="O214" s="256" t="s">
        <v>717</v>
      </c>
    </row>
    <row r="215" spans="1:15">
      <c r="A215" s="256">
        <v>35</v>
      </c>
      <c r="B215" s="256" t="s">
        <v>1167</v>
      </c>
      <c r="C215" s="256">
        <v>30002793</v>
      </c>
      <c r="D215" s="256" t="s">
        <v>224</v>
      </c>
      <c r="E215" s="256" t="s">
        <v>10</v>
      </c>
      <c r="F215" s="256">
        <v>5.9444583333333334</v>
      </c>
      <c r="J215" s="256">
        <v>0</v>
      </c>
      <c r="K215" s="256">
        <v>24</v>
      </c>
      <c r="L215" s="256" t="s">
        <v>83</v>
      </c>
      <c r="M215" s="256">
        <v>2600</v>
      </c>
      <c r="N215" s="256">
        <v>0</v>
      </c>
    </row>
    <row r="216" spans="1:15">
      <c r="A216" s="256">
        <v>36</v>
      </c>
      <c r="B216" s="256" t="s">
        <v>1167</v>
      </c>
      <c r="C216" s="256">
        <v>30001887</v>
      </c>
      <c r="D216" s="256" t="s">
        <v>149</v>
      </c>
      <c r="E216" s="256" t="s">
        <v>10</v>
      </c>
      <c r="F216" s="256">
        <v>2.0750000000000001E-2</v>
      </c>
      <c r="J216" s="256">
        <v>0</v>
      </c>
      <c r="K216" s="256">
        <v>4</v>
      </c>
      <c r="L216" s="256" t="s">
        <v>83</v>
      </c>
      <c r="M216" s="256">
        <v>7500</v>
      </c>
      <c r="N216" s="256">
        <v>0</v>
      </c>
    </row>
    <row r="217" spans="1:15">
      <c r="A217" s="256">
        <v>37</v>
      </c>
      <c r="B217" s="256" t="s">
        <v>1167</v>
      </c>
      <c r="C217" s="256">
        <v>30003545</v>
      </c>
      <c r="D217" s="256" t="s">
        <v>621</v>
      </c>
      <c r="E217" s="256" t="s">
        <v>10</v>
      </c>
      <c r="F217" s="256">
        <v>0.11699999999999999</v>
      </c>
      <c r="J217" s="256">
        <v>0</v>
      </c>
      <c r="K217" s="256">
        <v>10</v>
      </c>
      <c r="L217" s="256" t="s">
        <v>81</v>
      </c>
      <c r="M217" s="256">
        <v>0</v>
      </c>
      <c r="N217" s="256">
        <v>0</v>
      </c>
      <c r="O217" s="256" t="s">
        <v>713</v>
      </c>
    </row>
    <row r="218" spans="1:15">
      <c r="A218" s="256">
        <v>38</v>
      </c>
      <c r="B218" s="256" t="s">
        <v>1167</v>
      </c>
      <c r="C218" s="256">
        <v>30001938</v>
      </c>
      <c r="D218" s="256" t="s">
        <v>1168</v>
      </c>
      <c r="E218" s="256" t="s">
        <v>12</v>
      </c>
      <c r="F218" s="256">
        <v>0.1915</v>
      </c>
      <c r="J218" s="256">
        <v>0</v>
      </c>
      <c r="K218" s="256">
        <v>6</v>
      </c>
      <c r="L218" s="256" t="s">
        <v>91</v>
      </c>
      <c r="M218" s="256">
        <v>4550</v>
      </c>
      <c r="N218" s="256">
        <v>0</v>
      </c>
    </row>
    <row r="219" spans="1:15">
      <c r="A219" s="256">
        <v>39</v>
      </c>
      <c r="B219" s="256" t="s">
        <v>4</v>
      </c>
      <c r="C219" s="256">
        <v>30001800</v>
      </c>
      <c r="D219" s="256" t="s">
        <v>69</v>
      </c>
      <c r="E219" s="256" t="s">
        <v>10</v>
      </c>
      <c r="F219" s="256">
        <v>0.12875</v>
      </c>
      <c r="J219" s="256">
        <v>0</v>
      </c>
      <c r="K219" s="256">
        <v>4</v>
      </c>
      <c r="L219" s="256" t="s">
        <v>82</v>
      </c>
      <c r="M219" s="256">
        <v>125000</v>
      </c>
      <c r="N219" s="256">
        <v>0</v>
      </c>
    </row>
    <row r="220" spans="1:15">
      <c r="A220" s="256">
        <v>40</v>
      </c>
      <c r="B220" s="256" t="s">
        <v>4</v>
      </c>
      <c r="C220" s="256">
        <v>30002524</v>
      </c>
      <c r="D220" s="256" t="s">
        <v>143</v>
      </c>
      <c r="E220" s="256" t="s">
        <v>10</v>
      </c>
      <c r="F220" s="256">
        <v>9.4500000000000001E-2</v>
      </c>
      <c r="J220" s="256">
        <v>0</v>
      </c>
      <c r="K220" s="256">
        <v>4</v>
      </c>
      <c r="L220" s="256" t="s">
        <v>82</v>
      </c>
      <c r="M220" s="256">
        <v>150000</v>
      </c>
      <c r="N220" s="256">
        <v>0</v>
      </c>
    </row>
    <row r="221" spans="1:15">
      <c r="A221" s="256">
        <v>41</v>
      </c>
      <c r="B221" s="256" t="s">
        <v>1169</v>
      </c>
      <c r="C221" s="256">
        <v>30003264</v>
      </c>
      <c r="D221" s="256" t="s">
        <v>1170</v>
      </c>
      <c r="E221" s="256" t="s">
        <v>10</v>
      </c>
      <c r="F221" s="256">
        <v>0.98987499999999995</v>
      </c>
      <c r="G221" s="256" t="s">
        <v>1171</v>
      </c>
      <c r="J221" s="256">
        <v>0</v>
      </c>
      <c r="K221" s="256">
        <v>8</v>
      </c>
      <c r="M221" s="256">
        <v>85200</v>
      </c>
      <c r="N221" s="256">
        <v>0</v>
      </c>
    </row>
    <row r="222" spans="1:15">
      <c r="A222" s="256">
        <v>42</v>
      </c>
      <c r="B222" s="256" t="s">
        <v>1024</v>
      </c>
      <c r="C222" s="256">
        <v>30001472</v>
      </c>
      <c r="D222" s="256" t="s">
        <v>601</v>
      </c>
      <c r="E222" s="256" t="s">
        <v>12</v>
      </c>
      <c r="F222" s="256">
        <v>0.47449999999999998</v>
      </c>
      <c r="H222" s="256">
        <v>2</v>
      </c>
      <c r="I222" s="256">
        <v>2</v>
      </c>
      <c r="J222" s="256">
        <v>10</v>
      </c>
      <c r="K222" s="256">
        <v>4</v>
      </c>
      <c r="L222" s="256" t="s">
        <v>81</v>
      </c>
      <c r="M222" s="256">
        <v>12400</v>
      </c>
      <c r="N222" s="256">
        <v>124000</v>
      </c>
      <c r="O222" s="256" t="s">
        <v>715</v>
      </c>
    </row>
    <row r="223" spans="1:15">
      <c r="A223" s="256">
        <v>43</v>
      </c>
      <c r="B223" s="256" t="s">
        <v>1024</v>
      </c>
      <c r="C223" s="256">
        <v>30001713</v>
      </c>
      <c r="D223" s="256" t="s">
        <v>884</v>
      </c>
      <c r="E223" s="256" t="s">
        <v>12</v>
      </c>
      <c r="H223" s="256">
        <v>2</v>
      </c>
      <c r="I223" s="256">
        <v>2</v>
      </c>
      <c r="J223" s="256">
        <v>12</v>
      </c>
      <c r="K223" s="256">
        <v>5</v>
      </c>
      <c r="L223" s="256" t="s">
        <v>81</v>
      </c>
      <c r="M223" s="256">
        <v>14900</v>
      </c>
      <c r="N223" s="256">
        <v>178800</v>
      </c>
    </row>
    <row r="224" spans="1:15">
      <c r="A224" s="256">
        <v>44</v>
      </c>
      <c r="B224" s="256" t="s">
        <v>1172</v>
      </c>
      <c r="C224" s="256">
        <v>30003419</v>
      </c>
      <c r="D224" s="256" t="s">
        <v>1173</v>
      </c>
      <c r="E224" s="256" t="s">
        <v>12</v>
      </c>
      <c r="F224" s="256">
        <v>9.1219999999999999</v>
      </c>
      <c r="H224" s="256">
        <v>68</v>
      </c>
      <c r="J224" s="256">
        <v>340</v>
      </c>
      <c r="K224" s="256">
        <v>5</v>
      </c>
      <c r="L224" s="256" t="s">
        <v>81</v>
      </c>
      <c r="M224" s="256">
        <v>18900</v>
      </c>
      <c r="N224" s="256">
        <v>6426000</v>
      </c>
    </row>
    <row r="225" spans="1:14">
      <c r="A225" s="256">
        <v>46</v>
      </c>
      <c r="B225" s="256" t="s">
        <v>1062</v>
      </c>
      <c r="C225" s="256">
        <v>30001796</v>
      </c>
      <c r="D225" s="256" t="s">
        <v>34</v>
      </c>
      <c r="E225" s="256" t="s">
        <v>184</v>
      </c>
      <c r="F225" s="256">
        <v>0.70150000000000001</v>
      </c>
      <c r="H225" s="256">
        <v>3</v>
      </c>
      <c r="J225" s="256">
        <v>6</v>
      </c>
      <c r="K225" s="256">
        <v>2</v>
      </c>
      <c r="L225" s="256" t="s">
        <v>81</v>
      </c>
      <c r="M225" s="256">
        <v>33000</v>
      </c>
      <c r="N225" s="256">
        <v>198000</v>
      </c>
    </row>
    <row r="226" spans="1:14">
      <c r="A226" s="256">
        <v>47</v>
      </c>
      <c r="B226" s="256" t="s">
        <v>1062</v>
      </c>
      <c r="C226" s="256">
        <v>30003414</v>
      </c>
      <c r="D226" s="256" t="s">
        <v>1174</v>
      </c>
      <c r="E226" s="256" t="s">
        <v>184</v>
      </c>
      <c r="F226" s="256">
        <v>3.3500000000000002E-2</v>
      </c>
      <c r="I226" s="256">
        <v>2000</v>
      </c>
      <c r="J226" s="256">
        <v>2000</v>
      </c>
      <c r="K226" s="256">
        <v>2000</v>
      </c>
      <c r="L226" s="256" t="s">
        <v>81</v>
      </c>
      <c r="M226" s="256">
        <v>67</v>
      </c>
      <c r="N226" s="256">
        <v>134000</v>
      </c>
    </row>
    <row r="227" spans="1:14">
      <c r="A227" s="256">
        <v>55</v>
      </c>
      <c r="B227" s="256" t="s">
        <v>1062</v>
      </c>
      <c r="C227" s="256">
        <v>30001284</v>
      </c>
      <c r="D227" s="256" t="s">
        <v>594</v>
      </c>
      <c r="E227" s="256" t="s">
        <v>184</v>
      </c>
      <c r="F227" s="256">
        <v>0.59433333333333327</v>
      </c>
      <c r="J227" s="256">
        <v>0</v>
      </c>
      <c r="K227" s="256">
        <v>6</v>
      </c>
      <c r="L227" s="256" t="s">
        <v>80</v>
      </c>
      <c r="M227" s="256">
        <v>10000</v>
      </c>
      <c r="N227" s="256">
        <v>0</v>
      </c>
    </row>
    <row r="228" spans="1:14">
      <c r="A228" s="256">
        <v>48</v>
      </c>
      <c r="B228" s="256" t="s">
        <v>1062</v>
      </c>
      <c r="C228" s="256">
        <v>30001807</v>
      </c>
      <c r="D228" s="256" t="s">
        <v>1175</v>
      </c>
      <c r="E228" s="256" t="s">
        <v>184</v>
      </c>
      <c r="F228" s="256">
        <v>2.0749999999999998E-2</v>
      </c>
      <c r="I228" s="256">
        <v>4</v>
      </c>
      <c r="J228" s="256">
        <v>4</v>
      </c>
      <c r="K228" s="256">
        <v>20</v>
      </c>
      <c r="L228" s="256" t="s">
        <v>82</v>
      </c>
      <c r="M228" s="256">
        <v>9600</v>
      </c>
      <c r="N228" s="256">
        <v>38400</v>
      </c>
    </row>
    <row r="229" spans="1:14">
      <c r="A229" s="256">
        <v>45</v>
      </c>
      <c r="B229" s="256" t="s">
        <v>1062</v>
      </c>
      <c r="C229" s="256">
        <v>30003626</v>
      </c>
      <c r="D229" s="256" t="s">
        <v>831</v>
      </c>
      <c r="E229" s="256" t="s">
        <v>184</v>
      </c>
      <c r="F229" s="256" t="s">
        <v>1050</v>
      </c>
      <c r="J229" s="256">
        <v>0</v>
      </c>
      <c r="K229" s="256">
        <v>20</v>
      </c>
      <c r="L229" s="256" t="s">
        <v>1149</v>
      </c>
      <c r="M229" s="256">
        <v>2756</v>
      </c>
      <c r="N229" s="256">
        <v>0</v>
      </c>
    </row>
    <row r="230" spans="1:14">
      <c r="A230" s="256">
        <v>56</v>
      </c>
      <c r="B230" s="256" t="s">
        <v>1062</v>
      </c>
      <c r="C230" s="256">
        <v>30001284</v>
      </c>
      <c r="D230" s="256" t="s">
        <v>877</v>
      </c>
      <c r="E230" s="256" t="s">
        <v>184</v>
      </c>
      <c r="J230" s="256">
        <v>0</v>
      </c>
      <c r="K230" s="256">
        <v>6</v>
      </c>
      <c r="L230" s="256" t="s">
        <v>82</v>
      </c>
      <c r="M230" s="256">
        <v>10000</v>
      </c>
      <c r="N230" s="256">
        <v>0</v>
      </c>
    </row>
    <row r="231" spans="1:14">
      <c r="A231" s="256">
        <v>57</v>
      </c>
      <c r="B231" s="256" t="s">
        <v>1062</v>
      </c>
      <c r="C231" s="256">
        <v>30001277</v>
      </c>
      <c r="D231" s="256" t="s">
        <v>1176</v>
      </c>
      <c r="E231" s="256" t="s">
        <v>10</v>
      </c>
      <c r="F231" s="256">
        <v>5.7699999999999994E-2</v>
      </c>
      <c r="J231" s="256">
        <v>0</v>
      </c>
      <c r="K231" s="256">
        <v>50</v>
      </c>
      <c r="L231" s="256" t="s">
        <v>82</v>
      </c>
      <c r="M231" s="256">
        <v>3400</v>
      </c>
      <c r="N231" s="256">
        <v>0</v>
      </c>
    </row>
    <row r="232" spans="1:14">
      <c r="A232" s="256">
        <v>49</v>
      </c>
      <c r="B232" s="256" t="s">
        <v>1062</v>
      </c>
      <c r="C232" s="256">
        <v>30002547</v>
      </c>
      <c r="D232" s="256" t="s">
        <v>148</v>
      </c>
      <c r="E232" s="256" t="s">
        <v>184</v>
      </c>
      <c r="F232" s="256">
        <v>5.3673000000000002</v>
      </c>
      <c r="H232" s="256">
        <v>21</v>
      </c>
      <c r="J232" s="256">
        <v>210</v>
      </c>
      <c r="K232" s="256">
        <v>10</v>
      </c>
      <c r="L232" s="256" t="s">
        <v>81</v>
      </c>
      <c r="M232" s="256">
        <v>2450</v>
      </c>
      <c r="N232" s="256">
        <v>514500</v>
      </c>
    </row>
    <row r="233" spans="1:14">
      <c r="A233" s="256">
        <v>58</v>
      </c>
      <c r="B233" s="256" t="s">
        <v>1062</v>
      </c>
      <c r="C233" s="256">
        <v>30002556</v>
      </c>
      <c r="D233" s="256" t="s">
        <v>1177</v>
      </c>
      <c r="E233" s="256" t="s">
        <v>10</v>
      </c>
      <c r="I233" s="256">
        <v>3</v>
      </c>
      <c r="J233" s="256">
        <v>3</v>
      </c>
      <c r="K233" s="256">
        <v>6</v>
      </c>
      <c r="L233" s="256" t="s">
        <v>82</v>
      </c>
      <c r="M233" s="256">
        <v>3400</v>
      </c>
      <c r="N233" s="256">
        <v>10200</v>
      </c>
    </row>
    <row r="234" spans="1:14">
      <c r="A234" s="256">
        <v>50</v>
      </c>
      <c r="B234" s="256" t="s">
        <v>1062</v>
      </c>
      <c r="C234" s="256">
        <v>30001169</v>
      </c>
      <c r="D234" s="256" t="s">
        <v>1178</v>
      </c>
      <c r="E234" s="256" t="s">
        <v>184</v>
      </c>
      <c r="F234" s="256">
        <v>1.05</v>
      </c>
      <c r="G234" s="256" t="s">
        <v>1179</v>
      </c>
      <c r="H234" s="256">
        <v>8</v>
      </c>
      <c r="J234" s="256">
        <v>8</v>
      </c>
      <c r="K234" s="256">
        <v>1</v>
      </c>
      <c r="L234" s="256" t="s">
        <v>82</v>
      </c>
      <c r="M234" s="256">
        <v>10500</v>
      </c>
      <c r="N234" s="256">
        <v>84000</v>
      </c>
    </row>
    <row r="235" spans="1:14">
      <c r="A235" s="256">
        <v>51</v>
      </c>
      <c r="B235" s="256" t="s">
        <v>1062</v>
      </c>
      <c r="C235" s="256">
        <v>30001141</v>
      </c>
      <c r="D235" s="256" t="s">
        <v>1180</v>
      </c>
      <c r="E235" s="256" t="s">
        <v>184</v>
      </c>
      <c r="F235" s="256">
        <v>1.2270000000000001</v>
      </c>
      <c r="H235" s="256">
        <v>8</v>
      </c>
      <c r="J235" s="256">
        <v>8</v>
      </c>
      <c r="K235" s="256">
        <v>1</v>
      </c>
      <c r="L235" s="256" t="s">
        <v>85</v>
      </c>
      <c r="M235" s="256">
        <v>9000</v>
      </c>
      <c r="N235" s="256">
        <v>72000</v>
      </c>
    </row>
    <row r="236" spans="1:14">
      <c r="A236" s="256">
        <v>52</v>
      </c>
      <c r="B236" s="256" t="s">
        <v>1062</v>
      </c>
      <c r="C236" s="256">
        <v>30003066</v>
      </c>
      <c r="D236" s="256" t="s">
        <v>316</v>
      </c>
      <c r="E236" s="256" t="s">
        <v>184</v>
      </c>
      <c r="F236" s="256">
        <v>6.7799999999999999E-2</v>
      </c>
      <c r="I236" s="256">
        <v>4</v>
      </c>
      <c r="J236" s="256">
        <v>4</v>
      </c>
      <c r="K236" s="256">
        <v>5</v>
      </c>
      <c r="L236" s="256" t="s">
        <v>82</v>
      </c>
      <c r="M236" s="256">
        <v>8200</v>
      </c>
      <c r="N236" s="256">
        <v>32800</v>
      </c>
    </row>
    <row r="237" spans="1:14">
      <c r="A237" s="256">
        <v>53</v>
      </c>
      <c r="B237" s="256" t="s">
        <v>1062</v>
      </c>
      <c r="C237" s="256">
        <v>30000075</v>
      </c>
      <c r="D237" s="256" t="s">
        <v>1181</v>
      </c>
      <c r="E237" s="256" t="s">
        <v>184</v>
      </c>
      <c r="F237" s="256">
        <v>0.18533333333333335</v>
      </c>
      <c r="G237" s="256" t="s">
        <v>1179</v>
      </c>
      <c r="H237" s="256">
        <v>1</v>
      </c>
      <c r="J237" s="256">
        <v>12</v>
      </c>
      <c r="K237" s="256">
        <v>12</v>
      </c>
      <c r="L237" s="256" t="s">
        <v>81</v>
      </c>
      <c r="M237" s="256">
        <v>16500</v>
      </c>
      <c r="N237" s="256">
        <v>198000</v>
      </c>
    </row>
    <row r="238" spans="1:14">
      <c r="A238" s="256">
        <v>54</v>
      </c>
      <c r="B238" s="256" t="s">
        <v>1062</v>
      </c>
      <c r="C238" s="256">
        <v>20192510</v>
      </c>
      <c r="D238" s="256" t="s">
        <v>231</v>
      </c>
      <c r="E238" s="256" t="s">
        <v>184</v>
      </c>
      <c r="F238" s="256" t="s">
        <v>1050</v>
      </c>
      <c r="H238" s="256">
        <v>16</v>
      </c>
      <c r="J238" s="256">
        <v>16</v>
      </c>
      <c r="K238" s="256">
        <v>1</v>
      </c>
      <c r="L238" s="256" t="s">
        <v>81</v>
      </c>
      <c r="M238" s="256">
        <v>38000</v>
      </c>
      <c r="N238" s="256">
        <v>608000</v>
      </c>
    </row>
    <row r="239" spans="1:14">
      <c r="A239" s="256">
        <v>54</v>
      </c>
      <c r="B239" s="256" t="s">
        <v>1062</v>
      </c>
      <c r="C239" s="256">
        <v>30002327</v>
      </c>
      <c r="D239" s="256" t="s">
        <v>973</v>
      </c>
      <c r="E239" s="256" t="s">
        <v>184</v>
      </c>
      <c r="F239" s="256">
        <v>2.4390000000000001</v>
      </c>
      <c r="H239" s="256">
        <v>4</v>
      </c>
      <c r="J239" s="256">
        <v>4</v>
      </c>
      <c r="K239" s="256">
        <v>1</v>
      </c>
      <c r="L239" s="256" t="s">
        <v>81</v>
      </c>
      <c r="M239" s="256">
        <v>38000</v>
      </c>
      <c r="N239" s="256">
        <v>152000</v>
      </c>
    </row>
    <row r="240" spans="1:14">
      <c r="A240" s="256">
        <v>54</v>
      </c>
      <c r="B240" s="256" t="s">
        <v>1062</v>
      </c>
      <c r="C240" s="256">
        <v>30000385</v>
      </c>
      <c r="D240" s="256" t="s">
        <v>991</v>
      </c>
      <c r="E240" s="256" t="s">
        <v>184</v>
      </c>
      <c r="F240" s="256" t="s">
        <v>1050</v>
      </c>
      <c r="I240" s="256">
        <v>1</v>
      </c>
      <c r="J240" s="256">
        <v>1</v>
      </c>
      <c r="K240" s="256">
        <v>6</v>
      </c>
      <c r="L240" s="256" t="s">
        <v>81</v>
      </c>
      <c r="M240" s="256">
        <v>38000</v>
      </c>
      <c r="N240" s="256">
        <v>38000</v>
      </c>
    </row>
    <row r="241" spans="1:14">
      <c r="A241" s="256">
        <v>54</v>
      </c>
      <c r="B241" s="256" t="s">
        <v>1062</v>
      </c>
      <c r="C241" s="256">
        <v>20194409</v>
      </c>
      <c r="D241" s="256" t="s">
        <v>992</v>
      </c>
      <c r="E241" s="256" t="s">
        <v>184</v>
      </c>
      <c r="F241" s="256" t="s">
        <v>1050</v>
      </c>
      <c r="H241" s="256">
        <v>1</v>
      </c>
      <c r="I241" s="256">
        <v>2</v>
      </c>
      <c r="J241" s="256">
        <v>10</v>
      </c>
      <c r="K241" s="256">
        <v>8</v>
      </c>
      <c r="L241" s="256" t="s">
        <v>81</v>
      </c>
      <c r="M241" s="256">
        <v>38000</v>
      </c>
      <c r="N241" s="256">
        <v>380000</v>
      </c>
    </row>
    <row r="242" spans="1:14">
      <c r="A242" s="256">
        <v>54</v>
      </c>
      <c r="B242" s="256" t="s">
        <v>1062</v>
      </c>
      <c r="C242" s="256">
        <v>30000253</v>
      </c>
      <c r="D242" s="256" t="s">
        <v>993</v>
      </c>
      <c r="E242" s="256" t="s">
        <v>184</v>
      </c>
      <c r="F242" s="256" t="s">
        <v>1050</v>
      </c>
      <c r="I242" s="256">
        <v>2</v>
      </c>
      <c r="J242" s="256">
        <v>2</v>
      </c>
      <c r="K242" s="256">
        <v>6</v>
      </c>
      <c r="L242" s="256" t="s">
        <v>81</v>
      </c>
      <c r="M242" s="256">
        <v>38000</v>
      </c>
      <c r="N242" s="256">
        <v>76000</v>
      </c>
    </row>
    <row r="243" spans="1:14">
      <c r="A243" s="256">
        <v>54</v>
      </c>
      <c r="B243" s="256" t="s">
        <v>1062</v>
      </c>
      <c r="C243" s="256">
        <v>30003717</v>
      </c>
      <c r="D243" s="256" t="s">
        <v>1001</v>
      </c>
      <c r="E243" s="256" t="s">
        <v>184</v>
      </c>
      <c r="F243" s="256" t="s">
        <v>1050</v>
      </c>
      <c r="I243" s="256">
        <v>3</v>
      </c>
      <c r="J243" s="256">
        <v>3</v>
      </c>
      <c r="K243" s="256">
        <v>6</v>
      </c>
      <c r="L243" s="256" t="s">
        <v>81</v>
      </c>
      <c r="M243" s="256">
        <v>38000</v>
      </c>
      <c r="N243" s="256">
        <v>114000</v>
      </c>
    </row>
    <row r="244" spans="1:14">
      <c r="A244" s="256">
        <v>59</v>
      </c>
      <c r="B244" s="256" t="s">
        <v>1182</v>
      </c>
      <c r="C244" s="256">
        <v>30002766</v>
      </c>
      <c r="D244" s="256" t="s">
        <v>214</v>
      </c>
      <c r="E244" s="256" t="s">
        <v>184</v>
      </c>
      <c r="F244" s="256">
        <v>2.8125</v>
      </c>
      <c r="H244" s="256">
        <v>12</v>
      </c>
      <c r="I244" s="256">
        <v>3</v>
      </c>
      <c r="J244" s="256">
        <v>51</v>
      </c>
      <c r="K244" s="256">
        <v>4</v>
      </c>
      <c r="L244" s="256" t="s">
        <v>80</v>
      </c>
      <c r="M244" s="256">
        <v>4396</v>
      </c>
      <c r="N244" s="256">
        <v>224196</v>
      </c>
    </row>
    <row r="245" spans="1:14">
      <c r="A245" s="256">
        <v>60</v>
      </c>
      <c r="B245" s="256" t="s">
        <v>1183</v>
      </c>
      <c r="C245" s="256">
        <v>30002883</v>
      </c>
      <c r="D245" s="256" t="s">
        <v>1184</v>
      </c>
      <c r="E245" s="256" t="s">
        <v>12</v>
      </c>
      <c r="F245" s="256">
        <v>8.8999999999999999E-3</v>
      </c>
      <c r="I245" s="256">
        <v>7</v>
      </c>
      <c r="J245" s="256">
        <v>7</v>
      </c>
      <c r="K245" s="256">
        <v>10</v>
      </c>
      <c r="L245" s="256" t="s">
        <v>91</v>
      </c>
      <c r="M245" s="256">
        <v>10000</v>
      </c>
      <c r="N245" s="256">
        <v>70000</v>
      </c>
    </row>
    <row r="246" spans="1:14">
      <c r="A246" s="256">
        <v>61</v>
      </c>
      <c r="B246" s="256" t="s">
        <v>1183</v>
      </c>
      <c r="C246" s="256">
        <v>30003399</v>
      </c>
      <c r="D246" s="256" t="s">
        <v>339</v>
      </c>
      <c r="E246" s="256" t="s">
        <v>12</v>
      </c>
      <c r="F246" s="256">
        <v>0.20983333333333332</v>
      </c>
      <c r="J246" s="256">
        <v>0</v>
      </c>
      <c r="K246" s="256">
        <v>6</v>
      </c>
      <c r="L246" s="256" t="s">
        <v>91</v>
      </c>
      <c r="M246" s="256">
        <v>22000</v>
      </c>
      <c r="N246" s="256">
        <v>0</v>
      </c>
    </row>
    <row r="247" spans="1:14">
      <c r="A247" s="256">
        <v>62</v>
      </c>
      <c r="B247" s="256" t="s">
        <v>1183</v>
      </c>
      <c r="C247" s="256">
        <v>30000006</v>
      </c>
      <c r="D247" s="256" t="s">
        <v>1185</v>
      </c>
      <c r="E247" s="256" t="s">
        <v>12</v>
      </c>
      <c r="F247" s="256">
        <v>3.2907999999999999</v>
      </c>
      <c r="H247" s="256">
        <v>10</v>
      </c>
      <c r="J247" s="256">
        <v>100</v>
      </c>
      <c r="K247" s="256">
        <v>10</v>
      </c>
      <c r="L247" s="256" t="s">
        <v>91</v>
      </c>
      <c r="M247" s="256">
        <v>6900</v>
      </c>
      <c r="N247" s="256">
        <v>690000</v>
      </c>
    </row>
    <row r="248" spans="1:14">
      <c r="A248" s="256">
        <v>63</v>
      </c>
      <c r="B248" s="256" t="s">
        <v>1183</v>
      </c>
      <c r="C248" s="256">
        <v>10301023</v>
      </c>
      <c r="D248" s="256" t="s">
        <v>1186</v>
      </c>
      <c r="E248" s="256" t="s">
        <v>12</v>
      </c>
      <c r="F248" s="256">
        <v>4.1938333333333331</v>
      </c>
      <c r="H248" s="256">
        <v>21</v>
      </c>
      <c r="J248" s="256">
        <v>126</v>
      </c>
      <c r="K248" s="256">
        <v>6</v>
      </c>
      <c r="L248" s="256" t="s">
        <v>91</v>
      </c>
      <c r="M248" s="256">
        <v>13700</v>
      </c>
      <c r="N248" s="256">
        <v>1726200</v>
      </c>
    </row>
    <row r="249" spans="1:14">
      <c r="A249" s="256">
        <v>64</v>
      </c>
      <c r="B249" s="256" t="s">
        <v>1183</v>
      </c>
      <c r="C249" s="256">
        <v>30000007</v>
      </c>
      <c r="D249" s="256" t="s">
        <v>1187</v>
      </c>
      <c r="E249" s="256" t="s">
        <v>12</v>
      </c>
      <c r="F249" s="256">
        <v>1.087</v>
      </c>
      <c r="H249" s="256">
        <v>5</v>
      </c>
      <c r="J249" s="256">
        <v>5</v>
      </c>
      <c r="K249" s="256">
        <v>1</v>
      </c>
      <c r="L249" s="256" t="s">
        <v>91</v>
      </c>
      <c r="M249" s="256">
        <v>132000</v>
      </c>
      <c r="N249" s="256">
        <v>660000</v>
      </c>
    </row>
    <row r="250" spans="1:14">
      <c r="A250" s="256">
        <v>66</v>
      </c>
      <c r="B250" s="256" t="s">
        <v>1188</v>
      </c>
      <c r="C250" s="256">
        <v>30002769</v>
      </c>
      <c r="D250" s="256" t="s">
        <v>235</v>
      </c>
      <c r="E250" s="256" t="s">
        <v>10</v>
      </c>
      <c r="F250" s="256">
        <v>2.0036666666666667</v>
      </c>
      <c r="H250" s="256">
        <v>1</v>
      </c>
      <c r="I250" s="256">
        <v>2</v>
      </c>
      <c r="J250" s="256">
        <v>5</v>
      </c>
      <c r="K250" s="256">
        <v>3</v>
      </c>
      <c r="L250" s="256" t="s">
        <v>82</v>
      </c>
      <c r="M250" s="256">
        <v>11400</v>
      </c>
      <c r="N250" s="256">
        <v>57000</v>
      </c>
    </row>
    <row r="251" spans="1:14">
      <c r="A251" s="256">
        <v>67</v>
      </c>
      <c r="B251" s="256" t="s">
        <v>1189</v>
      </c>
      <c r="C251" s="256">
        <v>30002511</v>
      </c>
      <c r="D251" s="256" t="s">
        <v>102</v>
      </c>
      <c r="E251" s="256" t="s">
        <v>10</v>
      </c>
      <c r="F251" s="256">
        <v>7.8003333333333336</v>
      </c>
      <c r="H251" s="256">
        <v>78</v>
      </c>
      <c r="J251" s="256">
        <v>1872</v>
      </c>
      <c r="K251" s="256">
        <v>24</v>
      </c>
      <c r="L251" s="256" t="s">
        <v>83</v>
      </c>
      <c r="M251" s="256">
        <v>2390</v>
      </c>
      <c r="N251" s="256">
        <v>4474080</v>
      </c>
    </row>
    <row r="252" spans="1:14">
      <c r="A252" s="256">
        <v>68</v>
      </c>
      <c r="B252" s="256" t="s">
        <v>1190</v>
      </c>
      <c r="D252" s="256" t="s">
        <v>1191</v>
      </c>
      <c r="E252" s="256" t="s">
        <v>10</v>
      </c>
      <c r="F252" s="256" t="s">
        <v>1050</v>
      </c>
      <c r="G252" s="256" t="s">
        <v>1106</v>
      </c>
      <c r="J252" s="256">
        <v>0</v>
      </c>
      <c r="K252" s="256">
        <v>15</v>
      </c>
      <c r="M252" s="256">
        <v>2700</v>
      </c>
      <c r="N252" s="256">
        <v>0</v>
      </c>
    </row>
    <row r="253" spans="1:14">
      <c r="A253" s="256">
        <v>69</v>
      </c>
      <c r="B253" s="256" t="s">
        <v>1192</v>
      </c>
      <c r="D253" s="256" t="s">
        <v>1193</v>
      </c>
      <c r="E253" s="256" t="s">
        <v>10</v>
      </c>
      <c r="F253" s="256" t="s">
        <v>1050</v>
      </c>
      <c r="G253" s="256" t="s">
        <v>1106</v>
      </c>
      <c r="J253" s="256">
        <v>0</v>
      </c>
      <c r="K253" s="256">
        <v>10</v>
      </c>
      <c r="N253" s="256">
        <v>0</v>
      </c>
    </row>
    <row r="254" spans="1:14">
      <c r="A254" s="256">
        <v>70</v>
      </c>
      <c r="B254" s="256" t="s">
        <v>1062</v>
      </c>
      <c r="D254" s="256" t="s">
        <v>1194</v>
      </c>
      <c r="E254" s="256" t="s">
        <v>10</v>
      </c>
      <c r="F254" s="256" t="s">
        <v>1050</v>
      </c>
      <c r="G254" s="256" t="s">
        <v>1106</v>
      </c>
      <c r="J254" s="256">
        <v>0</v>
      </c>
      <c r="K254" s="256">
        <v>10</v>
      </c>
      <c r="M254" s="256">
        <v>7800</v>
      </c>
      <c r="N254" s="256">
        <v>0</v>
      </c>
    </row>
    <row r="255" spans="1:14">
      <c r="A255" s="256">
        <v>71</v>
      </c>
      <c r="B255" s="256" t="s">
        <v>1195</v>
      </c>
      <c r="D255" s="256" t="s">
        <v>1196</v>
      </c>
      <c r="E255" s="256" t="s">
        <v>10</v>
      </c>
      <c r="F255" s="256" t="s">
        <v>1050</v>
      </c>
      <c r="G255" s="256" t="s">
        <v>1106</v>
      </c>
      <c r="J255" s="256">
        <v>0</v>
      </c>
      <c r="K255" s="256">
        <v>4</v>
      </c>
      <c r="M255" s="256">
        <v>15000</v>
      </c>
      <c r="N255" s="256">
        <v>0</v>
      </c>
    </row>
    <row r="256" spans="1:14">
      <c r="A256" s="256">
        <v>72</v>
      </c>
      <c r="B256" s="256" t="s">
        <v>1024</v>
      </c>
      <c r="C256" s="256">
        <v>30002680</v>
      </c>
      <c r="D256" s="256" t="s">
        <v>432</v>
      </c>
      <c r="E256" s="256" t="s">
        <v>12</v>
      </c>
      <c r="F256" s="256" t="s">
        <v>1050</v>
      </c>
      <c r="G256" s="256" t="s">
        <v>1073</v>
      </c>
      <c r="J256" s="256">
        <v>0</v>
      </c>
      <c r="K256" s="256">
        <v>1</v>
      </c>
      <c r="L256" s="256" t="s">
        <v>81</v>
      </c>
      <c r="M256" s="256">
        <v>11660</v>
      </c>
      <c r="N256" s="256">
        <v>0</v>
      </c>
    </row>
    <row r="257" spans="1:14">
      <c r="A257" s="256">
        <v>73</v>
      </c>
      <c r="B257" s="256" t="s">
        <v>1167</v>
      </c>
      <c r="C257" s="256">
        <v>30003647</v>
      </c>
      <c r="D257" s="256" t="s">
        <v>39</v>
      </c>
      <c r="E257" s="256" t="s">
        <v>12</v>
      </c>
      <c r="F257" s="256" t="s">
        <v>1050</v>
      </c>
      <c r="G257" s="256" t="s">
        <v>1106</v>
      </c>
      <c r="J257" s="256">
        <v>0</v>
      </c>
      <c r="K257" s="256">
        <v>5</v>
      </c>
      <c r="L257" s="256" t="s">
        <v>81</v>
      </c>
      <c r="M257" s="256">
        <v>14900</v>
      </c>
      <c r="N257" s="256">
        <v>0</v>
      </c>
    </row>
    <row r="258" spans="1:14">
      <c r="A258" s="256">
        <v>74</v>
      </c>
      <c r="B258" s="256" t="s">
        <v>1167</v>
      </c>
      <c r="C258" s="256">
        <v>30003685</v>
      </c>
      <c r="D258" s="256" t="s">
        <v>918</v>
      </c>
      <c r="J258" s="256">
        <v>0</v>
      </c>
      <c r="K258" s="256">
        <v>24</v>
      </c>
      <c r="M258" s="256">
        <v>5300</v>
      </c>
      <c r="N258" s="256">
        <v>0</v>
      </c>
    </row>
    <row r="259" spans="1:14">
      <c r="A259" s="256">
        <v>75</v>
      </c>
      <c r="B259" s="256" t="s">
        <v>1204</v>
      </c>
      <c r="C259" s="256">
        <v>30003768</v>
      </c>
      <c r="D259" s="256" t="s">
        <v>1206</v>
      </c>
      <c r="E259" s="256" t="s">
        <v>10</v>
      </c>
      <c r="H259" s="256">
        <v>5</v>
      </c>
      <c r="J259" s="256">
        <v>160</v>
      </c>
      <c r="K259" s="256">
        <v>32</v>
      </c>
      <c r="M259" s="256">
        <v>110</v>
      </c>
      <c r="N259" s="256">
        <v>17600</v>
      </c>
    </row>
    <row r="290" spans="16:16">
      <c r="P290" s="256" t="s">
        <v>1137</v>
      </c>
    </row>
    <row r="291" spans="16:16">
      <c r="P291" s="256" t="s">
        <v>1137</v>
      </c>
    </row>
    <row r="292" spans="16:16">
      <c r="P292" s="256" t="s">
        <v>1137</v>
      </c>
    </row>
    <row r="293" spans="16:16">
      <c r="P293" s="256" t="s">
        <v>1137</v>
      </c>
    </row>
    <row r="294" spans="16:16">
      <c r="P294" s="256" t="s">
        <v>1137</v>
      </c>
    </row>
    <row r="295" spans="16:16">
      <c r="P295" s="256" t="s">
        <v>1137</v>
      </c>
    </row>
    <row r="296" spans="16:16">
      <c r="P296" s="256" t="s">
        <v>1137</v>
      </c>
    </row>
    <row r="297" spans="16:16">
      <c r="P297" s="256" t="s">
        <v>1137</v>
      </c>
    </row>
    <row r="298" spans="16:16">
      <c r="P298" s="256" t="s">
        <v>1137</v>
      </c>
    </row>
    <row r="299" spans="16:16">
      <c r="P299" s="256" t="s">
        <v>1137</v>
      </c>
    </row>
    <row r="300" spans="16:16">
      <c r="P300" s="256" t="s">
        <v>1137</v>
      </c>
    </row>
    <row r="308" spans="15:15">
      <c r="O308" s="256" t="s">
        <v>714</v>
      </c>
    </row>
    <row r="330" spans="15:15">
      <c r="O330" s="256" t="s">
        <v>711</v>
      </c>
    </row>
    <row r="338" spans="15:15">
      <c r="O338" s="256" t="s">
        <v>713</v>
      </c>
    </row>
    <row r="350" spans="15:15">
      <c r="O350" s="256" t="s">
        <v>713</v>
      </c>
    </row>
    <row r="352" spans="15:15">
      <c r="O352" s="256" t="s">
        <v>707</v>
      </c>
    </row>
    <row r="353" spans="15:15">
      <c r="O353" s="256" t="s">
        <v>707</v>
      </c>
    </row>
    <row r="357" spans="15:15">
      <c r="O357" s="256" t="s">
        <v>717</v>
      </c>
    </row>
    <row r="360" spans="15:15">
      <c r="O360" s="256" t="s">
        <v>713</v>
      </c>
    </row>
    <row r="365" spans="15:15">
      <c r="O365" s="256" t="s">
        <v>715</v>
      </c>
    </row>
    <row r="410" spans="15:15">
      <c r="O410" s="256" t="s">
        <v>711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10</vt:i4>
      </vt:variant>
    </vt:vector>
  </HeadingPairs>
  <TitlesOfParts>
    <vt:vector size="16" baseType="lpstr">
      <vt:lpstr>부자재</vt:lpstr>
      <vt:lpstr>냉장1</vt:lpstr>
      <vt:lpstr>냉장2</vt:lpstr>
      <vt:lpstr>냉동</vt:lpstr>
      <vt:lpstr>상온</vt:lpstr>
      <vt:lpstr>Sheet1</vt:lpstr>
      <vt:lpstr>냉동!Print_Area</vt:lpstr>
      <vt:lpstr>냉장1!Print_Area</vt:lpstr>
      <vt:lpstr>냉장2!Print_Area</vt:lpstr>
      <vt:lpstr>부자재!Print_Area</vt:lpstr>
      <vt:lpstr>상온!Print_Area</vt:lpstr>
      <vt:lpstr>냉동!Print_Titles</vt:lpstr>
      <vt:lpstr>냉장1!Print_Titles</vt:lpstr>
      <vt:lpstr>냉장2!Print_Titles</vt:lpstr>
      <vt:lpstr>부자재!Print_Titles</vt:lpstr>
      <vt:lpstr>상온!Print_Titles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GFS_공무팀_01</dc:creator>
  <cp:lastModifiedBy>관리자</cp:lastModifiedBy>
  <cp:lastPrinted>2026-10-29T04:49:09Z</cp:lastPrinted>
  <dcterms:created xsi:type="dcterms:W3CDTF">2021-06-30T06:26:49Z</dcterms:created>
  <dcterms:modified xsi:type="dcterms:W3CDTF">2026-10-29T09:00:20Z</dcterms:modified>
</cp:coreProperties>
</file>