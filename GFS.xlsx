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GFS\Downloads\"/>
    </mc:Choice>
  </mc:AlternateContent>
  <xr:revisionPtr revIDLastSave="0" documentId="8_{844C54A8-4FF8-4D80-AB04-E48F39DAC017}" xr6:coauthVersionLast="47" xr6:coauthVersionMax="47" xr10:uidLastSave="{00000000-0000-0000-0000-000000000000}"/>
  <bookViews>
    <workbookView xWindow="-120" yWindow="-120" windowWidth="29040" windowHeight="15840" tabRatio="602" activeTab="4" xr2:uid="{00000000-000D-0000-FFFF-FFFF00000000}"/>
  </bookViews>
  <sheets>
    <sheet name="Sheet1" sheetId="18" r:id="rId1"/>
    <sheet name="야채 계산기" sheetId="2" r:id="rId2"/>
    <sheet name="조미식초" sheetId="10" r:id="rId3"/>
    <sheet name="Sheet2" sheetId="19" r:id="rId4"/>
    <sheet name="발주시트" sheetId="1" r:id="rId5"/>
    <sheet name="마요네즈, 참치" sheetId="15" r:id="rId6"/>
    <sheet name="정제염" sheetId="13" r:id="rId7"/>
    <sheet name="바코드" sheetId="17" r:id="rId8"/>
    <sheet name="볶음참깨, 참기름" sheetId="16" r:id="rId9"/>
  </sheets>
  <externalReferences>
    <externalReference r:id="rId10"/>
    <externalReference r:id="rId11"/>
  </externalReferences>
  <definedNames>
    <definedName name="_xlnm._FilterDatabase" localSheetId="4" hidden="1">발주시트!$A$1:$AA$1025</definedName>
    <definedName name="_xlnm.Print_Area" localSheetId="4">발주시트!$B$1:$N$533</definedName>
  </definedNames>
  <calcPr calcId="181029" iterateCount="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C7" i="1"/>
  <c r="J7" i="1"/>
  <c r="J8" i="1"/>
  <c r="J9" i="1"/>
  <c r="J10" i="1"/>
  <c r="J11" i="1"/>
  <c r="J12" i="1"/>
  <c r="J13" i="1"/>
  <c r="J14" i="1"/>
  <c r="J15" i="1"/>
  <c r="C16" i="1"/>
  <c r="J16" i="1"/>
  <c r="C17" i="1"/>
  <c r="J17" i="1"/>
  <c r="J18" i="1"/>
  <c r="J19" i="1"/>
  <c r="J20" i="1"/>
  <c r="J21" i="1"/>
  <c r="C22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C40" i="1"/>
  <c r="J40" i="1"/>
  <c r="J41" i="1"/>
  <c r="J42" i="1"/>
  <c r="J43" i="1"/>
  <c r="J44" i="1"/>
  <c r="C45" i="1"/>
  <c r="J45" i="1"/>
  <c r="J46" i="1"/>
  <c r="J47" i="1"/>
  <c r="C48" i="1"/>
  <c r="J48" i="1"/>
  <c r="J49" i="1"/>
  <c r="J50" i="1"/>
  <c r="C51" i="1"/>
  <c r="J51" i="1"/>
  <c r="J52" i="1"/>
  <c r="J53" i="1"/>
  <c r="J54" i="1"/>
  <c r="J55" i="1"/>
  <c r="J56" i="1"/>
  <c r="C57" i="1"/>
  <c r="J57" i="1"/>
  <c r="J58" i="1"/>
  <c r="J59" i="1"/>
  <c r="J60" i="1"/>
  <c r="J61" i="1"/>
  <c r="J62" i="1"/>
  <c r="J63" i="1"/>
  <c r="J64" i="1"/>
  <c r="J65" i="1"/>
  <c r="C66" i="1"/>
  <c r="J66" i="1"/>
  <c r="J67" i="1"/>
  <c r="J68" i="1"/>
  <c r="J69" i="1"/>
  <c r="J70" i="1"/>
  <c r="C71" i="1"/>
  <c r="J71" i="1"/>
  <c r="J72" i="1"/>
  <c r="J73" i="1"/>
  <c r="J74" i="1"/>
  <c r="J75" i="1"/>
  <c r="J76" i="1"/>
  <c r="J77" i="1"/>
  <c r="J78" i="1"/>
  <c r="J79" i="1"/>
  <c r="J80" i="1"/>
  <c r="J81" i="1"/>
  <c r="C82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C140" i="1"/>
  <c r="J140" i="1"/>
  <c r="J141" i="1"/>
  <c r="J142" i="1"/>
  <c r="J143" i="1"/>
  <c r="C144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C160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C176" i="1"/>
  <c r="J176" i="1"/>
  <c r="J177" i="1"/>
  <c r="J178" i="1"/>
  <c r="J179" i="1"/>
  <c r="J180" i="1"/>
  <c r="J181" i="1"/>
  <c r="C182" i="1"/>
  <c r="J182" i="1"/>
  <c r="J183" i="1"/>
  <c r="J184" i="1"/>
  <c r="J185" i="1"/>
  <c r="J186" i="1"/>
  <c r="J187" i="1"/>
  <c r="C188" i="1"/>
  <c r="J188" i="1"/>
  <c r="J189" i="1"/>
  <c r="J190" i="1"/>
  <c r="J191" i="1"/>
  <c r="J192" i="1"/>
  <c r="J193" i="1"/>
  <c r="J194" i="1"/>
  <c r="C195" i="1"/>
  <c r="J195" i="1"/>
  <c r="J196" i="1"/>
  <c r="C197" i="1"/>
  <c r="J197" i="1"/>
  <c r="J198" i="1"/>
  <c r="C199" i="1"/>
  <c r="J199" i="1"/>
  <c r="J200" i="1"/>
  <c r="J201" i="1"/>
  <c r="J202" i="1"/>
  <c r="J203" i="1"/>
  <c r="J204" i="1"/>
  <c r="J205" i="1"/>
  <c r="J206" i="1"/>
  <c r="J207" i="1"/>
  <c r="J208" i="1"/>
  <c r="C209" i="1"/>
  <c r="J209" i="1"/>
  <c r="J210" i="1"/>
  <c r="J211" i="1"/>
  <c r="C212" i="1"/>
  <c r="J212" i="1"/>
  <c r="J213" i="1"/>
  <c r="C214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C226" i="1"/>
  <c r="J226" i="1"/>
  <c r="J227" i="1"/>
  <c r="J228" i="1"/>
  <c r="C229" i="1"/>
  <c r="J229" i="1"/>
  <c r="J230" i="1"/>
  <c r="C231" i="1"/>
  <c r="J231" i="1"/>
  <c r="J232" i="1"/>
  <c r="J233" i="1"/>
  <c r="J234" i="1"/>
  <c r="J235" i="1"/>
  <c r="J236" i="1"/>
  <c r="J237" i="1"/>
  <c r="J238" i="1"/>
  <c r="J239" i="1"/>
  <c r="J240" i="1"/>
  <c r="C241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C258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C280" i="1"/>
  <c r="J280" i="1"/>
  <c r="J281" i="1"/>
  <c r="J282" i="1"/>
  <c r="J283" i="1"/>
  <c r="J284" i="1"/>
  <c r="C285" i="1"/>
  <c r="J285" i="1"/>
  <c r="J286" i="1"/>
  <c r="J287" i="1"/>
  <c r="J288" i="1"/>
  <c r="J289" i="1"/>
  <c r="J290" i="1"/>
  <c r="C291" i="1"/>
  <c r="J291" i="1"/>
  <c r="J292" i="1"/>
  <c r="J293" i="1"/>
  <c r="J294" i="1"/>
  <c r="J295" i="1"/>
  <c r="C296" i="1"/>
  <c r="J296" i="1"/>
  <c r="J297" i="1"/>
  <c r="J298" i="1"/>
  <c r="J299" i="1"/>
  <c r="C300" i="1"/>
  <c r="J300" i="1"/>
  <c r="J301" i="1"/>
  <c r="J302" i="1"/>
  <c r="J303" i="1"/>
  <c r="J304" i="1"/>
  <c r="J305" i="1"/>
  <c r="C306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C322" i="1"/>
  <c r="J322" i="1"/>
  <c r="J323" i="1"/>
  <c r="J324" i="1"/>
  <c r="J325" i="1"/>
  <c r="J326" i="1"/>
  <c r="J327" i="1"/>
  <c r="J328" i="1"/>
  <c r="J329" i="1"/>
  <c r="C330" i="1"/>
  <c r="J330" i="1"/>
  <c r="J331" i="1"/>
  <c r="C332" i="1"/>
  <c r="J332" i="1"/>
  <c r="J333" i="1"/>
  <c r="J334" i="1"/>
  <c r="J335" i="1"/>
  <c r="J336" i="1"/>
  <c r="J337" i="1"/>
  <c r="J338" i="1"/>
  <c r="C339" i="1"/>
  <c r="J339" i="1"/>
  <c r="C340" i="1"/>
  <c r="J340" i="1"/>
  <c r="C341" i="1"/>
  <c r="J341" i="1"/>
  <c r="J342" i="1"/>
  <c r="J343" i="1"/>
  <c r="J344" i="1"/>
  <c r="J345" i="1"/>
  <c r="J346" i="1"/>
  <c r="C347" i="1"/>
  <c r="J347" i="1"/>
  <c r="J348" i="1"/>
  <c r="J349" i="1"/>
  <c r="J350" i="1"/>
  <c r="J351" i="1"/>
  <c r="J352" i="1"/>
  <c r="J353" i="1"/>
  <c r="J354" i="1"/>
  <c r="C355" i="1"/>
  <c r="J355" i="1"/>
  <c r="C356" i="1"/>
  <c r="J356" i="1"/>
  <c r="J357" i="1"/>
  <c r="J358" i="1"/>
  <c r="J359" i="1"/>
  <c r="C360" i="1"/>
  <c r="J360" i="1"/>
  <c r="J361" i="1"/>
  <c r="C362" i="1"/>
  <c r="J362" i="1"/>
  <c r="J363" i="1"/>
  <c r="J364" i="1"/>
  <c r="J365" i="1"/>
  <c r="J366" i="1"/>
  <c r="J367" i="1"/>
  <c r="J368" i="1"/>
  <c r="J369" i="1"/>
  <c r="J370" i="1"/>
  <c r="J371" i="1"/>
  <c r="C372" i="1"/>
  <c r="J372" i="1"/>
  <c r="C373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C386" i="1"/>
  <c r="J386" i="1"/>
  <c r="J387" i="1"/>
  <c r="J388" i="1"/>
  <c r="C389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C403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C439" i="1"/>
  <c r="J439" i="1"/>
  <c r="C440" i="1"/>
  <c r="J440" i="1"/>
  <c r="J441" i="1"/>
  <c r="C442" i="1"/>
  <c r="J442" i="1"/>
  <c r="C443" i="1"/>
  <c r="J443" i="1"/>
  <c r="J444" i="1"/>
  <c r="C445" i="1"/>
  <c r="J445" i="1"/>
  <c r="C446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C484" i="1"/>
  <c r="J484" i="1"/>
  <c r="J485" i="1"/>
  <c r="C486" i="1"/>
  <c r="J486" i="1"/>
  <c r="J487" i="1"/>
  <c r="J488" i="1"/>
  <c r="J489" i="1"/>
  <c r="J490" i="1"/>
  <c r="J491" i="1"/>
  <c r="C492" i="1"/>
  <c r="J492" i="1"/>
  <c r="J493" i="1"/>
  <c r="J494" i="1"/>
  <c r="J495" i="1"/>
  <c r="J496" i="1"/>
  <c r="J497" i="1"/>
  <c r="J498" i="1"/>
  <c r="J499" i="1"/>
  <c r="C500" i="1"/>
  <c r="J500" i="1"/>
  <c r="J501" i="1"/>
  <c r="J502" i="1"/>
  <c r="J503" i="1"/>
  <c r="J504" i="1"/>
  <c r="C505" i="1"/>
  <c r="J505" i="1"/>
  <c r="J506" i="1"/>
  <c r="J507" i="1"/>
  <c r="J508" i="1"/>
  <c r="J509" i="1"/>
  <c r="J510" i="1"/>
  <c r="J511" i="1"/>
  <c r="J512" i="1"/>
  <c r="J513" i="1"/>
  <c r="C514" i="1"/>
  <c r="J514" i="1"/>
  <c r="J515" i="1"/>
  <c r="J516" i="1"/>
  <c r="C517" i="1"/>
  <c r="J517" i="1"/>
  <c r="C518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C551" i="1"/>
  <c r="J551" i="1"/>
  <c r="J552" i="1"/>
  <c r="J553" i="1"/>
  <c r="C554" i="1"/>
  <c r="J554" i="1"/>
  <c r="J555" i="1"/>
  <c r="J556" i="1"/>
  <c r="J557" i="1"/>
  <c r="J558" i="1"/>
  <c r="J559" i="1"/>
  <c r="J560" i="1"/>
  <c r="J561" i="1"/>
  <c r="J562" i="1"/>
  <c r="J563" i="1"/>
  <c r="J564" i="1"/>
  <c r="C565" i="1"/>
  <c r="J565" i="1"/>
  <c r="J566" i="1"/>
  <c r="C567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C582" i="1"/>
  <c r="J582" i="1"/>
  <c r="J583" i="1"/>
  <c r="C584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C610" i="1"/>
  <c r="J610" i="1"/>
  <c r="J611" i="1"/>
  <c r="J612" i="1"/>
  <c r="J613" i="1"/>
  <c r="J614" i="1"/>
  <c r="J615" i="1"/>
  <c r="J616" i="1"/>
  <c r="J617" i="1"/>
  <c r="J618" i="1"/>
  <c r="J619" i="1"/>
  <c r="J620" i="1"/>
  <c r="C621" i="1"/>
  <c r="J621" i="1"/>
  <c r="J622" i="1"/>
  <c r="J623" i="1"/>
  <c r="C624" i="1"/>
  <c r="J624" i="1"/>
  <c r="J625" i="1"/>
  <c r="J626" i="1"/>
  <c r="J627" i="1"/>
  <c r="J628" i="1"/>
  <c r="C629" i="1"/>
  <c r="J629" i="1"/>
  <c r="J630" i="1"/>
  <c r="J631" i="1"/>
  <c r="J632" i="1"/>
  <c r="C633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C651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C667" i="1"/>
  <c r="J667" i="1"/>
  <c r="J668" i="1"/>
  <c r="J669" i="1"/>
  <c r="J670" i="1"/>
  <c r="J671" i="1"/>
  <c r="J672" i="1"/>
  <c r="C673" i="1"/>
  <c r="J673" i="1"/>
  <c r="J674" i="1"/>
  <c r="C675" i="1"/>
  <c r="J675" i="1"/>
  <c r="J676" i="1"/>
  <c r="J677" i="1"/>
  <c r="J678" i="1"/>
  <c r="J679" i="1"/>
  <c r="J680" i="1"/>
  <c r="J681" i="1"/>
  <c r="J682" i="1"/>
  <c r="J683" i="1"/>
  <c r="C684" i="1"/>
  <c r="J684" i="1"/>
  <c r="C685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C704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C723" i="1"/>
  <c r="J723" i="1"/>
  <c r="C724" i="1"/>
  <c r="J724" i="1"/>
  <c r="J725" i="1"/>
  <c r="J726" i="1"/>
  <c r="J727" i="1"/>
  <c r="J728" i="1"/>
  <c r="J729" i="1"/>
  <c r="J730" i="1"/>
  <c r="J731" i="1"/>
  <c r="J732" i="1"/>
  <c r="J733" i="1"/>
  <c r="J734" i="1"/>
  <c r="C735" i="1"/>
  <c r="J735" i="1"/>
  <c r="J736" i="1"/>
  <c r="J737" i="1"/>
  <c r="C738" i="1"/>
  <c r="J738" i="1"/>
  <c r="J739" i="1"/>
  <c r="J740" i="1"/>
  <c r="C741" i="1"/>
  <c r="J741" i="1"/>
  <c r="J742" i="1"/>
  <c r="J743" i="1"/>
  <c r="J744" i="1"/>
  <c r="J745" i="1"/>
  <c r="J746" i="1"/>
  <c r="J747" i="1"/>
  <c r="J748" i="1"/>
  <c r="J749" i="1"/>
  <c r="C750" i="1"/>
  <c r="J750" i="1"/>
  <c r="C751" i="1"/>
  <c r="J751" i="1"/>
  <c r="J752" i="1"/>
  <c r="J753" i="1"/>
  <c r="J754" i="1"/>
  <c r="C755" i="1"/>
  <c r="J755" i="1"/>
  <c r="C756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C814" i="1"/>
  <c r="J814" i="1"/>
  <c r="J815" i="1"/>
  <c r="J816" i="1"/>
  <c r="J817" i="1"/>
  <c r="C818" i="1"/>
  <c r="J818" i="1"/>
  <c r="J819" i="1"/>
  <c r="J820" i="1"/>
  <c r="C821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C846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C898" i="1"/>
  <c r="J898" i="1"/>
  <c r="J899" i="1"/>
  <c r="J900" i="1"/>
  <c r="J901" i="1"/>
  <c r="C902" i="1"/>
  <c r="J902" i="1"/>
  <c r="J903" i="1"/>
  <c r="J904" i="1"/>
  <c r="J905" i="1"/>
  <c r="C906" i="1"/>
  <c r="J906" i="1"/>
  <c r="J907" i="1"/>
  <c r="J908" i="1"/>
  <c r="J909" i="1"/>
  <c r="J910" i="1"/>
  <c r="J911" i="1"/>
  <c r="J912" i="1"/>
  <c r="J913" i="1"/>
  <c r="J914" i="1"/>
  <c r="C915" i="1"/>
  <c r="J915" i="1"/>
  <c r="J916" i="1"/>
  <c r="J917" i="1"/>
  <c r="J918" i="1"/>
  <c r="J919" i="1"/>
  <c r="J920" i="1"/>
  <c r="J921" i="1"/>
  <c r="J922" i="1"/>
  <c r="C923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C936" i="1"/>
  <c r="J936" i="1"/>
  <c r="J937" i="1"/>
  <c r="C938" i="1"/>
  <c r="J938" i="1"/>
  <c r="J939" i="1"/>
  <c r="J940" i="1"/>
  <c r="J941" i="1"/>
  <c r="J942" i="1"/>
  <c r="J943" i="1"/>
  <c r="C944" i="1"/>
  <c r="J944" i="1"/>
  <c r="J945" i="1"/>
  <c r="J946" i="1"/>
  <c r="J947" i="1"/>
  <c r="J948" i="1"/>
  <c r="J949" i="1"/>
  <c r="C950" i="1"/>
  <c r="J950" i="1"/>
  <c r="J951" i="1"/>
  <c r="J952" i="1"/>
  <c r="C953" i="1"/>
  <c r="J953" i="1"/>
  <c r="C954" i="1"/>
  <c r="J954" i="1"/>
  <c r="C955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C968" i="1"/>
  <c r="J968" i="1"/>
  <c r="J969" i="1"/>
  <c r="C970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C983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C995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2" i="1"/>
  <c r="B457" i="1"/>
  <c r="B328" i="1"/>
  <c r="H327" i="1"/>
  <c r="B97" i="1"/>
  <c r="B326" i="1"/>
  <c r="U253" i="1"/>
  <c r="B1212" i="1"/>
  <c r="B1215" i="1"/>
  <c r="B1211" i="1"/>
  <c r="B1214" i="1"/>
  <c r="H1213" i="1"/>
  <c r="H1210" i="1"/>
  <c r="AA1214" i="1"/>
  <c r="S1214" i="1"/>
  <c r="R1214" i="1"/>
  <c r="I1214" i="1"/>
  <c r="K1214" i="1"/>
  <c r="N1214" i="1"/>
  <c r="L1214" i="1"/>
  <c r="M1214" i="1"/>
  <c r="D1214" i="1"/>
  <c r="AA1211" i="1"/>
  <c r="S1211" i="1"/>
  <c r="R1211" i="1"/>
  <c r="I1211" i="1"/>
  <c r="K1211" i="1"/>
  <c r="N1211" i="1"/>
  <c r="L1211" i="1"/>
  <c r="M1211" i="1"/>
  <c r="D1211" i="1"/>
  <c r="V5" i="1"/>
  <c r="V11" i="1"/>
  <c r="V9" i="1"/>
  <c r="V12" i="1"/>
  <c r="W5" i="1"/>
  <c r="W11" i="1"/>
  <c r="W9" i="1"/>
  <c r="W12" i="1"/>
  <c r="X5" i="1"/>
  <c r="X11" i="1"/>
  <c r="X9" i="1"/>
  <c r="X12" i="1"/>
  <c r="Y5" i="1"/>
  <c r="Y11" i="1"/>
  <c r="Y9" i="1"/>
  <c r="Y12" i="1"/>
  <c r="U5" i="1"/>
  <c r="U11" i="1"/>
  <c r="U9" i="1"/>
  <c r="U12" i="1"/>
  <c r="B688" i="1"/>
  <c r="B687" i="1"/>
  <c r="H686" i="1"/>
  <c r="B436" i="1"/>
  <c r="B437" i="1"/>
  <c r="G200" i="1"/>
  <c r="B11" i="17"/>
  <c r="E11" i="17"/>
  <c r="F11" i="17"/>
  <c r="B1295" i="1"/>
  <c r="B1296" i="1"/>
  <c r="B1297" i="1"/>
  <c r="B1299" i="1"/>
  <c r="B1301" i="1"/>
  <c r="B1307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G713" i="1"/>
  <c r="H9" i="16"/>
  <c r="K9" i="16"/>
  <c r="L9" i="16"/>
  <c r="B11" i="16"/>
  <c r="E11" i="16"/>
  <c r="F11" i="16"/>
  <c r="AA436" i="1"/>
  <c r="S436" i="1"/>
  <c r="R436" i="1"/>
  <c r="I436" i="1"/>
  <c r="K436" i="1"/>
  <c r="N436" i="1"/>
  <c r="L436" i="1"/>
  <c r="M436" i="1"/>
  <c r="D436" i="1"/>
  <c r="AA435" i="1"/>
  <c r="S435" i="1"/>
  <c r="R435" i="1"/>
  <c r="I435" i="1"/>
  <c r="K435" i="1"/>
  <c r="N435" i="1"/>
  <c r="L435" i="1"/>
  <c r="M435" i="1"/>
  <c r="D435" i="1"/>
  <c r="B435" i="1"/>
  <c r="T9" i="1"/>
  <c r="N11" i="17"/>
  <c r="Q11" i="17"/>
  <c r="R11" i="17"/>
  <c r="B565" i="1"/>
  <c r="AD868" i="1"/>
  <c r="B999" i="1"/>
  <c r="H998" i="1"/>
  <c r="AA721" i="1"/>
  <c r="S721" i="1"/>
  <c r="I721" i="1"/>
  <c r="K721" i="1"/>
  <c r="L721" i="1"/>
  <c r="M721" i="1"/>
  <c r="B721" i="1"/>
  <c r="B723" i="1"/>
  <c r="B724" i="1"/>
  <c r="H720" i="1"/>
  <c r="AA720" i="1"/>
  <c r="S720" i="1"/>
  <c r="R720" i="1"/>
  <c r="I720" i="1"/>
  <c r="K720" i="1"/>
  <c r="N720" i="1"/>
  <c r="G679" i="1"/>
  <c r="G707" i="1"/>
  <c r="G720" i="1"/>
  <c r="L720" i="1"/>
  <c r="M720" i="1"/>
  <c r="F720" i="1"/>
  <c r="D720" i="1"/>
  <c r="T253" i="1"/>
  <c r="B90" i="1"/>
  <c r="B91" i="1"/>
  <c r="B92" i="1"/>
  <c r="B93" i="1"/>
  <c r="B94" i="1"/>
  <c r="B95" i="1"/>
  <c r="H89" i="1"/>
  <c r="H456" i="1"/>
  <c r="AA457" i="1"/>
  <c r="S457" i="1"/>
  <c r="R457" i="1"/>
  <c r="I457" i="1"/>
  <c r="K457" i="1"/>
  <c r="N457" i="1"/>
  <c r="L457" i="1"/>
  <c r="M457" i="1"/>
  <c r="D457" i="1"/>
  <c r="AA456" i="1"/>
  <c r="S456" i="1"/>
  <c r="R456" i="1"/>
  <c r="I456" i="1"/>
  <c r="K456" i="1"/>
  <c r="N456" i="1"/>
  <c r="L456" i="1"/>
  <c r="M456" i="1"/>
  <c r="F456" i="1"/>
  <c r="D456" i="1"/>
  <c r="AA455" i="1"/>
  <c r="S455" i="1"/>
  <c r="R455" i="1"/>
  <c r="I455" i="1"/>
  <c r="K455" i="1"/>
  <c r="L455" i="1"/>
  <c r="M455" i="1"/>
  <c r="D455" i="1"/>
  <c r="B251" i="1"/>
  <c r="H250" i="1"/>
  <c r="AA251" i="1"/>
  <c r="S251" i="1"/>
  <c r="R251" i="1"/>
  <c r="I251" i="1"/>
  <c r="K251" i="1"/>
  <c r="N251" i="1"/>
  <c r="L251" i="1"/>
  <c r="M251" i="1"/>
  <c r="D251" i="1"/>
  <c r="AA250" i="1"/>
  <c r="S250" i="1"/>
  <c r="R250" i="1"/>
  <c r="I250" i="1"/>
  <c r="K250" i="1"/>
  <c r="N250" i="1"/>
  <c r="L250" i="1"/>
  <c r="M250" i="1"/>
  <c r="F250" i="1"/>
  <c r="D250" i="1"/>
  <c r="AA157" i="1"/>
  <c r="S157" i="1"/>
  <c r="I157" i="1"/>
  <c r="K157" i="1"/>
  <c r="L157" i="1"/>
  <c r="M157" i="1"/>
  <c r="B157" i="1"/>
  <c r="G156" i="1"/>
  <c r="G148" i="1"/>
  <c r="B9" i="1"/>
  <c r="AA9" i="1"/>
  <c r="S9" i="1"/>
  <c r="I9" i="1"/>
  <c r="K9" i="1"/>
  <c r="L9" i="1"/>
  <c r="M9" i="1"/>
  <c r="D9" i="1"/>
  <c r="H8" i="1"/>
  <c r="AA8" i="1"/>
  <c r="S8" i="1"/>
  <c r="Q8" i="1"/>
  <c r="R8" i="1"/>
  <c r="I8" i="1"/>
  <c r="K8" i="1"/>
  <c r="N8" i="1"/>
  <c r="L8" i="1"/>
  <c r="M8" i="1"/>
  <c r="F8" i="1"/>
  <c r="D8" i="1"/>
  <c r="G949" i="1"/>
  <c r="AA847" i="1"/>
  <c r="S847" i="1"/>
  <c r="I847" i="1"/>
  <c r="K847" i="1"/>
  <c r="N847" i="1"/>
  <c r="L847" i="1"/>
  <c r="M847" i="1"/>
  <c r="B847" i="1"/>
  <c r="AA999" i="1"/>
  <c r="S999" i="1"/>
  <c r="Q999" i="1"/>
  <c r="R999" i="1"/>
  <c r="I999" i="1"/>
  <c r="K999" i="1"/>
  <c r="B1196" i="1"/>
  <c r="H1195" i="1"/>
  <c r="B1194" i="1"/>
  <c r="H1193" i="1"/>
  <c r="O1" i="2"/>
  <c r="AB1" i="2"/>
  <c r="S1194" i="1"/>
  <c r="R1194" i="1"/>
  <c r="I1194" i="1"/>
  <c r="K1194" i="1"/>
  <c r="N1194" i="1"/>
  <c r="L1194" i="1"/>
  <c r="M1194" i="1"/>
  <c r="D1194" i="1"/>
  <c r="S1193" i="1"/>
  <c r="I1193" i="1"/>
  <c r="K1193" i="1"/>
  <c r="N1193" i="1"/>
  <c r="G1131" i="1"/>
  <c r="G1133" i="1"/>
  <c r="G1193" i="1"/>
  <c r="L1193" i="1"/>
  <c r="M1193" i="1"/>
  <c r="F1193" i="1"/>
  <c r="D1193" i="1"/>
  <c r="S1192" i="1"/>
  <c r="R1192" i="1"/>
  <c r="I1192" i="1"/>
  <c r="K1192" i="1"/>
  <c r="N1192" i="1"/>
  <c r="L1192" i="1"/>
  <c r="M1192" i="1"/>
  <c r="D1192" i="1"/>
  <c r="B1192" i="1"/>
  <c r="S1191" i="1"/>
  <c r="I1191" i="1"/>
  <c r="K1191" i="1"/>
  <c r="H1191" i="1"/>
  <c r="N1191" i="1"/>
  <c r="G1191" i="1"/>
  <c r="L1191" i="1"/>
  <c r="M1191" i="1"/>
  <c r="F1191" i="1"/>
  <c r="D1191" i="1"/>
  <c r="B675" i="1"/>
  <c r="B676" i="1"/>
  <c r="B677" i="1"/>
  <c r="B678" i="1"/>
  <c r="B657" i="1"/>
  <c r="B778" i="1"/>
  <c r="B1178" i="1"/>
  <c r="H1177" i="1"/>
  <c r="B158" i="1"/>
  <c r="B149" i="1"/>
  <c r="B133" i="1"/>
  <c r="B12" i="1"/>
  <c r="B971" i="1"/>
  <c r="B970" i="1"/>
  <c r="B968" i="1"/>
  <c r="B966" i="1"/>
  <c r="B965" i="1"/>
  <c r="H969" i="1"/>
  <c r="H964" i="1"/>
  <c r="B1160" i="1"/>
  <c r="H1159" i="1"/>
  <c r="B293" i="1"/>
  <c r="B134" i="1"/>
  <c r="B425" i="1"/>
  <c r="B1190" i="1"/>
  <c r="H1189" i="1"/>
  <c r="B1158" i="1"/>
  <c r="H1157" i="1"/>
  <c r="B615" i="1"/>
  <c r="G1220" i="1"/>
  <c r="AA636" i="1"/>
  <c r="S636" i="1"/>
  <c r="I636" i="1"/>
  <c r="K636" i="1"/>
  <c r="L636" i="1"/>
  <c r="M636" i="1"/>
  <c r="B636" i="1"/>
  <c r="AA635" i="1"/>
  <c r="S635" i="1"/>
  <c r="I635" i="1"/>
  <c r="K635" i="1"/>
  <c r="L635" i="1"/>
  <c r="M635" i="1"/>
  <c r="B635" i="1"/>
  <c r="G634" i="1"/>
  <c r="G616" i="1"/>
  <c r="B870" i="1"/>
  <c r="H869" i="1"/>
  <c r="B872" i="1"/>
  <c r="H871" i="1"/>
  <c r="B576" i="1"/>
  <c r="H575" i="1"/>
  <c r="B258" i="1"/>
  <c r="H257" i="1"/>
  <c r="B256" i="1"/>
  <c r="H255" i="1"/>
  <c r="B324" i="1"/>
  <c r="H323" i="1"/>
  <c r="B320" i="1"/>
  <c r="H319" i="1"/>
  <c r="B370" i="1"/>
  <c r="H369" i="1"/>
  <c r="B366" i="1"/>
  <c r="H365" i="1"/>
  <c r="B360" i="1"/>
  <c r="H359" i="1"/>
  <c r="B358" i="1"/>
  <c r="H357" i="1"/>
  <c r="AA330" i="1"/>
  <c r="S330" i="1"/>
  <c r="R330" i="1"/>
  <c r="I330" i="1"/>
  <c r="K330" i="1"/>
  <c r="N330" i="1"/>
  <c r="L330" i="1"/>
  <c r="M330" i="1"/>
  <c r="D330" i="1"/>
  <c r="B330" i="1"/>
  <c r="H329" i="1"/>
  <c r="AA329" i="1"/>
  <c r="S329" i="1"/>
  <c r="R329" i="1"/>
  <c r="I329" i="1"/>
  <c r="K329" i="1"/>
  <c r="N329" i="1"/>
  <c r="G329" i="1"/>
  <c r="L329" i="1"/>
  <c r="M329" i="1"/>
  <c r="F329" i="1"/>
  <c r="D329" i="1"/>
  <c r="AA1223" i="1"/>
  <c r="S1223" i="1"/>
  <c r="R1223" i="1"/>
  <c r="I1223" i="1"/>
  <c r="K1223" i="1"/>
  <c r="N1223" i="1"/>
  <c r="L1223" i="1"/>
  <c r="M1223" i="1"/>
  <c r="D1223" i="1"/>
  <c r="B1223" i="1"/>
  <c r="H1222" i="1"/>
  <c r="AA1222" i="1"/>
  <c r="S1222" i="1"/>
  <c r="I1222" i="1"/>
  <c r="K1222" i="1"/>
  <c r="N1222" i="1"/>
  <c r="G1222" i="1"/>
  <c r="L1222" i="1"/>
  <c r="M1222" i="1"/>
  <c r="F1222" i="1"/>
  <c r="D1222" i="1"/>
  <c r="AA1221" i="1"/>
  <c r="S1221" i="1"/>
  <c r="R1221" i="1"/>
  <c r="I1221" i="1"/>
  <c r="K1221" i="1"/>
  <c r="N1221" i="1"/>
  <c r="L1221" i="1"/>
  <c r="M1221" i="1"/>
  <c r="D1221" i="1"/>
  <c r="B1221" i="1"/>
  <c r="H1220" i="1"/>
  <c r="AA1220" i="1"/>
  <c r="S1220" i="1"/>
  <c r="I1220" i="1"/>
  <c r="K1220" i="1"/>
  <c r="N1220" i="1"/>
  <c r="L1220" i="1"/>
  <c r="M1220" i="1"/>
  <c r="F1220" i="1"/>
  <c r="D1220" i="1"/>
  <c r="D21" i="13"/>
  <c r="B21" i="13"/>
  <c r="E21" i="13"/>
  <c r="F21" i="13"/>
  <c r="H614" i="1"/>
  <c r="AA1000" i="1"/>
  <c r="S1000" i="1"/>
  <c r="Q1000" i="1"/>
  <c r="R1000" i="1"/>
  <c r="I1000" i="1"/>
  <c r="K1000" i="1"/>
  <c r="AA998" i="1"/>
  <c r="S998" i="1"/>
  <c r="I998" i="1"/>
  <c r="K998" i="1"/>
  <c r="N998" i="1"/>
  <c r="L998" i="1"/>
  <c r="M998" i="1"/>
  <c r="F998" i="1"/>
  <c r="D998" i="1"/>
  <c r="AA158" i="1"/>
  <c r="S158" i="1"/>
  <c r="I158" i="1"/>
  <c r="K158" i="1"/>
  <c r="L158" i="1"/>
  <c r="M158" i="1"/>
  <c r="S156" i="1"/>
  <c r="R156" i="1"/>
  <c r="I156" i="1"/>
  <c r="K156" i="1"/>
  <c r="H148" i="1"/>
  <c r="AA149" i="1"/>
  <c r="S149" i="1"/>
  <c r="I149" i="1"/>
  <c r="K149" i="1"/>
  <c r="L149" i="1"/>
  <c r="M149" i="1"/>
  <c r="AA148" i="1"/>
  <c r="S148" i="1"/>
  <c r="R148" i="1"/>
  <c r="I148" i="1"/>
  <c r="K148" i="1"/>
  <c r="N148" i="1"/>
  <c r="L148" i="1"/>
  <c r="M148" i="1"/>
  <c r="F148" i="1"/>
  <c r="D148" i="1"/>
  <c r="G480" i="1"/>
  <c r="G444" i="1"/>
  <c r="B1102" i="1"/>
  <c r="B112" i="1"/>
  <c r="D464" i="1"/>
  <c r="D465" i="1"/>
  <c r="AA450" i="1"/>
  <c r="S450" i="1"/>
  <c r="R450" i="1"/>
  <c r="I450" i="1"/>
  <c r="K450" i="1"/>
  <c r="L450" i="1"/>
  <c r="M450" i="1"/>
  <c r="D450" i="1"/>
  <c r="B641" i="1"/>
  <c r="B642" i="1"/>
  <c r="B631" i="1"/>
  <c r="G593" i="1"/>
  <c r="B375" i="1"/>
  <c r="G1298" i="1"/>
  <c r="G890" i="1"/>
  <c r="G170" i="1"/>
  <c r="G194" i="1"/>
  <c r="AL7" i="2"/>
  <c r="AS7" i="2"/>
  <c r="E7" i="2"/>
  <c r="D7" i="2"/>
  <c r="C7" i="2"/>
  <c r="H803" i="1"/>
  <c r="B40" i="1"/>
  <c r="B39" i="1"/>
  <c r="B38" i="1"/>
  <c r="B37" i="1"/>
  <c r="B578" i="1"/>
  <c r="B580" i="1"/>
  <c r="B581" i="1"/>
  <c r="B582" i="1"/>
  <c r="B554" i="1"/>
  <c r="B482" i="1"/>
  <c r="B481" i="1"/>
  <c r="B719" i="1"/>
  <c r="B716" i="1"/>
  <c r="B717" i="1"/>
  <c r="B718" i="1"/>
  <c r="B594" i="1"/>
  <c r="B596" i="1"/>
  <c r="B595" i="1"/>
  <c r="H593" i="1"/>
  <c r="AA629" i="1"/>
  <c r="S629" i="1"/>
  <c r="I629" i="1"/>
  <c r="K629" i="1"/>
  <c r="L629" i="1"/>
  <c r="M629" i="1"/>
  <c r="B629" i="1"/>
  <c r="AA481" i="1"/>
  <c r="S481" i="1"/>
  <c r="R481" i="1"/>
  <c r="I481" i="1"/>
  <c r="K481" i="1"/>
  <c r="N481" i="1"/>
  <c r="L481" i="1"/>
  <c r="M481" i="1"/>
  <c r="D481" i="1"/>
  <c r="S1100" i="1"/>
  <c r="R1100" i="1"/>
  <c r="I1100" i="1"/>
  <c r="K1100" i="1"/>
  <c r="N1100" i="1"/>
  <c r="L1100" i="1"/>
  <c r="M1100" i="1"/>
  <c r="D1100" i="1"/>
  <c r="B1100" i="1"/>
  <c r="S1099" i="1"/>
  <c r="I1099" i="1"/>
  <c r="K1099" i="1"/>
  <c r="H1099" i="1"/>
  <c r="N1099" i="1"/>
  <c r="G1089" i="1"/>
  <c r="G1093" i="1"/>
  <c r="G1099" i="1"/>
  <c r="L1099" i="1"/>
  <c r="M1099" i="1"/>
  <c r="F1099" i="1"/>
  <c r="D1099" i="1"/>
  <c r="G975" i="1"/>
  <c r="B976" i="1"/>
  <c r="H975" i="1"/>
  <c r="B851" i="1"/>
  <c r="B850" i="1"/>
  <c r="H849" i="1"/>
  <c r="AA850" i="1"/>
  <c r="S850" i="1"/>
  <c r="I850" i="1"/>
  <c r="K850" i="1"/>
  <c r="N850" i="1"/>
  <c r="L850" i="1"/>
  <c r="M850" i="1"/>
  <c r="AA434" i="1"/>
  <c r="S434" i="1"/>
  <c r="R434" i="1"/>
  <c r="I434" i="1"/>
  <c r="K434" i="1"/>
  <c r="N434" i="1"/>
  <c r="L434" i="1"/>
  <c r="M434" i="1"/>
  <c r="D434" i="1"/>
  <c r="B434" i="1"/>
  <c r="B13" i="15"/>
  <c r="E13" i="15"/>
  <c r="F13" i="15"/>
  <c r="B598" i="1"/>
  <c r="H597" i="1"/>
  <c r="AA965" i="1"/>
  <c r="S965" i="1"/>
  <c r="R965" i="1"/>
  <c r="I965" i="1"/>
  <c r="K965" i="1"/>
  <c r="N965" i="1"/>
  <c r="L965" i="1"/>
  <c r="M965" i="1"/>
  <c r="AA718" i="1"/>
  <c r="S718" i="1"/>
  <c r="I718" i="1"/>
  <c r="K718" i="1"/>
  <c r="L718" i="1"/>
  <c r="M718" i="1"/>
  <c r="AA111" i="1"/>
  <c r="S111" i="1"/>
  <c r="I111" i="1"/>
  <c r="K111" i="1"/>
  <c r="L111" i="1"/>
  <c r="M111" i="1"/>
  <c r="B111" i="1"/>
  <c r="B176" i="1"/>
  <c r="S176" i="1"/>
  <c r="I176" i="1"/>
  <c r="K176" i="1"/>
  <c r="L176" i="1"/>
  <c r="M176" i="1"/>
  <c r="R176" i="1"/>
  <c r="AA176" i="1"/>
  <c r="B177" i="1"/>
  <c r="S177" i="1"/>
  <c r="I177" i="1"/>
  <c r="K177" i="1"/>
  <c r="L177" i="1"/>
  <c r="M177" i="1"/>
  <c r="R177" i="1"/>
  <c r="AA177" i="1"/>
  <c r="Z1" i="2"/>
  <c r="AA596" i="1"/>
  <c r="S596" i="1"/>
  <c r="I596" i="1"/>
  <c r="K596" i="1"/>
  <c r="L596" i="1"/>
  <c r="M596" i="1"/>
  <c r="AA595" i="1"/>
  <c r="S595" i="1"/>
  <c r="I595" i="1"/>
  <c r="K595" i="1"/>
  <c r="L595" i="1"/>
  <c r="M595" i="1"/>
  <c r="AA594" i="1"/>
  <c r="S594" i="1"/>
  <c r="I594" i="1"/>
  <c r="K594" i="1"/>
  <c r="L594" i="1"/>
  <c r="M594" i="1"/>
  <c r="AA593" i="1"/>
  <c r="S593" i="1"/>
  <c r="R593" i="1"/>
  <c r="I593" i="1"/>
  <c r="K593" i="1"/>
  <c r="N593" i="1"/>
  <c r="L593" i="1"/>
  <c r="M593" i="1"/>
  <c r="F593" i="1"/>
  <c r="D593" i="1"/>
  <c r="H26" i="16"/>
  <c r="K26" i="16"/>
  <c r="L26" i="16"/>
  <c r="B22" i="16"/>
  <c r="E22" i="16"/>
  <c r="F22" i="16"/>
  <c r="B1240" i="1"/>
  <c r="G359" i="1"/>
  <c r="G474" i="1"/>
  <c r="G683" i="1"/>
  <c r="G689" i="1"/>
  <c r="G691" i="1"/>
  <c r="G696" i="1"/>
  <c r="G698" i="1"/>
  <c r="G702" i="1"/>
  <c r="G715" i="1"/>
  <c r="G722" i="1"/>
  <c r="G727" i="1"/>
  <c r="G729" i="1"/>
  <c r="G732" i="1"/>
  <c r="G686" i="1"/>
  <c r="G681" i="1"/>
  <c r="B408" i="1"/>
  <c r="B409" i="1"/>
  <c r="H407" i="1"/>
  <c r="B471" i="1"/>
  <c r="B1112" i="1"/>
  <c r="B848" i="1"/>
  <c r="B846" i="1"/>
  <c r="B189" i="1"/>
  <c r="G553" i="1"/>
  <c r="G555" i="1"/>
  <c r="G1109" i="1"/>
  <c r="G1107" i="1"/>
  <c r="S1190" i="1"/>
  <c r="R1190" i="1"/>
  <c r="I1190" i="1"/>
  <c r="K1190" i="1"/>
  <c r="N1190" i="1"/>
  <c r="L1190" i="1"/>
  <c r="M1190" i="1"/>
  <c r="D1190" i="1"/>
  <c r="S1189" i="1"/>
  <c r="I1189" i="1"/>
  <c r="K1189" i="1"/>
  <c r="N1189" i="1"/>
  <c r="G1189" i="1"/>
  <c r="L1189" i="1"/>
  <c r="M1189" i="1"/>
  <c r="F1189" i="1"/>
  <c r="D1189" i="1"/>
  <c r="S1182" i="1"/>
  <c r="I1182" i="1"/>
  <c r="K1182" i="1"/>
  <c r="S1183" i="1"/>
  <c r="I1183" i="1"/>
  <c r="K1183" i="1"/>
  <c r="S1184" i="1"/>
  <c r="I1184" i="1"/>
  <c r="K1184" i="1"/>
  <c r="S1185" i="1"/>
  <c r="I1185" i="1"/>
  <c r="K1185" i="1"/>
  <c r="S1186" i="1"/>
  <c r="I1186" i="1"/>
  <c r="K1186" i="1"/>
  <c r="S1187" i="1"/>
  <c r="I1187" i="1"/>
  <c r="K1187" i="1"/>
  <c r="B1261" i="1"/>
  <c r="B1245" i="1"/>
  <c r="H630" i="1"/>
  <c r="AA631" i="1"/>
  <c r="S631" i="1"/>
  <c r="I631" i="1"/>
  <c r="K631" i="1"/>
  <c r="L631" i="1"/>
  <c r="M631" i="1"/>
  <c r="AA630" i="1"/>
  <c r="S630" i="1"/>
  <c r="R630" i="1"/>
  <c r="I630" i="1"/>
  <c r="K630" i="1"/>
  <c r="N630" i="1"/>
  <c r="G618" i="1"/>
  <c r="G625" i="1"/>
  <c r="G630" i="1"/>
  <c r="L630" i="1"/>
  <c r="M630" i="1"/>
  <c r="F630" i="1"/>
  <c r="D630" i="1"/>
  <c r="AA637" i="1"/>
  <c r="S637" i="1"/>
  <c r="I637" i="1"/>
  <c r="K637" i="1"/>
  <c r="L637" i="1"/>
  <c r="M637" i="1"/>
  <c r="B637" i="1"/>
  <c r="AA475" i="1"/>
  <c r="S475" i="1"/>
  <c r="R475" i="1"/>
  <c r="I475" i="1"/>
  <c r="K475" i="1"/>
  <c r="N475" i="1"/>
  <c r="L475" i="1"/>
  <c r="M475" i="1"/>
  <c r="D475" i="1"/>
  <c r="B475" i="1"/>
  <c r="H474" i="1"/>
  <c r="AA474" i="1"/>
  <c r="S474" i="1"/>
  <c r="R474" i="1"/>
  <c r="I474" i="1"/>
  <c r="K474" i="1"/>
  <c r="N474" i="1"/>
  <c r="L474" i="1"/>
  <c r="M474" i="1"/>
  <c r="F474" i="1"/>
  <c r="D474" i="1"/>
  <c r="AA477" i="1"/>
  <c r="S477" i="1"/>
  <c r="R477" i="1"/>
  <c r="I477" i="1"/>
  <c r="K477" i="1"/>
  <c r="N477" i="1"/>
  <c r="L477" i="1"/>
  <c r="M477" i="1"/>
  <c r="D477" i="1"/>
  <c r="B477" i="1"/>
  <c r="H476" i="1"/>
  <c r="AA476" i="1"/>
  <c r="S476" i="1"/>
  <c r="R476" i="1"/>
  <c r="I476" i="1"/>
  <c r="K476" i="1"/>
  <c r="N476" i="1"/>
  <c r="G476" i="1"/>
  <c r="L476" i="1"/>
  <c r="M476" i="1"/>
  <c r="F476" i="1"/>
  <c r="D476" i="1"/>
  <c r="AA409" i="1"/>
  <c r="AA201" i="1"/>
  <c r="S201" i="1"/>
  <c r="R201" i="1"/>
  <c r="I201" i="1"/>
  <c r="K201" i="1"/>
  <c r="N201" i="1"/>
  <c r="L201" i="1"/>
  <c r="M201" i="1"/>
  <c r="D201" i="1"/>
  <c r="B201" i="1"/>
  <c r="H200" i="1"/>
  <c r="AA200" i="1"/>
  <c r="S200" i="1"/>
  <c r="R200" i="1"/>
  <c r="I200" i="1"/>
  <c r="K200" i="1"/>
  <c r="N200" i="1"/>
  <c r="L200" i="1"/>
  <c r="M200" i="1"/>
  <c r="F200" i="1"/>
  <c r="D200" i="1"/>
  <c r="AA682" i="1"/>
  <c r="S682" i="1"/>
  <c r="R682" i="1"/>
  <c r="I682" i="1"/>
  <c r="K682" i="1"/>
  <c r="N682" i="1"/>
  <c r="L682" i="1"/>
  <c r="M682" i="1"/>
  <c r="D682" i="1"/>
  <c r="B682" i="1"/>
  <c r="H681" i="1"/>
  <c r="AA681" i="1"/>
  <c r="S681" i="1"/>
  <c r="R681" i="1"/>
  <c r="I681" i="1"/>
  <c r="K681" i="1"/>
  <c r="N681" i="1"/>
  <c r="L681" i="1"/>
  <c r="M681" i="1"/>
  <c r="F681" i="1"/>
  <c r="D681" i="1"/>
  <c r="AA854" i="1"/>
  <c r="S854" i="1"/>
  <c r="I854" i="1"/>
  <c r="K854" i="1"/>
  <c r="N854" i="1"/>
  <c r="L854" i="1"/>
  <c r="M854" i="1"/>
  <c r="B854" i="1"/>
  <c r="H777" i="1"/>
  <c r="G319" i="1"/>
  <c r="G327" i="1"/>
  <c r="B72" i="1"/>
  <c r="AA288" i="1"/>
  <c r="S288" i="1"/>
  <c r="I288" i="1"/>
  <c r="K288" i="1"/>
  <c r="N288" i="1"/>
  <c r="L288" i="1"/>
  <c r="M288" i="1"/>
  <c r="B288" i="1"/>
  <c r="AA687" i="1"/>
  <c r="S687" i="1"/>
  <c r="R687" i="1"/>
  <c r="I687" i="1"/>
  <c r="K687" i="1"/>
  <c r="N687" i="1"/>
  <c r="L687" i="1"/>
  <c r="M687" i="1"/>
  <c r="D687" i="1"/>
  <c r="B314" i="1"/>
  <c r="B313" i="1"/>
  <c r="B315" i="1"/>
  <c r="X253" i="1"/>
  <c r="AA778" i="1"/>
  <c r="S778" i="1"/>
  <c r="R778" i="1"/>
  <c r="I778" i="1"/>
  <c r="K778" i="1"/>
  <c r="N778" i="1"/>
  <c r="L778" i="1"/>
  <c r="M778" i="1"/>
  <c r="D778" i="1"/>
  <c r="AA777" i="1"/>
  <c r="S777" i="1"/>
  <c r="Q777" i="1"/>
  <c r="R777" i="1"/>
  <c r="I777" i="1"/>
  <c r="K777" i="1"/>
  <c r="N777" i="1"/>
  <c r="L777" i="1"/>
  <c r="M777" i="1"/>
  <c r="F777" i="1"/>
  <c r="D777" i="1"/>
  <c r="AA556" i="1"/>
  <c r="S556" i="1"/>
  <c r="R556" i="1"/>
  <c r="I556" i="1"/>
  <c r="K556" i="1"/>
  <c r="N556" i="1"/>
  <c r="L556" i="1"/>
  <c r="M556" i="1"/>
  <c r="D556" i="1"/>
  <c r="B556" i="1"/>
  <c r="H555" i="1"/>
  <c r="AA555" i="1"/>
  <c r="S555" i="1"/>
  <c r="R555" i="1"/>
  <c r="I555" i="1"/>
  <c r="K555" i="1"/>
  <c r="N555" i="1"/>
  <c r="L555" i="1"/>
  <c r="M555" i="1"/>
  <c r="F555" i="1"/>
  <c r="D555" i="1"/>
  <c r="B874" i="1"/>
  <c r="B868" i="1"/>
  <c r="AA360" i="1"/>
  <c r="S360" i="1"/>
  <c r="R360" i="1"/>
  <c r="I360" i="1"/>
  <c r="K360" i="1"/>
  <c r="N360" i="1"/>
  <c r="L360" i="1"/>
  <c r="M360" i="1"/>
  <c r="D360" i="1"/>
  <c r="AA359" i="1"/>
  <c r="S359" i="1"/>
  <c r="R359" i="1"/>
  <c r="I359" i="1"/>
  <c r="K359" i="1"/>
  <c r="N359" i="1"/>
  <c r="L359" i="1"/>
  <c r="M359" i="1"/>
  <c r="F359" i="1"/>
  <c r="D359" i="1"/>
  <c r="G937" i="1"/>
  <c r="G1213" i="1"/>
  <c r="B391" i="1"/>
  <c r="H1239" i="1"/>
  <c r="B1092" i="1"/>
  <c r="B203" i="1"/>
  <c r="B910" i="1"/>
  <c r="B1090" i="1"/>
  <c r="B1269" i="1"/>
  <c r="H1268" i="1"/>
  <c r="AA1267" i="1"/>
  <c r="S1267" i="1"/>
  <c r="R1267" i="1"/>
  <c r="I1267" i="1"/>
  <c r="K1267" i="1"/>
  <c r="N1267" i="1"/>
  <c r="L1267" i="1"/>
  <c r="M1267" i="1"/>
  <c r="D1267" i="1"/>
  <c r="B1267" i="1"/>
  <c r="H1266" i="1"/>
  <c r="AA1266" i="1"/>
  <c r="S1266" i="1"/>
  <c r="I1266" i="1"/>
  <c r="K1266" i="1"/>
  <c r="N1266" i="1"/>
  <c r="G1246" i="1"/>
  <c r="G1248" i="1"/>
  <c r="G1250" i="1"/>
  <c r="G1258" i="1"/>
  <c r="G1262" i="1"/>
  <c r="G1266" i="1"/>
  <c r="L1266" i="1"/>
  <c r="M1266" i="1"/>
  <c r="F1266" i="1"/>
  <c r="D1266" i="1"/>
  <c r="G84" i="1"/>
  <c r="B411" i="1"/>
  <c r="B412" i="1"/>
  <c r="B413" i="1"/>
  <c r="B414" i="1"/>
  <c r="B415" i="1"/>
  <c r="B416" i="1"/>
  <c r="B417" i="1"/>
  <c r="B530" i="1"/>
  <c r="B983" i="1"/>
  <c r="B742" i="1"/>
  <c r="B743" i="1"/>
  <c r="B1278" i="1"/>
  <c r="G1087" i="1"/>
  <c r="B710" i="1"/>
  <c r="B712" i="1"/>
  <c r="B714" i="1"/>
  <c r="G907" i="1"/>
  <c r="G873" i="1"/>
  <c r="G869" i="1"/>
  <c r="G331" i="1"/>
  <c r="B762" i="1"/>
  <c r="B747" i="1"/>
  <c r="B695" i="1"/>
  <c r="B763" i="1"/>
  <c r="B764" i="1"/>
  <c r="B765" i="1"/>
  <c r="B766" i="1"/>
  <c r="B767" i="1"/>
  <c r="B768" i="1"/>
  <c r="B769" i="1"/>
  <c r="H694" i="1"/>
  <c r="AA747" i="1"/>
  <c r="S747" i="1"/>
  <c r="I747" i="1"/>
  <c r="K747" i="1"/>
  <c r="L747" i="1"/>
  <c r="M747" i="1"/>
  <c r="F747" i="1"/>
  <c r="H746" i="1"/>
  <c r="AA746" i="1"/>
  <c r="S746" i="1"/>
  <c r="R746" i="1"/>
  <c r="I746" i="1"/>
  <c r="K746" i="1"/>
  <c r="N746" i="1"/>
  <c r="G746" i="1"/>
  <c r="L746" i="1"/>
  <c r="M746" i="1"/>
  <c r="F746" i="1"/>
  <c r="D746" i="1"/>
  <c r="B860" i="1"/>
  <c r="B264" i="1"/>
  <c r="AA1219" i="1"/>
  <c r="S1219" i="1"/>
  <c r="R1219" i="1"/>
  <c r="I1219" i="1"/>
  <c r="K1219" i="1"/>
  <c r="N1219" i="1"/>
  <c r="L1219" i="1"/>
  <c r="M1219" i="1"/>
  <c r="D1219" i="1"/>
  <c r="B1219" i="1"/>
  <c r="H1218" i="1"/>
  <c r="AA1218" i="1"/>
  <c r="S1218" i="1"/>
  <c r="I1218" i="1"/>
  <c r="K1218" i="1"/>
  <c r="N1218" i="1"/>
  <c r="G1218" i="1"/>
  <c r="L1218" i="1"/>
  <c r="M1218" i="1"/>
  <c r="F1218" i="1"/>
  <c r="D1218" i="1"/>
  <c r="AA1217" i="1"/>
  <c r="S1217" i="1"/>
  <c r="R1217" i="1"/>
  <c r="I1217" i="1"/>
  <c r="K1217" i="1"/>
  <c r="N1217" i="1"/>
  <c r="L1217" i="1"/>
  <c r="M1217" i="1"/>
  <c r="D1217" i="1"/>
  <c r="B1217" i="1"/>
  <c r="H1216" i="1"/>
  <c r="AA1216" i="1"/>
  <c r="S1216" i="1"/>
  <c r="I1216" i="1"/>
  <c r="K1216" i="1"/>
  <c r="N1216" i="1"/>
  <c r="L1216" i="1"/>
  <c r="M1216" i="1"/>
  <c r="F1216" i="1"/>
  <c r="D1216" i="1"/>
  <c r="H859" i="1"/>
  <c r="AA860" i="1"/>
  <c r="S860" i="1"/>
  <c r="I860" i="1"/>
  <c r="K860" i="1"/>
  <c r="N860" i="1"/>
  <c r="L860" i="1"/>
  <c r="M860" i="1"/>
  <c r="AA859" i="1"/>
  <c r="S859" i="1"/>
  <c r="Q859" i="1"/>
  <c r="R859" i="1"/>
  <c r="I859" i="1"/>
  <c r="K859" i="1"/>
  <c r="N859" i="1"/>
  <c r="L859" i="1"/>
  <c r="M859" i="1"/>
  <c r="F859" i="1"/>
  <c r="D859" i="1"/>
  <c r="AA858" i="1"/>
  <c r="S858" i="1"/>
  <c r="R858" i="1"/>
  <c r="I858" i="1"/>
  <c r="K858" i="1"/>
  <c r="N858" i="1"/>
  <c r="L858" i="1"/>
  <c r="M858" i="1"/>
  <c r="D858" i="1"/>
  <c r="B337" i="1"/>
  <c r="B853" i="1"/>
  <c r="B855" i="1"/>
  <c r="G754" i="1"/>
  <c r="G711" i="1"/>
  <c r="G709" i="1"/>
  <c r="B617" i="1"/>
  <c r="B638" i="1"/>
  <c r="B558" i="1"/>
  <c r="B61" i="1"/>
  <c r="G60" i="1"/>
  <c r="G58" i="1"/>
  <c r="B24" i="1"/>
  <c r="B406" i="1"/>
  <c r="AA408" i="1"/>
  <c r="B223" i="1"/>
  <c r="B224" i="1"/>
  <c r="B226" i="1"/>
  <c r="B227" i="1"/>
  <c r="B147" i="1"/>
  <c r="B260" i="1"/>
  <c r="B1282" i="1"/>
  <c r="B1280" i="1"/>
  <c r="G1135" i="1"/>
  <c r="G1181" i="1"/>
  <c r="G1187" i="1"/>
  <c r="G1185" i="1"/>
  <c r="B955" i="1"/>
  <c r="B667" i="1"/>
  <c r="G632" i="1"/>
  <c r="B592" i="1"/>
  <c r="B515" i="1"/>
  <c r="B514" i="1"/>
  <c r="H513" i="1"/>
  <c r="B505" i="1"/>
  <c r="G1129" i="1"/>
  <c r="S1088" i="1"/>
  <c r="R1088" i="1"/>
  <c r="I1088" i="1"/>
  <c r="K1088" i="1"/>
  <c r="N1088" i="1"/>
  <c r="L1088" i="1"/>
  <c r="M1088" i="1"/>
  <c r="D1088" i="1"/>
  <c r="B1088" i="1"/>
  <c r="S1087" i="1"/>
  <c r="I1087" i="1"/>
  <c r="K1087" i="1"/>
  <c r="H1087" i="1"/>
  <c r="N1087" i="1"/>
  <c r="L1087" i="1"/>
  <c r="M1087" i="1"/>
  <c r="F1087" i="1"/>
  <c r="D1087" i="1"/>
  <c r="H25" i="16"/>
  <c r="K25" i="16"/>
  <c r="L25" i="16"/>
  <c r="B725" i="1"/>
  <c r="B335" i="1"/>
  <c r="G139" i="1"/>
  <c r="G132" i="1"/>
  <c r="G96" i="1"/>
  <c r="H263" i="1"/>
  <c r="AA983" i="1"/>
  <c r="S983" i="1"/>
  <c r="I983" i="1"/>
  <c r="K983" i="1"/>
  <c r="L983" i="1"/>
  <c r="M983" i="1"/>
  <c r="H982" i="1"/>
  <c r="AA982" i="1"/>
  <c r="S982" i="1"/>
  <c r="R982" i="1"/>
  <c r="I982" i="1"/>
  <c r="K982" i="1"/>
  <c r="N982" i="1"/>
  <c r="L982" i="1"/>
  <c r="M982" i="1"/>
  <c r="F982" i="1"/>
  <c r="D982" i="1"/>
  <c r="AA981" i="1"/>
  <c r="S981" i="1"/>
  <c r="R981" i="1"/>
  <c r="I981" i="1"/>
  <c r="K981" i="1"/>
  <c r="N981" i="1"/>
  <c r="L981" i="1"/>
  <c r="M981" i="1"/>
  <c r="D981" i="1"/>
  <c r="H760" i="1"/>
  <c r="AA714" i="1"/>
  <c r="S714" i="1"/>
  <c r="R714" i="1"/>
  <c r="I714" i="1"/>
  <c r="K714" i="1"/>
  <c r="N714" i="1"/>
  <c r="L714" i="1"/>
  <c r="M714" i="1"/>
  <c r="D714" i="1"/>
  <c r="H713" i="1"/>
  <c r="AA713" i="1"/>
  <c r="S713" i="1"/>
  <c r="R713" i="1"/>
  <c r="I713" i="1"/>
  <c r="K713" i="1"/>
  <c r="N713" i="1"/>
  <c r="L713" i="1"/>
  <c r="M713" i="1"/>
  <c r="F713" i="1"/>
  <c r="D713" i="1"/>
  <c r="H867" i="1"/>
  <c r="H873" i="1"/>
  <c r="AA874" i="1"/>
  <c r="S874" i="1"/>
  <c r="I874" i="1"/>
  <c r="K874" i="1"/>
  <c r="N874" i="1"/>
  <c r="L874" i="1"/>
  <c r="M874" i="1"/>
  <c r="AA873" i="1"/>
  <c r="S873" i="1"/>
  <c r="Q873" i="1"/>
  <c r="R873" i="1"/>
  <c r="I873" i="1"/>
  <c r="K873" i="1"/>
  <c r="N873" i="1"/>
  <c r="L873" i="1"/>
  <c r="M873" i="1"/>
  <c r="F873" i="1"/>
  <c r="D873" i="1"/>
  <c r="AA554" i="1"/>
  <c r="S554" i="1"/>
  <c r="R554" i="1"/>
  <c r="I554" i="1"/>
  <c r="K554" i="1"/>
  <c r="N554" i="1"/>
  <c r="L554" i="1"/>
  <c r="M554" i="1"/>
  <c r="D554" i="1"/>
  <c r="H553" i="1"/>
  <c r="AA553" i="1"/>
  <c r="S553" i="1"/>
  <c r="R553" i="1"/>
  <c r="I553" i="1"/>
  <c r="K553" i="1"/>
  <c r="N553" i="1"/>
  <c r="L553" i="1"/>
  <c r="M553" i="1"/>
  <c r="F553" i="1"/>
  <c r="D553" i="1"/>
  <c r="H616" i="1"/>
  <c r="AA633" i="1"/>
  <c r="S633" i="1"/>
  <c r="I633" i="1"/>
  <c r="K633" i="1"/>
  <c r="L633" i="1"/>
  <c r="M633" i="1"/>
  <c r="B633" i="1"/>
  <c r="H632" i="1"/>
  <c r="AA632" i="1"/>
  <c r="S632" i="1"/>
  <c r="R632" i="1"/>
  <c r="I632" i="1"/>
  <c r="K632" i="1"/>
  <c r="N632" i="1"/>
  <c r="L632" i="1"/>
  <c r="M632" i="1"/>
  <c r="F632" i="1"/>
  <c r="D632" i="1"/>
  <c r="AA617" i="1"/>
  <c r="S617" i="1"/>
  <c r="I617" i="1"/>
  <c r="K617" i="1"/>
  <c r="L617" i="1"/>
  <c r="M617" i="1"/>
  <c r="AA616" i="1"/>
  <c r="S616" i="1"/>
  <c r="R616" i="1"/>
  <c r="I616" i="1"/>
  <c r="K616" i="1"/>
  <c r="N616" i="1"/>
  <c r="L616" i="1"/>
  <c r="M616" i="1"/>
  <c r="F616" i="1"/>
  <c r="D616" i="1"/>
  <c r="H336" i="1"/>
  <c r="B334" i="1"/>
  <c r="H333" i="1"/>
  <c r="AA334" i="1"/>
  <c r="S334" i="1"/>
  <c r="R334" i="1"/>
  <c r="K334" i="1"/>
  <c r="N334" i="1"/>
  <c r="L334" i="1"/>
  <c r="M334" i="1"/>
  <c r="D334" i="1"/>
  <c r="AA195" i="1"/>
  <c r="S195" i="1"/>
  <c r="R195" i="1"/>
  <c r="I195" i="1"/>
  <c r="K195" i="1"/>
  <c r="N195" i="1"/>
  <c r="L195" i="1"/>
  <c r="M195" i="1"/>
  <c r="D195" i="1"/>
  <c r="B195" i="1"/>
  <c r="H194" i="1"/>
  <c r="AA194" i="1"/>
  <c r="S194" i="1"/>
  <c r="R194" i="1"/>
  <c r="I194" i="1"/>
  <c r="K194" i="1"/>
  <c r="N194" i="1"/>
  <c r="L194" i="1"/>
  <c r="M194" i="1"/>
  <c r="F194" i="1"/>
  <c r="D194" i="1"/>
  <c r="AA958" i="1"/>
  <c r="S958" i="1"/>
  <c r="I958" i="1"/>
  <c r="K958" i="1"/>
  <c r="N958" i="1"/>
  <c r="L958" i="1"/>
  <c r="M958" i="1"/>
  <c r="D958" i="1"/>
  <c r="B958" i="1"/>
  <c r="AA855" i="1"/>
  <c r="S855" i="1"/>
  <c r="I855" i="1"/>
  <c r="K855" i="1"/>
  <c r="N855" i="1"/>
  <c r="L855" i="1"/>
  <c r="M855" i="1"/>
  <c r="AA853" i="1"/>
  <c r="S853" i="1"/>
  <c r="I853" i="1"/>
  <c r="K853" i="1"/>
  <c r="N853" i="1"/>
  <c r="L853" i="1"/>
  <c r="M853" i="1"/>
  <c r="S852" i="1"/>
  <c r="Q852" i="1"/>
  <c r="R852" i="1"/>
  <c r="I852" i="1"/>
  <c r="K852" i="1"/>
  <c r="G852" i="1"/>
  <c r="AA851" i="1"/>
  <c r="S851" i="1"/>
  <c r="I851" i="1"/>
  <c r="K851" i="1"/>
  <c r="N851" i="1"/>
  <c r="L851" i="1"/>
  <c r="M851" i="1"/>
  <c r="AA849" i="1"/>
  <c r="S849" i="1"/>
  <c r="Q849" i="1"/>
  <c r="R849" i="1"/>
  <c r="I849" i="1"/>
  <c r="K849" i="1"/>
  <c r="N849" i="1"/>
  <c r="G849" i="1"/>
  <c r="L849" i="1"/>
  <c r="M849" i="1"/>
  <c r="F849" i="1"/>
  <c r="D849" i="1"/>
  <c r="AA848" i="1"/>
  <c r="S848" i="1"/>
  <c r="I848" i="1"/>
  <c r="K848" i="1"/>
  <c r="N848" i="1"/>
  <c r="L848" i="1"/>
  <c r="M848" i="1"/>
  <c r="AA846" i="1"/>
  <c r="S846" i="1"/>
  <c r="I846" i="1"/>
  <c r="K846" i="1"/>
  <c r="N846" i="1"/>
  <c r="L846" i="1"/>
  <c r="M846" i="1"/>
  <c r="S845" i="1"/>
  <c r="Q845" i="1"/>
  <c r="R845" i="1"/>
  <c r="I845" i="1"/>
  <c r="K845" i="1"/>
  <c r="AA844" i="1"/>
  <c r="S844" i="1"/>
  <c r="R844" i="1"/>
  <c r="I844" i="1"/>
  <c r="K844" i="1"/>
  <c r="N844" i="1"/>
  <c r="L844" i="1"/>
  <c r="M844" i="1"/>
  <c r="D844" i="1"/>
  <c r="AA717" i="1"/>
  <c r="S717" i="1"/>
  <c r="I717" i="1"/>
  <c r="K717" i="1"/>
  <c r="L717" i="1"/>
  <c r="M717" i="1"/>
  <c r="AA712" i="1"/>
  <c r="S712" i="1"/>
  <c r="R712" i="1"/>
  <c r="I712" i="1"/>
  <c r="K712" i="1"/>
  <c r="N712" i="1"/>
  <c r="L712" i="1"/>
  <c r="M712" i="1"/>
  <c r="D712" i="1"/>
  <c r="H711" i="1"/>
  <c r="AA711" i="1"/>
  <c r="S711" i="1"/>
  <c r="R711" i="1"/>
  <c r="I711" i="1"/>
  <c r="K711" i="1"/>
  <c r="N711" i="1"/>
  <c r="L711" i="1"/>
  <c r="M711" i="1"/>
  <c r="F711" i="1"/>
  <c r="D711" i="1"/>
  <c r="AA514" i="1"/>
  <c r="S514" i="1"/>
  <c r="R514" i="1"/>
  <c r="I514" i="1"/>
  <c r="K514" i="1"/>
  <c r="N514" i="1"/>
  <c r="L514" i="1"/>
  <c r="M514" i="1"/>
  <c r="D514" i="1"/>
  <c r="AA705" i="1"/>
  <c r="S705" i="1"/>
  <c r="I705" i="1"/>
  <c r="K705" i="1"/>
  <c r="L705" i="1"/>
  <c r="M705" i="1"/>
  <c r="B705" i="1"/>
  <c r="AA761" i="1"/>
  <c r="S761" i="1"/>
  <c r="I761" i="1"/>
  <c r="K761" i="1"/>
  <c r="L761" i="1"/>
  <c r="M761" i="1"/>
  <c r="F761" i="1"/>
  <c r="B761" i="1"/>
  <c r="D725" i="1"/>
  <c r="S725" i="1"/>
  <c r="I725" i="1"/>
  <c r="K725" i="1"/>
  <c r="L725" i="1"/>
  <c r="M725" i="1"/>
  <c r="N725" i="1"/>
  <c r="R725" i="1"/>
  <c r="AA725" i="1"/>
  <c r="AA762" i="1"/>
  <c r="S762" i="1"/>
  <c r="I762" i="1"/>
  <c r="K762" i="1"/>
  <c r="L762" i="1"/>
  <c r="M762" i="1"/>
  <c r="F762" i="1"/>
  <c r="AA760" i="1"/>
  <c r="S760" i="1"/>
  <c r="R760" i="1"/>
  <c r="I760" i="1"/>
  <c r="K760" i="1"/>
  <c r="N760" i="1"/>
  <c r="G760" i="1"/>
  <c r="L760" i="1"/>
  <c r="M760" i="1"/>
  <c r="F760" i="1"/>
  <c r="D760" i="1"/>
  <c r="H709" i="1"/>
  <c r="AA708" i="1"/>
  <c r="S708" i="1"/>
  <c r="R708" i="1"/>
  <c r="I708" i="1"/>
  <c r="K708" i="1"/>
  <c r="N708" i="1"/>
  <c r="L708" i="1"/>
  <c r="M708" i="1"/>
  <c r="D708" i="1"/>
  <c r="B708" i="1"/>
  <c r="H707" i="1"/>
  <c r="AA707" i="1"/>
  <c r="S707" i="1"/>
  <c r="R707" i="1"/>
  <c r="I707" i="1"/>
  <c r="K707" i="1"/>
  <c r="N707" i="1"/>
  <c r="L707" i="1"/>
  <c r="M707" i="1"/>
  <c r="F707" i="1"/>
  <c r="D707" i="1"/>
  <c r="AA710" i="1"/>
  <c r="S710" i="1"/>
  <c r="R710" i="1"/>
  <c r="I710" i="1"/>
  <c r="K710" i="1"/>
  <c r="N710" i="1"/>
  <c r="L710" i="1"/>
  <c r="M710" i="1"/>
  <c r="D710" i="1"/>
  <c r="AA709" i="1"/>
  <c r="S709" i="1"/>
  <c r="R709" i="1"/>
  <c r="I709" i="1"/>
  <c r="K709" i="1"/>
  <c r="N709" i="1"/>
  <c r="L709" i="1"/>
  <c r="M709" i="1"/>
  <c r="F709" i="1"/>
  <c r="D709" i="1"/>
  <c r="V253" i="1"/>
  <c r="B138" i="1"/>
  <c r="AA908" i="1"/>
  <c r="S908" i="1"/>
  <c r="I908" i="1"/>
  <c r="K908" i="1"/>
  <c r="L908" i="1"/>
  <c r="M908" i="1"/>
  <c r="B908" i="1"/>
  <c r="H907" i="1"/>
  <c r="AA907" i="1"/>
  <c r="S907" i="1"/>
  <c r="R907" i="1"/>
  <c r="I907" i="1"/>
  <c r="K907" i="1"/>
  <c r="N907" i="1"/>
  <c r="G899" i="1"/>
  <c r="L907" i="1"/>
  <c r="M907" i="1"/>
  <c r="F907" i="1"/>
  <c r="D907" i="1"/>
  <c r="AA978" i="1"/>
  <c r="S978" i="1"/>
  <c r="I978" i="1"/>
  <c r="K978" i="1"/>
  <c r="L978" i="1"/>
  <c r="M978" i="1"/>
  <c r="B978" i="1"/>
  <c r="H977" i="1"/>
  <c r="AA977" i="1"/>
  <c r="S977" i="1"/>
  <c r="R977" i="1"/>
  <c r="I977" i="1"/>
  <c r="K977" i="1"/>
  <c r="N977" i="1"/>
  <c r="L977" i="1"/>
  <c r="M977" i="1"/>
  <c r="F977" i="1"/>
  <c r="D977" i="1"/>
  <c r="G257" i="1"/>
  <c r="B59" i="1"/>
  <c r="H60" i="1"/>
  <c r="AA59" i="1"/>
  <c r="S59" i="1"/>
  <c r="I59" i="1"/>
  <c r="K59" i="1"/>
  <c r="L59" i="1"/>
  <c r="M59" i="1"/>
  <c r="H58" i="1"/>
  <c r="AA58" i="1"/>
  <c r="S58" i="1"/>
  <c r="R58" i="1"/>
  <c r="I58" i="1"/>
  <c r="K58" i="1"/>
  <c r="N58" i="1"/>
  <c r="L58" i="1"/>
  <c r="M58" i="1"/>
  <c r="F58" i="1"/>
  <c r="D58" i="1"/>
  <c r="B552" i="1"/>
  <c r="G101" i="1"/>
  <c r="G98" i="1"/>
  <c r="S1130" i="1"/>
  <c r="R1130" i="1"/>
  <c r="I1130" i="1"/>
  <c r="K1130" i="1"/>
  <c r="N1130" i="1"/>
  <c r="L1130" i="1"/>
  <c r="M1130" i="1"/>
  <c r="D1130" i="1"/>
  <c r="B1130" i="1"/>
  <c r="S1129" i="1"/>
  <c r="I1129" i="1"/>
  <c r="K1129" i="1"/>
  <c r="H1129" i="1"/>
  <c r="N1129" i="1"/>
  <c r="L1129" i="1"/>
  <c r="M1129" i="1"/>
  <c r="F1129" i="1"/>
  <c r="D1129" i="1"/>
  <c r="S1188" i="1"/>
  <c r="R1188" i="1"/>
  <c r="I1188" i="1"/>
  <c r="K1188" i="1"/>
  <c r="N1188" i="1"/>
  <c r="L1188" i="1"/>
  <c r="M1188" i="1"/>
  <c r="D1188" i="1"/>
  <c r="B1188" i="1"/>
  <c r="H1187" i="1"/>
  <c r="N1187" i="1"/>
  <c r="L1187" i="1"/>
  <c r="M1187" i="1"/>
  <c r="F1187" i="1"/>
  <c r="D1187" i="1"/>
  <c r="B498" i="1"/>
  <c r="B499" i="1"/>
  <c r="B500" i="1"/>
  <c r="G333" i="1"/>
  <c r="B891" i="1"/>
  <c r="B885" i="1"/>
  <c r="B887" i="1"/>
  <c r="G472" i="1"/>
  <c r="R1186" i="1"/>
  <c r="N1186" i="1"/>
  <c r="L1186" i="1"/>
  <c r="M1186" i="1"/>
  <c r="D1186" i="1"/>
  <c r="B1186" i="1"/>
  <c r="H1185" i="1"/>
  <c r="N1185" i="1"/>
  <c r="L1185" i="1"/>
  <c r="M1185" i="1"/>
  <c r="F1185" i="1"/>
  <c r="D1185" i="1"/>
  <c r="B24" i="16"/>
  <c r="E24" i="16"/>
  <c r="F24" i="16"/>
  <c r="AA137" i="1"/>
  <c r="S137" i="1"/>
  <c r="R137" i="1"/>
  <c r="I137" i="1"/>
  <c r="K137" i="1"/>
  <c r="L137" i="1"/>
  <c r="M137" i="1"/>
  <c r="D137" i="1"/>
  <c r="B137" i="1"/>
  <c r="G942" i="1"/>
  <c r="G564" i="1"/>
  <c r="B479" i="1"/>
  <c r="B388" i="1"/>
  <c r="B389" i="1"/>
  <c r="AA471" i="1"/>
  <c r="S471" i="1"/>
  <c r="R471" i="1"/>
  <c r="I471" i="1"/>
  <c r="K471" i="1"/>
  <c r="N471" i="1"/>
  <c r="L471" i="1"/>
  <c r="M471" i="1"/>
  <c r="D471" i="1"/>
  <c r="H470" i="1"/>
  <c r="AA470" i="1"/>
  <c r="S470" i="1"/>
  <c r="R470" i="1"/>
  <c r="I470" i="1"/>
  <c r="K470" i="1"/>
  <c r="N470" i="1"/>
  <c r="G489" i="1"/>
  <c r="G491" i="1"/>
  <c r="L470" i="1"/>
  <c r="M470" i="1"/>
  <c r="F470" i="1"/>
  <c r="D470" i="1"/>
  <c r="B726" i="1"/>
  <c r="H599" i="1"/>
  <c r="B393" i="1"/>
  <c r="H392" i="1"/>
  <c r="AA392" i="1"/>
  <c r="B151" i="1"/>
  <c r="H497" i="1"/>
  <c r="B193" i="1"/>
  <c r="AA258" i="1"/>
  <c r="S258" i="1"/>
  <c r="I258" i="1"/>
  <c r="K258" i="1"/>
  <c r="L258" i="1"/>
  <c r="M258" i="1"/>
  <c r="F258" i="1"/>
  <c r="D258" i="1"/>
  <c r="AA257" i="1"/>
  <c r="S257" i="1"/>
  <c r="R257" i="1"/>
  <c r="I257" i="1"/>
  <c r="K257" i="1"/>
  <c r="N257" i="1"/>
  <c r="L257" i="1"/>
  <c r="M257" i="1"/>
  <c r="F257" i="1"/>
  <c r="D257" i="1"/>
  <c r="N1" i="2"/>
  <c r="AA61" i="1"/>
  <c r="S61" i="1"/>
  <c r="I61" i="1"/>
  <c r="K61" i="1"/>
  <c r="L61" i="1"/>
  <c r="M61" i="1"/>
  <c r="AA60" i="1"/>
  <c r="S60" i="1"/>
  <c r="R60" i="1"/>
  <c r="I60" i="1"/>
  <c r="K60" i="1"/>
  <c r="N60" i="1"/>
  <c r="L60" i="1"/>
  <c r="M60" i="1"/>
  <c r="F60" i="1"/>
  <c r="D60" i="1"/>
  <c r="B1184" i="1"/>
  <c r="B1164" i="1"/>
  <c r="B1162" i="1"/>
  <c r="B563" i="1"/>
  <c r="H562" i="1"/>
  <c r="AA601" i="1"/>
  <c r="S601" i="1"/>
  <c r="R601" i="1"/>
  <c r="I601" i="1"/>
  <c r="K601" i="1"/>
  <c r="N601" i="1"/>
  <c r="L601" i="1"/>
  <c r="M601" i="1"/>
  <c r="D601" i="1"/>
  <c r="AA600" i="1"/>
  <c r="S600" i="1"/>
  <c r="R600" i="1"/>
  <c r="I600" i="1"/>
  <c r="K600" i="1"/>
  <c r="N600" i="1"/>
  <c r="L600" i="1"/>
  <c r="M600" i="1"/>
  <c r="AA599" i="1"/>
  <c r="S599" i="1"/>
  <c r="R599" i="1"/>
  <c r="I599" i="1"/>
  <c r="K599" i="1"/>
  <c r="N599" i="1"/>
  <c r="L599" i="1"/>
  <c r="M599" i="1"/>
  <c r="F599" i="1"/>
  <c r="D599" i="1"/>
  <c r="H1319" i="1"/>
  <c r="AA1320" i="1"/>
  <c r="S1320" i="1"/>
  <c r="R1320" i="1"/>
  <c r="I1320" i="1"/>
  <c r="K1320" i="1"/>
  <c r="N1320" i="1"/>
  <c r="L1320" i="1"/>
  <c r="M1320" i="1"/>
  <c r="D1320" i="1"/>
  <c r="AA1319" i="1"/>
  <c r="S1319" i="1"/>
  <c r="I1319" i="1"/>
  <c r="K1319" i="1"/>
  <c r="N1319" i="1"/>
  <c r="G1281" i="1"/>
  <c r="L1319" i="1"/>
  <c r="M1319" i="1"/>
  <c r="F1319" i="1"/>
  <c r="D1319" i="1"/>
  <c r="B85" i="1"/>
  <c r="AA393" i="1"/>
  <c r="S392" i="1"/>
  <c r="I392" i="1"/>
  <c r="K392" i="1"/>
  <c r="N392" i="1"/>
  <c r="G392" i="1"/>
  <c r="L392" i="1"/>
  <c r="M392" i="1"/>
  <c r="F392" i="1"/>
  <c r="D392" i="1"/>
  <c r="B551" i="1"/>
  <c r="X62" i="1"/>
  <c r="Y62" i="1"/>
  <c r="W62" i="1"/>
  <c r="B759" i="1"/>
  <c r="B755" i="1"/>
  <c r="B756" i="1"/>
  <c r="B757" i="1"/>
  <c r="B758" i="1"/>
  <c r="AA758" i="1"/>
  <c r="S758" i="1"/>
  <c r="I758" i="1"/>
  <c r="K758" i="1"/>
  <c r="L758" i="1"/>
  <c r="M758" i="1"/>
  <c r="N20" i="17"/>
  <c r="Q20" i="17"/>
  <c r="R20" i="17"/>
  <c r="B25" i="16"/>
  <c r="E25" i="16"/>
  <c r="F25" i="16"/>
  <c r="K18" i="10"/>
  <c r="J18" i="10"/>
  <c r="J19" i="10"/>
  <c r="J20" i="10"/>
  <c r="B938" i="1"/>
  <c r="B939" i="1"/>
  <c r="B940" i="1"/>
  <c r="B941" i="1"/>
  <c r="AA940" i="1"/>
  <c r="S940" i="1"/>
  <c r="R940" i="1"/>
  <c r="I940" i="1"/>
  <c r="K940" i="1"/>
  <c r="N940" i="1"/>
  <c r="L940" i="1"/>
  <c r="M940" i="1"/>
  <c r="B952" i="1"/>
  <c r="B953" i="1"/>
  <c r="B954" i="1"/>
  <c r="B956" i="1"/>
  <c r="B957" i="1"/>
  <c r="AA314" i="1"/>
  <c r="S314" i="1"/>
  <c r="R314" i="1"/>
  <c r="I314" i="1"/>
  <c r="K314" i="1"/>
  <c r="N314" i="1"/>
  <c r="L314" i="1"/>
  <c r="M314" i="1"/>
  <c r="AA677" i="1"/>
  <c r="S677" i="1"/>
  <c r="R677" i="1"/>
  <c r="I677" i="1"/>
  <c r="K677" i="1"/>
  <c r="N677" i="1"/>
  <c r="L677" i="1"/>
  <c r="M677" i="1"/>
  <c r="D677" i="1"/>
  <c r="AA551" i="1"/>
  <c r="S551" i="1"/>
  <c r="R551" i="1"/>
  <c r="I551" i="1"/>
  <c r="K551" i="1"/>
  <c r="N551" i="1"/>
  <c r="L551" i="1"/>
  <c r="M551" i="1"/>
  <c r="D551" i="1"/>
  <c r="S868" i="1"/>
  <c r="I868" i="1"/>
  <c r="K868" i="1"/>
  <c r="N868" i="1"/>
  <c r="L868" i="1"/>
  <c r="M868" i="1"/>
  <c r="B875" i="1"/>
  <c r="B876" i="1"/>
  <c r="B877" i="1"/>
  <c r="AA192" i="1"/>
  <c r="S192" i="1"/>
  <c r="R192" i="1"/>
  <c r="I192" i="1"/>
  <c r="K192" i="1"/>
  <c r="N192" i="1"/>
  <c r="L192" i="1"/>
  <c r="M192" i="1"/>
  <c r="D192" i="1"/>
  <c r="B192" i="1"/>
  <c r="AA151" i="1"/>
  <c r="S151" i="1"/>
  <c r="I151" i="1"/>
  <c r="K151" i="1"/>
  <c r="L151" i="1"/>
  <c r="M151" i="1"/>
  <c r="H150" i="1"/>
  <c r="AA150" i="1"/>
  <c r="S150" i="1"/>
  <c r="R150" i="1"/>
  <c r="I150" i="1"/>
  <c r="K150" i="1"/>
  <c r="N150" i="1"/>
  <c r="G150" i="1"/>
  <c r="L150" i="1"/>
  <c r="M150" i="1"/>
  <c r="F150" i="1"/>
  <c r="D150" i="1"/>
  <c r="AA112" i="1"/>
  <c r="S112" i="1"/>
  <c r="I112" i="1"/>
  <c r="K112" i="1"/>
  <c r="L112" i="1"/>
  <c r="M112" i="1"/>
  <c r="AA110" i="1"/>
  <c r="S110" i="1"/>
  <c r="I110" i="1"/>
  <c r="K110" i="1"/>
  <c r="L110" i="1"/>
  <c r="M110" i="1"/>
  <c r="B110" i="1"/>
  <c r="AA109" i="1"/>
  <c r="S109" i="1"/>
  <c r="I109" i="1"/>
  <c r="K109" i="1"/>
  <c r="L109" i="1"/>
  <c r="M109" i="1"/>
  <c r="B109" i="1"/>
  <c r="AA108" i="1"/>
  <c r="S108" i="1"/>
  <c r="I108" i="1"/>
  <c r="K108" i="1"/>
  <c r="N108" i="1"/>
  <c r="L108" i="1"/>
  <c r="M108" i="1"/>
  <c r="D108" i="1"/>
  <c r="B108" i="1"/>
  <c r="AA107" i="1"/>
  <c r="S107" i="1"/>
  <c r="I107" i="1"/>
  <c r="K107" i="1"/>
  <c r="N107" i="1"/>
  <c r="L107" i="1"/>
  <c r="M107" i="1"/>
  <c r="D107" i="1"/>
  <c r="B107" i="1"/>
  <c r="AA106" i="1"/>
  <c r="S106" i="1"/>
  <c r="I106" i="1"/>
  <c r="K106" i="1"/>
  <c r="N106" i="1"/>
  <c r="L106" i="1"/>
  <c r="M106" i="1"/>
  <c r="D106" i="1"/>
  <c r="B106" i="1"/>
  <c r="AA105" i="1"/>
  <c r="S105" i="1"/>
  <c r="I105" i="1"/>
  <c r="K105" i="1"/>
  <c r="N105" i="1"/>
  <c r="L105" i="1"/>
  <c r="M105" i="1"/>
  <c r="D105" i="1"/>
  <c r="B105" i="1"/>
  <c r="AA104" i="1"/>
  <c r="S104" i="1"/>
  <c r="I104" i="1"/>
  <c r="K104" i="1"/>
  <c r="N104" i="1"/>
  <c r="L104" i="1"/>
  <c r="M104" i="1"/>
  <c r="D104" i="1"/>
  <c r="B104" i="1"/>
  <c r="AA103" i="1"/>
  <c r="S103" i="1"/>
  <c r="I103" i="1"/>
  <c r="K103" i="1"/>
  <c r="N103" i="1"/>
  <c r="L103" i="1"/>
  <c r="M103" i="1"/>
  <c r="D103" i="1"/>
  <c r="B103" i="1"/>
  <c r="AA102" i="1"/>
  <c r="S102" i="1"/>
  <c r="R102" i="1"/>
  <c r="I102" i="1"/>
  <c r="K102" i="1"/>
  <c r="N102" i="1"/>
  <c r="L102" i="1"/>
  <c r="M102" i="1"/>
  <c r="D102" i="1"/>
  <c r="B102" i="1"/>
  <c r="H101" i="1"/>
  <c r="AA101" i="1"/>
  <c r="S101" i="1"/>
  <c r="R101" i="1"/>
  <c r="I101" i="1"/>
  <c r="K101" i="1"/>
  <c r="N101" i="1"/>
  <c r="L101" i="1"/>
  <c r="M101" i="1"/>
  <c r="F101" i="1"/>
  <c r="D101" i="1"/>
  <c r="G1237" i="1"/>
  <c r="G1235" i="1"/>
  <c r="B1233" i="1"/>
  <c r="AA1299" i="1"/>
  <c r="S1299" i="1"/>
  <c r="R1299" i="1"/>
  <c r="I1299" i="1"/>
  <c r="K1299" i="1"/>
  <c r="N1299" i="1"/>
  <c r="L1299" i="1"/>
  <c r="M1299" i="1"/>
  <c r="D1299" i="1"/>
  <c r="H1298" i="1"/>
  <c r="AA1298" i="1"/>
  <c r="S1298" i="1"/>
  <c r="I1298" i="1"/>
  <c r="K1298" i="1"/>
  <c r="N1298" i="1"/>
  <c r="L1298" i="1"/>
  <c r="M1298" i="1"/>
  <c r="F1298" i="1"/>
  <c r="D1298" i="1"/>
  <c r="G1287" i="1"/>
  <c r="G1293" i="1"/>
  <c r="G1295" i="1"/>
  <c r="G365" i="1"/>
  <c r="AA366" i="1"/>
  <c r="S366" i="1"/>
  <c r="R366" i="1"/>
  <c r="I366" i="1"/>
  <c r="K366" i="1"/>
  <c r="N366" i="1"/>
  <c r="L366" i="1"/>
  <c r="M366" i="1"/>
  <c r="D366" i="1"/>
  <c r="AA365" i="1"/>
  <c r="S365" i="1"/>
  <c r="R365" i="1"/>
  <c r="I365" i="1"/>
  <c r="K365" i="1"/>
  <c r="N365" i="1"/>
  <c r="L365" i="1"/>
  <c r="M365" i="1"/>
  <c r="F365" i="1"/>
  <c r="D365" i="1"/>
  <c r="B484" i="1"/>
  <c r="B485" i="1"/>
  <c r="B486" i="1"/>
  <c r="B487" i="1"/>
  <c r="B488" i="1"/>
  <c r="G173" i="1"/>
  <c r="G202" i="1"/>
  <c r="G196" i="1"/>
  <c r="G238" i="1"/>
  <c r="AI1" i="2"/>
  <c r="Y253" i="1"/>
  <c r="B883" i="1"/>
  <c r="AA1236" i="1"/>
  <c r="S1236" i="1"/>
  <c r="I1236" i="1"/>
  <c r="R1236" i="1"/>
  <c r="L1236" i="1"/>
  <c r="D1236" i="1"/>
  <c r="B1236" i="1"/>
  <c r="H1235" i="1"/>
  <c r="S1235" i="1"/>
  <c r="I1235" i="1"/>
  <c r="K1236" i="1"/>
  <c r="M1236" i="1"/>
  <c r="K1235" i="1"/>
  <c r="N1235" i="1"/>
  <c r="L1235" i="1"/>
  <c r="AA1235" i="1"/>
  <c r="F1235" i="1"/>
  <c r="D1235" i="1"/>
  <c r="N1236" i="1"/>
  <c r="M1235" i="1"/>
  <c r="B590" i="1"/>
  <c r="B286" i="1"/>
  <c r="B669" i="1"/>
  <c r="B652" i="1"/>
  <c r="G1195" i="1"/>
  <c r="G1183" i="1"/>
  <c r="N18" i="10"/>
  <c r="N19" i="10"/>
  <c r="N20" i="10"/>
  <c r="G525" i="1"/>
  <c r="G357" i="1"/>
  <c r="B6" i="1"/>
  <c r="B7" i="1"/>
  <c r="B5" i="1"/>
  <c r="B619" i="1"/>
  <c r="B620" i="1"/>
  <c r="B621" i="1"/>
  <c r="B622" i="1"/>
  <c r="B623" i="1"/>
  <c r="B624" i="1"/>
  <c r="I301" i="1"/>
  <c r="I302" i="1"/>
  <c r="B943" i="1"/>
  <c r="B944" i="1"/>
  <c r="B945" i="1"/>
  <c r="B946" i="1"/>
  <c r="B531" i="1"/>
  <c r="V62" i="1"/>
  <c r="T62" i="1"/>
  <c r="B124" i="1"/>
  <c r="B125" i="1"/>
  <c r="N23" i="17"/>
  <c r="Q23" i="17"/>
  <c r="R23" i="17"/>
  <c r="AA1238" i="1"/>
  <c r="S1238" i="1"/>
  <c r="I1238" i="1"/>
  <c r="R1238" i="1"/>
  <c r="L1238" i="1"/>
  <c r="D1238" i="1"/>
  <c r="B1238" i="1"/>
  <c r="H1237" i="1"/>
  <c r="S1237" i="1"/>
  <c r="I1237" i="1"/>
  <c r="B197" i="1"/>
  <c r="B198" i="1"/>
  <c r="B199" i="1"/>
  <c r="K1237" i="1"/>
  <c r="N1237" i="1"/>
  <c r="K1238" i="1"/>
  <c r="N1238" i="1"/>
  <c r="L1237" i="1"/>
  <c r="AA1237" i="1"/>
  <c r="F1237" i="1"/>
  <c r="D1237" i="1"/>
  <c r="M1237" i="1"/>
  <c r="M1238" i="1"/>
  <c r="B650" i="1"/>
  <c r="B651" i="1"/>
  <c r="B653" i="1"/>
  <c r="B318" i="1"/>
  <c r="B317" i="1"/>
  <c r="U62" i="1"/>
  <c r="B284" i="1"/>
  <c r="B285" i="1"/>
  <c r="B287" i="1"/>
  <c r="B289" i="1"/>
  <c r="B71" i="1"/>
  <c r="S1200" i="1"/>
  <c r="I1200" i="1"/>
  <c r="R1200" i="1"/>
  <c r="L1200" i="1"/>
  <c r="D1200" i="1"/>
  <c r="B1200" i="1"/>
  <c r="H1199" i="1"/>
  <c r="S1199" i="1"/>
  <c r="I1199" i="1"/>
  <c r="AA1198" i="1"/>
  <c r="S1198" i="1"/>
  <c r="I1198" i="1"/>
  <c r="R1198" i="1"/>
  <c r="L1198" i="1"/>
  <c r="D1198" i="1"/>
  <c r="L1199" i="1"/>
  <c r="K1198" i="1"/>
  <c r="M1198" i="1"/>
  <c r="K1199" i="1"/>
  <c r="K1200" i="1"/>
  <c r="N1200" i="1"/>
  <c r="M1199" i="1"/>
  <c r="N1199" i="1"/>
  <c r="F1199" i="1"/>
  <c r="D1199" i="1"/>
  <c r="N1198" i="1"/>
  <c r="M1200" i="1"/>
  <c r="AA563" i="1"/>
  <c r="S563" i="1"/>
  <c r="I563" i="1"/>
  <c r="R563" i="1"/>
  <c r="L563" i="1"/>
  <c r="D563" i="1"/>
  <c r="K563" i="1"/>
  <c r="M563" i="1"/>
  <c r="N563" i="1"/>
  <c r="H1300" i="1"/>
  <c r="AA1326" i="1"/>
  <c r="S1326" i="1"/>
  <c r="I1326" i="1"/>
  <c r="R1326" i="1"/>
  <c r="L1326" i="1"/>
  <c r="D1326" i="1"/>
  <c r="H1325" i="1"/>
  <c r="S1325" i="1"/>
  <c r="I1325" i="1"/>
  <c r="R1184" i="1"/>
  <c r="L1184" i="1"/>
  <c r="D1184" i="1"/>
  <c r="H1183" i="1"/>
  <c r="L1183" i="1"/>
  <c r="S1196" i="1"/>
  <c r="I1196" i="1"/>
  <c r="R1196" i="1"/>
  <c r="L1196" i="1"/>
  <c r="D1196" i="1"/>
  <c r="L1195" i="1"/>
  <c r="S1195" i="1"/>
  <c r="I1195" i="1"/>
  <c r="K1326" i="1"/>
  <c r="M1326" i="1"/>
  <c r="K1325" i="1"/>
  <c r="N1325" i="1"/>
  <c r="M1184" i="1"/>
  <c r="AA1325" i="1"/>
  <c r="F1183" i="1"/>
  <c r="D1183" i="1"/>
  <c r="K1196" i="1"/>
  <c r="N1196" i="1"/>
  <c r="K1195" i="1"/>
  <c r="M1195" i="1"/>
  <c r="W911" i="1"/>
  <c r="AA199" i="1"/>
  <c r="S199" i="1"/>
  <c r="I199" i="1"/>
  <c r="R199" i="1"/>
  <c r="L199" i="1"/>
  <c r="D199" i="1"/>
  <c r="AC1" i="2"/>
  <c r="N1326" i="1"/>
  <c r="N1184" i="1"/>
  <c r="N1183" i="1"/>
  <c r="M1183" i="1"/>
  <c r="N1195" i="1"/>
  <c r="F1195" i="1"/>
  <c r="D1195" i="1"/>
  <c r="M1196" i="1"/>
  <c r="K199" i="1"/>
  <c r="M199" i="1"/>
  <c r="R1182" i="1"/>
  <c r="L1182" i="1"/>
  <c r="D1182" i="1"/>
  <c r="B1182" i="1"/>
  <c r="H1181" i="1"/>
  <c r="L1181" i="1"/>
  <c r="S1181" i="1"/>
  <c r="I1181" i="1"/>
  <c r="N199" i="1"/>
  <c r="K1181" i="1"/>
  <c r="M1181" i="1"/>
  <c r="N1182" i="1"/>
  <c r="B1180" i="1"/>
  <c r="G996" i="1"/>
  <c r="B904" i="1"/>
  <c r="F1181" i="1"/>
  <c r="D1181" i="1"/>
  <c r="N1181" i="1"/>
  <c r="M1182" i="1"/>
  <c r="G292" i="1"/>
  <c r="G379" i="1"/>
  <c r="G376" i="1"/>
  <c r="G374" i="1"/>
  <c r="G371" i="1"/>
  <c r="G367" i="1"/>
  <c r="G363" i="1"/>
  <c r="G369" i="1"/>
  <c r="B25" i="1"/>
  <c r="G325" i="1"/>
  <c r="AA562" i="1"/>
  <c r="S562" i="1"/>
  <c r="I562" i="1"/>
  <c r="R562" i="1"/>
  <c r="L1325" i="1"/>
  <c r="G1279" i="1"/>
  <c r="F1325" i="1"/>
  <c r="D1325" i="1"/>
  <c r="M1325" i="1"/>
  <c r="K562" i="1"/>
  <c r="N562" i="1"/>
  <c r="B680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R827" i="1"/>
  <c r="I827" i="1"/>
  <c r="K827" i="1"/>
  <c r="D828" i="1"/>
  <c r="L828" i="1"/>
  <c r="R828" i="1"/>
  <c r="S828" i="1"/>
  <c r="I828" i="1"/>
  <c r="AA828" i="1"/>
  <c r="AA826" i="1"/>
  <c r="I826" i="1"/>
  <c r="R826" i="1"/>
  <c r="L826" i="1"/>
  <c r="D826" i="1"/>
  <c r="B826" i="1"/>
  <c r="H825" i="1"/>
  <c r="AA825" i="1"/>
  <c r="I825" i="1"/>
  <c r="R825" i="1"/>
  <c r="G825" i="1"/>
  <c r="B212" i="1"/>
  <c r="K825" i="1"/>
  <c r="N825" i="1"/>
  <c r="K826" i="1"/>
  <c r="N826" i="1"/>
  <c r="L825" i="1"/>
  <c r="K828" i="1"/>
  <c r="N828" i="1"/>
  <c r="F825" i="1"/>
  <c r="D825" i="1"/>
  <c r="M826" i="1"/>
  <c r="M825" i="1"/>
  <c r="M828" i="1"/>
  <c r="S1178" i="1"/>
  <c r="I1178" i="1"/>
  <c r="K1178" i="1"/>
  <c r="R1178" i="1"/>
  <c r="L1178" i="1"/>
  <c r="D1178" i="1"/>
  <c r="S1177" i="1"/>
  <c r="I1177" i="1"/>
  <c r="K1177" i="1"/>
  <c r="G672" i="1"/>
  <c r="G670" i="1"/>
  <c r="B572" i="1"/>
  <c r="M1178" i="1"/>
  <c r="N1178" i="1"/>
  <c r="N1177" i="1"/>
  <c r="H1281" i="1"/>
  <c r="AA1281" i="1"/>
  <c r="AA1282" i="1"/>
  <c r="S1282" i="1"/>
  <c r="I1282" i="1"/>
  <c r="R1282" i="1"/>
  <c r="L1282" i="1"/>
  <c r="D1282" i="1"/>
  <c r="S1281" i="1"/>
  <c r="I1281" i="1"/>
  <c r="G886" i="1"/>
  <c r="AA887" i="1"/>
  <c r="S887" i="1"/>
  <c r="I887" i="1"/>
  <c r="L887" i="1"/>
  <c r="H886" i="1"/>
  <c r="S886" i="1"/>
  <c r="I886" i="1"/>
  <c r="G871" i="1"/>
  <c r="B671" i="1"/>
  <c r="B673" i="1"/>
  <c r="K1281" i="1"/>
  <c r="N1281" i="1"/>
  <c r="K1282" i="1"/>
  <c r="N1282" i="1"/>
  <c r="K886" i="1"/>
  <c r="N886" i="1"/>
  <c r="K887" i="1"/>
  <c r="F887" i="1"/>
  <c r="D887" i="1"/>
  <c r="L886" i="1"/>
  <c r="AA886" i="1"/>
  <c r="B492" i="1"/>
  <c r="AA920" i="1"/>
  <c r="S920" i="1"/>
  <c r="I920" i="1"/>
  <c r="R920" i="1"/>
  <c r="L920" i="1"/>
  <c r="B920" i="1"/>
  <c r="B395" i="1"/>
  <c r="W253" i="1"/>
  <c r="M1282" i="1"/>
  <c r="M887" i="1"/>
  <c r="F886" i="1"/>
  <c r="D886" i="1"/>
  <c r="M886" i="1"/>
  <c r="K920" i="1"/>
  <c r="N920" i="1"/>
  <c r="G1300" i="1"/>
  <c r="G1323" i="1"/>
  <c r="G1321" i="1"/>
  <c r="AA1278" i="1"/>
  <c r="S1278" i="1"/>
  <c r="I1278" i="1"/>
  <c r="R1278" i="1"/>
  <c r="L1278" i="1"/>
  <c r="D1278" i="1"/>
  <c r="H1277" i="1"/>
  <c r="S1277" i="1"/>
  <c r="I1277" i="1"/>
  <c r="AA1280" i="1"/>
  <c r="S1280" i="1"/>
  <c r="I1280" i="1"/>
  <c r="R1280" i="1"/>
  <c r="L1280" i="1"/>
  <c r="D1280" i="1"/>
  <c r="H1279" i="1"/>
  <c r="AA1279" i="1"/>
  <c r="S1279" i="1"/>
  <c r="I1279" i="1"/>
  <c r="AA1301" i="1"/>
  <c r="S1301" i="1"/>
  <c r="I1301" i="1"/>
  <c r="R1301" i="1"/>
  <c r="L1301" i="1"/>
  <c r="D1301" i="1"/>
  <c r="S1300" i="1"/>
  <c r="I1300" i="1"/>
  <c r="AA1324" i="1"/>
  <c r="S1324" i="1"/>
  <c r="I1324" i="1"/>
  <c r="R1324" i="1"/>
  <c r="L1324" i="1"/>
  <c r="D1324" i="1"/>
  <c r="H1323" i="1"/>
  <c r="S1323" i="1"/>
  <c r="I1323" i="1"/>
  <c r="AA1322" i="1"/>
  <c r="S1322" i="1"/>
  <c r="I1322" i="1"/>
  <c r="R1322" i="1"/>
  <c r="L1322" i="1"/>
  <c r="D1322" i="1"/>
  <c r="H1321" i="1"/>
  <c r="S1321" i="1"/>
  <c r="I1321" i="1"/>
  <c r="AA229" i="1"/>
  <c r="S229" i="1"/>
  <c r="I229" i="1"/>
  <c r="R229" i="1"/>
  <c r="L229" i="1"/>
  <c r="D229" i="1"/>
  <c r="B229" i="1"/>
  <c r="S228" i="1"/>
  <c r="I228" i="1"/>
  <c r="R228" i="1"/>
  <c r="L1323" i="1"/>
  <c r="L1300" i="1"/>
  <c r="H228" i="1"/>
  <c r="AA228" i="1"/>
  <c r="L1321" i="1"/>
  <c r="M920" i="1"/>
  <c r="K1278" i="1"/>
  <c r="N1278" i="1"/>
  <c r="K1277" i="1"/>
  <c r="N1277" i="1"/>
  <c r="L1277" i="1"/>
  <c r="AA1277" i="1"/>
  <c r="K1279" i="1"/>
  <c r="N1279" i="1"/>
  <c r="K1280" i="1"/>
  <c r="M1280" i="1"/>
  <c r="L1279" i="1"/>
  <c r="AA1321" i="1"/>
  <c r="K1322" i="1"/>
  <c r="M1322" i="1"/>
  <c r="K1300" i="1"/>
  <c r="K1323" i="1"/>
  <c r="K1321" i="1"/>
  <c r="K1301" i="1"/>
  <c r="N1301" i="1"/>
  <c r="K1324" i="1"/>
  <c r="M1324" i="1"/>
  <c r="AA1300" i="1"/>
  <c r="AA1323" i="1"/>
  <c r="K228" i="1"/>
  <c r="K229" i="1"/>
  <c r="M1323" i="1"/>
  <c r="F1300" i="1"/>
  <c r="D1300" i="1"/>
  <c r="N228" i="1"/>
  <c r="F1321" i="1"/>
  <c r="D1321" i="1"/>
  <c r="N1280" i="1"/>
  <c r="M1278" i="1"/>
  <c r="F1277" i="1"/>
  <c r="D1277" i="1"/>
  <c r="F1279" i="1"/>
  <c r="D1279" i="1"/>
  <c r="M1277" i="1"/>
  <c r="M1279" i="1"/>
  <c r="N1322" i="1"/>
  <c r="N1324" i="1"/>
  <c r="M1301" i="1"/>
  <c r="M1321" i="1"/>
  <c r="N1321" i="1"/>
  <c r="F1323" i="1"/>
  <c r="D1323" i="1"/>
  <c r="N1323" i="1"/>
  <c r="M1300" i="1"/>
  <c r="N1300" i="1"/>
  <c r="N229" i="1"/>
  <c r="M229" i="1"/>
  <c r="AA467" i="1"/>
  <c r="S467" i="1"/>
  <c r="I467" i="1"/>
  <c r="L467" i="1"/>
  <c r="B467" i="1"/>
  <c r="AA976" i="1"/>
  <c r="S976" i="1"/>
  <c r="I976" i="1"/>
  <c r="L976" i="1"/>
  <c r="S975" i="1"/>
  <c r="I975" i="1"/>
  <c r="R975" i="1"/>
  <c r="AA974" i="1"/>
  <c r="S974" i="1"/>
  <c r="I974" i="1"/>
  <c r="R974" i="1"/>
  <c r="L974" i="1"/>
  <c r="D974" i="1"/>
  <c r="AA588" i="1"/>
  <c r="S588" i="1"/>
  <c r="I588" i="1"/>
  <c r="R588" i="1"/>
  <c r="L588" i="1"/>
  <c r="B588" i="1"/>
  <c r="H587" i="1"/>
  <c r="S587" i="1"/>
  <c r="I587" i="1"/>
  <c r="R587" i="1"/>
  <c r="AA957" i="1"/>
  <c r="S957" i="1"/>
  <c r="I957" i="1"/>
  <c r="L957" i="1"/>
  <c r="D957" i="1"/>
  <c r="AA54" i="1"/>
  <c r="S54" i="1"/>
  <c r="I54" i="1"/>
  <c r="L54" i="1"/>
  <c r="B54" i="1"/>
  <c r="AA72" i="1"/>
  <c r="S72" i="1"/>
  <c r="I72" i="1"/>
  <c r="R72" i="1"/>
  <c r="L72" i="1"/>
  <c r="D72" i="1"/>
  <c r="AA179" i="1"/>
  <c r="S179" i="1"/>
  <c r="I179" i="1"/>
  <c r="R179" i="1"/>
  <c r="L179" i="1"/>
  <c r="B179" i="1"/>
  <c r="AA233" i="1"/>
  <c r="S233" i="1"/>
  <c r="I233" i="1"/>
  <c r="R233" i="1"/>
  <c r="L233" i="1"/>
  <c r="D233" i="1"/>
  <c r="B233" i="1"/>
  <c r="AA405" i="1"/>
  <c r="S405" i="1"/>
  <c r="I405" i="1"/>
  <c r="R405" i="1"/>
  <c r="L405" i="1"/>
  <c r="B405" i="1"/>
  <c r="AA673" i="1"/>
  <c r="S673" i="1"/>
  <c r="I673" i="1"/>
  <c r="R673" i="1"/>
  <c r="L673" i="1"/>
  <c r="D673" i="1"/>
  <c r="S672" i="1"/>
  <c r="I672" i="1"/>
  <c r="R672" i="1"/>
  <c r="AA671" i="1"/>
  <c r="S671" i="1"/>
  <c r="I671" i="1"/>
  <c r="R671" i="1"/>
  <c r="L671" i="1"/>
  <c r="D671" i="1"/>
  <c r="H670" i="1"/>
  <c r="S670" i="1"/>
  <c r="I670" i="1"/>
  <c r="R670" i="1"/>
  <c r="AA667" i="1"/>
  <c r="S667" i="1"/>
  <c r="I667" i="1"/>
  <c r="R667" i="1"/>
  <c r="L667" i="1"/>
  <c r="D667" i="1"/>
  <c r="S666" i="1"/>
  <c r="I666" i="1"/>
  <c r="R666" i="1"/>
  <c r="AA680" i="1"/>
  <c r="S680" i="1"/>
  <c r="I680" i="1"/>
  <c r="R680" i="1"/>
  <c r="L680" i="1"/>
  <c r="D680" i="1"/>
  <c r="H679" i="1"/>
  <c r="S679" i="1"/>
  <c r="I679" i="1"/>
  <c r="R679" i="1"/>
  <c r="AA872" i="1"/>
  <c r="S872" i="1"/>
  <c r="I872" i="1"/>
  <c r="L872" i="1"/>
  <c r="AA871" i="1"/>
  <c r="S871" i="1"/>
  <c r="I871" i="1"/>
  <c r="Q871" i="1"/>
  <c r="R871" i="1"/>
  <c r="H666" i="1"/>
  <c r="AA666" i="1"/>
  <c r="AA975" i="1"/>
  <c r="K467" i="1"/>
  <c r="M467" i="1"/>
  <c r="K974" i="1"/>
  <c r="N974" i="1"/>
  <c r="K975" i="1"/>
  <c r="K976" i="1"/>
  <c r="M976" i="1"/>
  <c r="K588" i="1"/>
  <c r="N588" i="1"/>
  <c r="K587" i="1"/>
  <c r="N587" i="1"/>
  <c r="AA587" i="1"/>
  <c r="K957" i="1"/>
  <c r="N957" i="1"/>
  <c r="K54" i="1"/>
  <c r="N54" i="1"/>
  <c r="K72" i="1"/>
  <c r="M72" i="1"/>
  <c r="K179" i="1"/>
  <c r="M179" i="1"/>
  <c r="K233" i="1"/>
  <c r="N233" i="1"/>
  <c r="K405" i="1"/>
  <c r="M405" i="1"/>
  <c r="K672" i="1"/>
  <c r="K673" i="1"/>
  <c r="H672" i="1"/>
  <c r="AA672" i="1"/>
  <c r="L679" i="1"/>
  <c r="K670" i="1"/>
  <c r="N670" i="1"/>
  <c r="AA670" i="1"/>
  <c r="L670" i="1"/>
  <c r="K671" i="1"/>
  <c r="K666" i="1"/>
  <c r="K667" i="1"/>
  <c r="N667" i="1"/>
  <c r="K680" i="1"/>
  <c r="N680" i="1"/>
  <c r="K679" i="1"/>
  <c r="K871" i="1"/>
  <c r="N871" i="1"/>
  <c r="K872" i="1"/>
  <c r="M872" i="1"/>
  <c r="L871" i="1"/>
  <c r="H882" i="1"/>
  <c r="AA891" i="1"/>
  <c r="S891" i="1"/>
  <c r="I891" i="1"/>
  <c r="L891" i="1"/>
  <c r="H890" i="1"/>
  <c r="S890" i="1"/>
  <c r="I890" i="1"/>
  <c r="N666" i="1"/>
  <c r="L666" i="1"/>
  <c r="M666" i="1"/>
  <c r="M974" i="1"/>
  <c r="N975" i="1"/>
  <c r="M588" i="1"/>
  <c r="M957" i="1"/>
  <c r="M54" i="1"/>
  <c r="N72" i="1"/>
  <c r="M233" i="1"/>
  <c r="N405" i="1"/>
  <c r="F670" i="1"/>
  <c r="D670" i="1"/>
  <c r="L672" i="1"/>
  <c r="N672" i="1"/>
  <c r="N673" i="1"/>
  <c r="M673" i="1"/>
  <c r="M667" i="1"/>
  <c r="N671" i="1"/>
  <c r="M671" i="1"/>
  <c r="M670" i="1"/>
  <c r="AA679" i="1"/>
  <c r="N679" i="1"/>
  <c r="M680" i="1"/>
  <c r="M679" i="1"/>
  <c r="F679" i="1"/>
  <c r="D679" i="1"/>
  <c r="M871" i="1"/>
  <c r="F871" i="1"/>
  <c r="D871" i="1"/>
  <c r="N872" i="1"/>
  <c r="K891" i="1"/>
  <c r="M891" i="1"/>
  <c r="K890" i="1"/>
  <c r="N890" i="1"/>
  <c r="L890" i="1"/>
  <c r="AA890" i="1"/>
  <c r="G121" i="1"/>
  <c r="Y911" i="1"/>
  <c r="F666" i="1"/>
  <c r="D666" i="1"/>
  <c r="F672" i="1"/>
  <c r="D672" i="1"/>
  <c r="M672" i="1"/>
  <c r="F890" i="1"/>
  <c r="D890" i="1"/>
  <c r="F891" i="1"/>
  <c r="D891" i="1"/>
  <c r="M890" i="1"/>
  <c r="B26" i="16"/>
  <c r="E26" i="16"/>
  <c r="F26" i="16"/>
  <c r="H27" i="16"/>
  <c r="K27" i="16"/>
  <c r="L27" i="16"/>
  <c r="N22" i="17"/>
  <c r="Q22" i="17"/>
  <c r="R22" i="17"/>
  <c r="B22" i="13"/>
  <c r="E22" i="13"/>
  <c r="B1080" i="1"/>
  <c r="AA492" i="1"/>
  <c r="S492" i="1"/>
  <c r="I492" i="1"/>
  <c r="R492" i="1"/>
  <c r="L492" i="1"/>
  <c r="D492" i="1"/>
  <c r="S491" i="1"/>
  <c r="I491" i="1"/>
  <c r="R491" i="1"/>
  <c r="H491" i="1"/>
  <c r="AA491" i="1"/>
  <c r="K491" i="1"/>
  <c r="K492" i="1"/>
  <c r="N491" i="1"/>
  <c r="M492" i="1"/>
  <c r="N492" i="1"/>
  <c r="G1210" i="1"/>
  <c r="B524" i="1"/>
  <c r="L491" i="1"/>
  <c r="F491" i="1"/>
  <c r="D491" i="1"/>
  <c r="M491" i="1"/>
  <c r="B23" i="16"/>
  <c r="E23" i="16"/>
  <c r="F23" i="16"/>
  <c r="H24" i="16"/>
  <c r="K24" i="16"/>
  <c r="L24" i="16"/>
  <c r="AA130" i="1"/>
  <c r="S130" i="1"/>
  <c r="I130" i="1"/>
  <c r="L130" i="1"/>
  <c r="B130" i="1"/>
  <c r="K130" i="1"/>
  <c r="M130" i="1"/>
  <c r="B231" i="1"/>
  <c r="B423" i="1"/>
  <c r="H422" i="1"/>
  <c r="B1292" i="1"/>
  <c r="B1290" i="1"/>
  <c r="AA449" i="1"/>
  <c r="S449" i="1"/>
  <c r="I449" i="1"/>
  <c r="K449" i="1"/>
  <c r="L449" i="1"/>
  <c r="M449" i="1"/>
  <c r="R449" i="1"/>
  <c r="D449" i="1"/>
  <c r="B449" i="1"/>
  <c r="H448" i="1"/>
  <c r="S448" i="1"/>
  <c r="I448" i="1"/>
  <c r="R448" i="1"/>
  <c r="G448" i="1"/>
  <c r="K448" i="1"/>
  <c r="N448" i="1"/>
  <c r="H523" i="1"/>
  <c r="L448" i="1"/>
  <c r="AA448" i="1"/>
  <c r="F448" i="1"/>
  <c r="D448" i="1"/>
  <c r="M448" i="1"/>
  <c r="AA280" i="1"/>
  <c r="S280" i="1"/>
  <c r="I280" i="1"/>
  <c r="L280" i="1"/>
  <c r="B280" i="1"/>
  <c r="S279" i="1"/>
  <c r="I279" i="1"/>
  <c r="R279" i="1"/>
  <c r="AA278" i="1"/>
  <c r="S278" i="1"/>
  <c r="I278" i="1"/>
  <c r="R278" i="1"/>
  <c r="L278" i="1"/>
  <c r="D278" i="1"/>
  <c r="H279" i="1"/>
  <c r="L279" i="1"/>
  <c r="K278" i="1"/>
  <c r="N278" i="1"/>
  <c r="K280" i="1"/>
  <c r="M280" i="1"/>
  <c r="K279" i="1"/>
  <c r="B814" i="1"/>
  <c r="B997" i="1"/>
  <c r="AA878" i="1"/>
  <c r="S878" i="1"/>
  <c r="I878" i="1"/>
  <c r="L878" i="1"/>
  <c r="AA868" i="1"/>
  <c r="B296" i="1"/>
  <c r="AA300" i="1"/>
  <c r="S300" i="1"/>
  <c r="I300" i="1"/>
  <c r="L300" i="1"/>
  <c r="B300" i="1"/>
  <c r="AA299" i="1"/>
  <c r="S299" i="1"/>
  <c r="I299" i="1"/>
  <c r="L299" i="1"/>
  <c r="B299" i="1"/>
  <c r="AA298" i="1"/>
  <c r="S298" i="1"/>
  <c r="I298" i="1"/>
  <c r="L298" i="1"/>
  <c r="B298" i="1"/>
  <c r="AA297" i="1"/>
  <c r="S297" i="1"/>
  <c r="I297" i="1"/>
  <c r="L297" i="1"/>
  <c r="D297" i="1"/>
  <c r="B297" i="1"/>
  <c r="B889" i="1"/>
  <c r="H888" i="1"/>
  <c r="AA889" i="1"/>
  <c r="S889" i="1"/>
  <c r="I889" i="1"/>
  <c r="L889" i="1"/>
  <c r="S888" i="1"/>
  <c r="I888" i="1"/>
  <c r="B610" i="1"/>
  <c r="AA628" i="1"/>
  <c r="S628" i="1"/>
  <c r="I628" i="1"/>
  <c r="L628" i="1"/>
  <c r="B628" i="1"/>
  <c r="AA623" i="1"/>
  <c r="S623" i="1"/>
  <c r="I623" i="1"/>
  <c r="L623" i="1"/>
  <c r="AA609" i="1"/>
  <c r="S609" i="1"/>
  <c r="I609" i="1"/>
  <c r="L609" i="1"/>
  <c r="D609" i="1"/>
  <c r="B609" i="1"/>
  <c r="AA279" i="1"/>
  <c r="N279" i="1"/>
  <c r="M278" i="1"/>
  <c r="N280" i="1"/>
  <c r="F280" i="1"/>
  <c r="D280" i="1"/>
  <c r="F279" i="1"/>
  <c r="D279" i="1"/>
  <c r="M279" i="1"/>
  <c r="K298" i="1"/>
  <c r="M298" i="1"/>
  <c r="K297" i="1"/>
  <c r="N297" i="1"/>
  <c r="K878" i="1"/>
  <c r="M878" i="1"/>
  <c r="K299" i="1"/>
  <c r="M299" i="1"/>
  <c r="K300" i="1"/>
  <c r="M300" i="1"/>
  <c r="K889" i="1"/>
  <c r="L888" i="1"/>
  <c r="K888" i="1"/>
  <c r="N888" i="1"/>
  <c r="AA888" i="1"/>
  <c r="K628" i="1"/>
  <c r="M628" i="1"/>
  <c r="K623" i="1"/>
  <c r="N623" i="1"/>
  <c r="K609" i="1"/>
  <c r="M609" i="1"/>
  <c r="AA212" i="1"/>
  <c r="S212" i="1"/>
  <c r="I212" i="1"/>
  <c r="R212" i="1"/>
  <c r="L212" i="1"/>
  <c r="D212" i="1"/>
  <c r="S211" i="1"/>
  <c r="I211" i="1"/>
  <c r="R211" i="1"/>
  <c r="M889" i="1"/>
  <c r="N889" i="1"/>
  <c r="F888" i="1"/>
  <c r="D888" i="1"/>
  <c r="H211" i="1"/>
  <c r="AA211" i="1"/>
  <c r="M297" i="1"/>
  <c r="F878" i="1"/>
  <c r="D878" i="1"/>
  <c r="F889" i="1"/>
  <c r="D889" i="1"/>
  <c r="M888" i="1"/>
  <c r="F623" i="1"/>
  <c r="D623" i="1"/>
  <c r="M623" i="1"/>
  <c r="K211" i="1"/>
  <c r="K212" i="1"/>
  <c r="AA1292" i="1"/>
  <c r="S1292" i="1"/>
  <c r="I1292" i="1"/>
  <c r="R1292" i="1"/>
  <c r="L1292" i="1"/>
  <c r="D1292" i="1"/>
  <c r="H1291" i="1"/>
  <c r="AA1291" i="1"/>
  <c r="S1291" i="1"/>
  <c r="I1291" i="1"/>
  <c r="AA1290" i="1"/>
  <c r="S1290" i="1"/>
  <c r="I1290" i="1"/>
  <c r="R1290" i="1"/>
  <c r="L1290" i="1"/>
  <c r="D1290" i="1"/>
  <c r="H1289" i="1"/>
  <c r="AA1289" i="1"/>
  <c r="S1289" i="1"/>
  <c r="I1289" i="1"/>
  <c r="K1289" i="1"/>
  <c r="AA306" i="1"/>
  <c r="S306" i="1"/>
  <c r="I306" i="1"/>
  <c r="R306" i="1"/>
  <c r="L306" i="1"/>
  <c r="S305" i="1"/>
  <c r="I305" i="1"/>
  <c r="R305" i="1"/>
  <c r="AA304" i="1"/>
  <c r="S304" i="1"/>
  <c r="I304" i="1"/>
  <c r="R304" i="1"/>
  <c r="L304" i="1"/>
  <c r="D304" i="1"/>
  <c r="AA814" i="1"/>
  <c r="S814" i="1"/>
  <c r="I814" i="1"/>
  <c r="R814" i="1"/>
  <c r="L814" i="1"/>
  <c r="D814" i="1"/>
  <c r="S813" i="1"/>
  <c r="I813" i="1"/>
  <c r="R813" i="1"/>
  <c r="N211" i="1"/>
  <c r="N212" i="1"/>
  <c r="M212" i="1"/>
  <c r="K1290" i="1"/>
  <c r="N1290" i="1"/>
  <c r="K1291" i="1"/>
  <c r="N1291" i="1"/>
  <c r="H305" i="1"/>
  <c r="L305" i="1"/>
  <c r="K1292" i="1"/>
  <c r="M1292" i="1"/>
  <c r="N1289" i="1"/>
  <c r="H813" i="1"/>
  <c r="AA813" i="1"/>
  <c r="K306" i="1"/>
  <c r="M306" i="1"/>
  <c r="K305" i="1"/>
  <c r="K814" i="1"/>
  <c r="N814" i="1"/>
  <c r="K813" i="1"/>
  <c r="S807" i="1"/>
  <c r="I807" i="1"/>
  <c r="R807" i="1"/>
  <c r="AT18" i="2"/>
  <c r="E18" i="2"/>
  <c r="D18" i="2"/>
  <c r="C18" i="2"/>
  <c r="H13" i="17"/>
  <c r="K13" i="17"/>
  <c r="L13" i="17"/>
  <c r="N21" i="17"/>
  <c r="Q21" i="17"/>
  <c r="R21" i="17"/>
  <c r="AA490" i="1"/>
  <c r="S490" i="1"/>
  <c r="I490" i="1"/>
  <c r="R490" i="1"/>
  <c r="L490" i="1"/>
  <c r="D490" i="1"/>
  <c r="B490" i="1"/>
  <c r="H489" i="1"/>
  <c r="S489" i="1"/>
  <c r="I489" i="1"/>
  <c r="R489" i="1"/>
  <c r="B123" i="1"/>
  <c r="B126" i="1"/>
  <c r="B127" i="1"/>
  <c r="B128" i="1"/>
  <c r="B129" i="1"/>
  <c r="B131" i="1"/>
  <c r="B122" i="1"/>
  <c r="AA305" i="1"/>
  <c r="N1292" i="1"/>
  <c r="N813" i="1"/>
  <c r="N305" i="1"/>
  <c r="M1290" i="1"/>
  <c r="L813" i="1"/>
  <c r="F813" i="1"/>
  <c r="D813" i="1"/>
  <c r="N306" i="1"/>
  <c r="F305" i="1"/>
  <c r="D305" i="1"/>
  <c r="M305" i="1"/>
  <c r="M814" i="1"/>
  <c r="K807" i="1"/>
  <c r="K490" i="1"/>
  <c r="N490" i="1"/>
  <c r="K489" i="1"/>
  <c r="N489" i="1"/>
  <c r="L489" i="1"/>
  <c r="AA489" i="1"/>
  <c r="Y1" i="2"/>
  <c r="AA6" i="1"/>
  <c r="S6" i="1"/>
  <c r="I6" i="1"/>
  <c r="K6" i="1"/>
  <c r="L6" i="1"/>
  <c r="D6" i="1"/>
  <c r="M813" i="1"/>
  <c r="M6" i="1"/>
  <c r="M490" i="1"/>
  <c r="F489" i="1"/>
  <c r="D489" i="1"/>
  <c r="M489" i="1"/>
  <c r="AA745" i="1"/>
  <c r="S745" i="1"/>
  <c r="I745" i="1"/>
  <c r="L745" i="1"/>
  <c r="B745" i="1"/>
  <c r="AA744" i="1"/>
  <c r="S744" i="1"/>
  <c r="I744" i="1"/>
  <c r="L744" i="1"/>
  <c r="B744" i="1"/>
  <c r="AA743" i="1"/>
  <c r="S743" i="1"/>
  <c r="I743" i="1"/>
  <c r="L743" i="1"/>
  <c r="AA742" i="1"/>
  <c r="S742" i="1"/>
  <c r="I742" i="1"/>
  <c r="L742" i="1"/>
  <c r="S741" i="1"/>
  <c r="I741" i="1"/>
  <c r="L741" i="1"/>
  <c r="B741" i="1"/>
  <c r="AA740" i="1"/>
  <c r="S740" i="1"/>
  <c r="I740" i="1"/>
  <c r="L740" i="1"/>
  <c r="B740" i="1"/>
  <c r="AA739" i="1"/>
  <c r="S739" i="1"/>
  <c r="I739" i="1"/>
  <c r="L739" i="1"/>
  <c r="B739" i="1"/>
  <c r="AA738" i="1"/>
  <c r="S738" i="1"/>
  <c r="I738" i="1"/>
  <c r="L738" i="1"/>
  <c r="B738" i="1"/>
  <c r="AA737" i="1"/>
  <c r="S737" i="1"/>
  <c r="I737" i="1"/>
  <c r="L737" i="1"/>
  <c r="B737" i="1"/>
  <c r="AA736" i="1"/>
  <c r="S736" i="1"/>
  <c r="I736" i="1"/>
  <c r="L736" i="1"/>
  <c r="B736" i="1"/>
  <c r="AA735" i="1"/>
  <c r="S735" i="1"/>
  <c r="I735" i="1"/>
  <c r="L735" i="1"/>
  <c r="B735" i="1"/>
  <c r="AA734" i="1"/>
  <c r="S734" i="1"/>
  <c r="I734" i="1"/>
  <c r="L734" i="1"/>
  <c r="B734" i="1"/>
  <c r="AA733" i="1"/>
  <c r="S733" i="1"/>
  <c r="I733" i="1"/>
  <c r="L733" i="1"/>
  <c r="M733" i="1"/>
  <c r="B733" i="1"/>
  <c r="S732" i="1"/>
  <c r="I732" i="1"/>
  <c r="R732" i="1"/>
  <c r="H732" i="1"/>
  <c r="AA732" i="1"/>
  <c r="K740" i="1"/>
  <c r="M740" i="1"/>
  <c r="K736" i="1"/>
  <c r="M736" i="1"/>
  <c r="K734" i="1"/>
  <c r="M734" i="1"/>
  <c r="K745" i="1"/>
  <c r="M745" i="1"/>
  <c r="K739" i="1"/>
  <c r="M739" i="1"/>
  <c r="K744" i="1"/>
  <c r="M744" i="1"/>
  <c r="K741" i="1"/>
  <c r="M741" i="1"/>
  <c r="K737" i="1"/>
  <c r="M737" i="1"/>
  <c r="K735" i="1"/>
  <c r="M735" i="1"/>
  <c r="K743" i="1"/>
  <c r="N743" i="1"/>
  <c r="K732" i="1"/>
  <c r="K742" i="1"/>
  <c r="M742" i="1"/>
  <c r="K738" i="1"/>
  <c r="M738" i="1"/>
  <c r="M743" i="1"/>
  <c r="L732" i="1"/>
  <c r="F732" i="1"/>
  <c r="D732" i="1"/>
  <c r="N732" i="1"/>
  <c r="N745" i="1"/>
  <c r="N744" i="1"/>
  <c r="M732" i="1"/>
  <c r="B294" i="1"/>
  <c r="B295" i="1"/>
  <c r="H996" i="1"/>
  <c r="AA997" i="1"/>
  <c r="S997" i="1"/>
  <c r="I997" i="1"/>
  <c r="Q997" i="1"/>
  <c r="R997" i="1"/>
  <c r="AA1001" i="1"/>
  <c r="S1001" i="1"/>
  <c r="I1001" i="1"/>
  <c r="Q1001" i="1"/>
  <c r="R1001" i="1"/>
  <c r="L996" i="1"/>
  <c r="K997" i="1"/>
  <c r="K1001" i="1"/>
  <c r="AA356" i="1"/>
  <c r="S356" i="1"/>
  <c r="I356" i="1"/>
  <c r="L356" i="1"/>
  <c r="B356" i="1"/>
  <c r="AA355" i="1"/>
  <c r="S355" i="1"/>
  <c r="I355" i="1"/>
  <c r="L355" i="1"/>
  <c r="B355" i="1"/>
  <c r="AA296" i="1"/>
  <c r="S296" i="1"/>
  <c r="I296" i="1"/>
  <c r="L296" i="1"/>
  <c r="B689" i="1"/>
  <c r="B690" i="1"/>
  <c r="K296" i="1"/>
  <c r="M296" i="1"/>
  <c r="H292" i="1"/>
  <c r="K355" i="1"/>
  <c r="M355" i="1"/>
  <c r="K356" i="1"/>
  <c r="M356" i="1"/>
  <c r="S1078" i="1"/>
  <c r="I1078" i="1"/>
  <c r="R1078" i="1"/>
  <c r="L1078" i="1"/>
  <c r="D1078" i="1"/>
  <c r="B1078" i="1"/>
  <c r="H1077" i="1"/>
  <c r="S1077" i="1"/>
  <c r="I1077" i="1"/>
  <c r="D1081" i="1"/>
  <c r="L1081" i="1"/>
  <c r="S1081" i="1"/>
  <c r="I1081" i="1"/>
  <c r="D1082" i="1"/>
  <c r="L1082" i="1"/>
  <c r="S1082" i="1"/>
  <c r="I1082" i="1"/>
  <c r="S1105" i="1"/>
  <c r="I1105" i="1"/>
  <c r="B1106" i="1"/>
  <c r="H1105" i="1"/>
  <c r="D1106" i="1"/>
  <c r="L1106" i="1"/>
  <c r="R1106" i="1"/>
  <c r="S1106" i="1"/>
  <c r="I1106" i="1"/>
  <c r="K1077" i="1"/>
  <c r="N1077" i="1"/>
  <c r="K1078" i="1"/>
  <c r="N1078" i="1"/>
  <c r="K1081" i="1"/>
  <c r="M1081" i="1"/>
  <c r="K1082" i="1"/>
  <c r="M1082" i="1"/>
  <c r="K1106" i="1"/>
  <c r="M1106" i="1"/>
  <c r="K1105" i="1"/>
  <c r="N1105" i="1"/>
  <c r="AP1" i="2"/>
  <c r="B1176" i="1"/>
  <c r="H1175" i="1"/>
  <c r="S1176" i="1"/>
  <c r="I1176" i="1"/>
  <c r="R1176" i="1"/>
  <c r="L1176" i="1"/>
  <c r="D1176" i="1"/>
  <c r="S1175" i="1"/>
  <c r="I1175" i="1"/>
  <c r="M1078" i="1"/>
  <c r="N1106" i="1"/>
  <c r="K1176" i="1"/>
  <c r="N1176" i="1"/>
  <c r="K1175" i="1"/>
  <c r="N1175" i="1"/>
  <c r="M1176" i="1"/>
  <c r="B1136" i="1"/>
  <c r="B510" i="1"/>
  <c r="G569" i="1"/>
  <c r="B140" i="1"/>
  <c r="H884" i="1"/>
  <c r="AA884" i="1"/>
  <c r="D895" i="1"/>
  <c r="G1141" i="1"/>
  <c r="G1139" i="1"/>
  <c r="G1137" i="1"/>
  <c r="S1180" i="1"/>
  <c r="I1180" i="1"/>
  <c r="R1180" i="1"/>
  <c r="L1180" i="1"/>
  <c r="D1180" i="1"/>
  <c r="H1179" i="1"/>
  <c r="S1179" i="1"/>
  <c r="I1179" i="1"/>
  <c r="K1180" i="1"/>
  <c r="M1180" i="1"/>
  <c r="K1179" i="1"/>
  <c r="AA353" i="1"/>
  <c r="AA358" i="1"/>
  <c r="AA370" i="1"/>
  <c r="AA362" i="1"/>
  <c r="N1180" i="1"/>
  <c r="N1179" i="1"/>
  <c r="AA40" i="1"/>
  <c r="S40" i="1"/>
  <c r="I40" i="1"/>
  <c r="L40" i="1"/>
  <c r="K40" i="1"/>
  <c r="M40" i="1"/>
  <c r="B1271" i="1"/>
  <c r="B1273" i="1"/>
  <c r="H223" i="1"/>
  <c r="H1272" i="1"/>
  <c r="S1294" i="1"/>
  <c r="S1295" i="1"/>
  <c r="S1296" i="1"/>
  <c r="S1297" i="1"/>
  <c r="AA570" i="1"/>
  <c r="S570" i="1"/>
  <c r="I570" i="1"/>
  <c r="R570" i="1"/>
  <c r="L570" i="1"/>
  <c r="B570" i="1"/>
  <c r="H569" i="1"/>
  <c r="AA569" i="1"/>
  <c r="S569" i="1"/>
  <c r="I569" i="1"/>
  <c r="R569" i="1"/>
  <c r="K570" i="1"/>
  <c r="N570" i="1"/>
  <c r="K569" i="1"/>
  <c r="N569" i="1"/>
  <c r="L569" i="1"/>
  <c r="AA883" i="1"/>
  <c r="S883" i="1"/>
  <c r="I883" i="1"/>
  <c r="L883" i="1"/>
  <c r="AA882" i="1"/>
  <c r="S882" i="1"/>
  <c r="I882" i="1"/>
  <c r="L882" i="1"/>
  <c r="B893" i="1"/>
  <c r="H892" i="1"/>
  <c r="L892" i="1"/>
  <c r="AA885" i="1"/>
  <c r="S885" i="1"/>
  <c r="I885" i="1"/>
  <c r="L885" i="1"/>
  <c r="S884" i="1"/>
  <c r="I884" i="1"/>
  <c r="S893" i="1"/>
  <c r="I893" i="1"/>
  <c r="S892" i="1"/>
  <c r="I892" i="1"/>
  <c r="K892" i="1"/>
  <c r="Q892" i="1"/>
  <c r="R892" i="1"/>
  <c r="S881" i="1"/>
  <c r="I881" i="1"/>
  <c r="R881" i="1"/>
  <c r="AA880" i="1"/>
  <c r="S880" i="1"/>
  <c r="I880" i="1"/>
  <c r="L880" i="1"/>
  <c r="AA879" i="1"/>
  <c r="S879" i="1"/>
  <c r="I879" i="1"/>
  <c r="L879" i="1"/>
  <c r="F892" i="1"/>
  <c r="D892" i="1"/>
  <c r="F569" i="1"/>
  <c r="D569" i="1"/>
  <c r="M570" i="1"/>
  <c r="M569" i="1"/>
  <c r="K883" i="1"/>
  <c r="K882" i="1"/>
  <c r="L884" i="1"/>
  <c r="K884" i="1"/>
  <c r="K893" i="1"/>
  <c r="F893" i="1"/>
  <c r="D893" i="1"/>
  <c r="K885" i="1"/>
  <c r="N885" i="1"/>
  <c r="K881" i="1"/>
  <c r="M892" i="1"/>
  <c r="N892" i="1"/>
  <c r="K880" i="1"/>
  <c r="K879" i="1"/>
  <c r="M882" i="1"/>
  <c r="N882" i="1"/>
  <c r="M883" i="1"/>
  <c r="F883" i="1"/>
  <c r="D883" i="1"/>
  <c r="M881" i="1"/>
  <c r="F881" i="1"/>
  <c r="D881" i="1"/>
  <c r="M879" i="1"/>
  <c r="F879" i="1"/>
  <c r="D879" i="1"/>
  <c r="N884" i="1"/>
  <c r="F884" i="1"/>
  <c r="D884" i="1"/>
  <c r="M880" i="1"/>
  <c r="F880" i="1"/>
  <c r="D880" i="1"/>
  <c r="M885" i="1"/>
  <c r="F885" i="1"/>
  <c r="D885" i="1"/>
  <c r="F882" i="1"/>
  <c r="D882" i="1"/>
  <c r="M884" i="1"/>
  <c r="N881" i="1"/>
  <c r="B426" i="1"/>
  <c r="B427" i="1"/>
  <c r="B428" i="1"/>
  <c r="B429" i="1"/>
  <c r="B430" i="1"/>
  <c r="B431" i="1"/>
  <c r="B432" i="1"/>
  <c r="B433" i="1"/>
  <c r="AA437" i="1"/>
  <c r="S437" i="1"/>
  <c r="I437" i="1"/>
  <c r="R437" i="1"/>
  <c r="L437" i="1"/>
  <c r="D437" i="1"/>
  <c r="K437" i="1"/>
  <c r="N437" i="1"/>
  <c r="M437" i="1"/>
  <c r="U911" i="1"/>
  <c r="S358" i="1"/>
  <c r="I358" i="1"/>
  <c r="R358" i="1"/>
  <c r="L358" i="1"/>
  <c r="D358" i="1"/>
  <c r="AA357" i="1"/>
  <c r="S357" i="1"/>
  <c r="I357" i="1"/>
  <c r="R357" i="1"/>
  <c r="AA1269" i="1"/>
  <c r="S1269" i="1"/>
  <c r="I1269" i="1"/>
  <c r="R1269" i="1"/>
  <c r="L1269" i="1"/>
  <c r="D1269" i="1"/>
  <c r="AA1268" i="1"/>
  <c r="S1268" i="1"/>
  <c r="I1268" i="1"/>
  <c r="AA1265" i="1"/>
  <c r="S1265" i="1"/>
  <c r="I1265" i="1"/>
  <c r="R1265" i="1"/>
  <c r="L1265" i="1"/>
  <c r="D1265" i="1"/>
  <c r="B1265" i="1"/>
  <c r="H1264" i="1"/>
  <c r="AA1264" i="1"/>
  <c r="S1264" i="1"/>
  <c r="I1264" i="1"/>
  <c r="S1172" i="1"/>
  <c r="I1172" i="1"/>
  <c r="R1172" i="1"/>
  <c r="L1172" i="1"/>
  <c r="D1172" i="1"/>
  <c r="B1172" i="1"/>
  <c r="H1171" i="1"/>
  <c r="S1171" i="1"/>
  <c r="I1171" i="1"/>
  <c r="K357" i="1"/>
  <c r="N357" i="1"/>
  <c r="K358" i="1"/>
  <c r="L357" i="1"/>
  <c r="K1264" i="1"/>
  <c r="N1264" i="1"/>
  <c r="K1265" i="1"/>
  <c r="M1265" i="1"/>
  <c r="K1269" i="1"/>
  <c r="N1269" i="1"/>
  <c r="K1268" i="1"/>
  <c r="N1268" i="1"/>
  <c r="K1171" i="1"/>
  <c r="N1171" i="1"/>
  <c r="K1172" i="1"/>
  <c r="N1172" i="1"/>
  <c r="B586" i="1"/>
  <c r="F357" i="1"/>
  <c r="D357" i="1"/>
  <c r="N358" i="1"/>
  <c r="M358" i="1"/>
  <c r="M357" i="1"/>
  <c r="N1265" i="1"/>
  <c r="M1269" i="1"/>
  <c r="M1172" i="1"/>
  <c r="D11" i="1"/>
  <c r="L11" i="1"/>
  <c r="R11" i="1"/>
  <c r="T11" i="1"/>
  <c r="AA11" i="1"/>
  <c r="S11" i="1"/>
  <c r="I11" i="1"/>
  <c r="K11" i="1"/>
  <c r="N11" i="1"/>
  <c r="AA549" i="1"/>
  <c r="S549" i="1"/>
  <c r="I549" i="1"/>
  <c r="R549" i="1"/>
  <c r="L549" i="1"/>
  <c r="D549" i="1"/>
  <c r="B549" i="1"/>
  <c r="H548" i="1"/>
  <c r="AA548" i="1"/>
  <c r="S548" i="1"/>
  <c r="I548" i="1"/>
  <c r="R548" i="1"/>
  <c r="M11" i="1"/>
  <c r="L548" i="1"/>
  <c r="K548" i="1"/>
  <c r="K549" i="1"/>
  <c r="N549" i="1"/>
  <c r="B662" i="1"/>
  <c r="G10" i="1"/>
  <c r="G18" i="1"/>
  <c r="X544" i="1"/>
  <c r="W544" i="1"/>
  <c r="V544" i="1"/>
  <c r="U544" i="1"/>
  <c r="T544" i="1"/>
  <c r="Y544" i="1"/>
  <c r="M548" i="1"/>
  <c r="N548" i="1"/>
  <c r="M549" i="1"/>
  <c r="F548" i="1"/>
  <c r="D548" i="1"/>
  <c r="B1228" i="1"/>
  <c r="B1010" i="1"/>
  <c r="B995" i="1"/>
  <c r="B269" i="1"/>
  <c r="B270" i="1"/>
  <c r="B271" i="1"/>
  <c r="B273" i="1"/>
  <c r="B274" i="1"/>
  <c r="B275" i="1"/>
  <c r="B276" i="1"/>
  <c r="B291" i="1"/>
  <c r="B322" i="1"/>
  <c r="B332" i="1"/>
  <c r="B338" i="1"/>
  <c r="B339" i="1"/>
  <c r="B340" i="1"/>
  <c r="B341" i="1"/>
  <c r="B342" i="1"/>
  <c r="B343" i="1"/>
  <c r="B344" i="1"/>
  <c r="B345" i="1"/>
  <c r="B347" i="1"/>
  <c r="B362" i="1"/>
  <c r="B364" i="1"/>
  <c r="B368" i="1"/>
  <c r="B372" i="1"/>
  <c r="B373" i="1"/>
  <c r="B377" i="1"/>
  <c r="B378" i="1"/>
  <c r="B380" i="1"/>
  <c r="B382" i="1"/>
  <c r="B384" i="1"/>
  <c r="B386" i="1"/>
  <c r="B397" i="1"/>
  <c r="B399" i="1"/>
  <c r="B401" i="1"/>
  <c r="B402" i="1"/>
  <c r="B403" i="1"/>
  <c r="B404" i="1"/>
  <c r="B439" i="1"/>
  <c r="B440" i="1"/>
  <c r="B442" i="1"/>
  <c r="B443" i="1"/>
  <c r="B445" i="1"/>
  <c r="B446" i="1"/>
  <c r="B447" i="1"/>
  <c r="B462" i="1"/>
  <c r="B463" i="1"/>
  <c r="B464" i="1"/>
  <c r="B465" i="1"/>
  <c r="B466" i="1"/>
  <c r="B473" i="1"/>
  <c r="B512" i="1"/>
  <c r="B517" i="1"/>
  <c r="B518" i="1"/>
  <c r="B519" i="1"/>
  <c r="B526" i="1"/>
  <c r="B527" i="1"/>
  <c r="B528" i="1"/>
  <c r="B536" i="1"/>
  <c r="B541" i="1"/>
  <c r="B542" i="1"/>
  <c r="B544" i="1"/>
  <c r="B545" i="1"/>
  <c r="B567" i="1"/>
  <c r="B568" i="1"/>
  <c r="B574" i="1"/>
  <c r="B607" i="1"/>
  <c r="B608" i="1"/>
  <c r="B640" i="1"/>
  <c r="B626" i="1"/>
  <c r="B627" i="1"/>
  <c r="B648" i="1"/>
  <c r="B684" i="1"/>
  <c r="B685" i="1"/>
  <c r="B692" i="1"/>
  <c r="B693" i="1"/>
  <c r="B697" i="1"/>
  <c r="B699" i="1"/>
  <c r="B701" i="1"/>
  <c r="B703" i="1"/>
  <c r="B704" i="1"/>
  <c r="B706" i="1"/>
  <c r="D8" i="13"/>
  <c r="B8" i="13"/>
  <c r="E8" i="13"/>
  <c r="F8" i="13"/>
  <c r="D17" i="13"/>
  <c r="B17" i="13"/>
  <c r="E17" i="13"/>
  <c r="F17" i="13"/>
  <c r="F22" i="13"/>
  <c r="B5" i="13"/>
  <c r="E5" i="13"/>
  <c r="F5" i="13"/>
  <c r="B6" i="13"/>
  <c r="E6" i="13"/>
  <c r="F6" i="13"/>
  <c r="B7" i="13"/>
  <c r="E7" i="13"/>
  <c r="F7" i="13"/>
  <c r="B9" i="13"/>
  <c r="E9" i="13"/>
  <c r="F9" i="13"/>
  <c r="B10" i="13"/>
  <c r="E10" i="13"/>
  <c r="F10" i="13"/>
  <c r="B11" i="13"/>
  <c r="E11" i="13"/>
  <c r="F11" i="13"/>
  <c r="B12" i="13"/>
  <c r="E12" i="13"/>
  <c r="F12" i="13"/>
  <c r="B13" i="13"/>
  <c r="E13" i="13"/>
  <c r="F13" i="13"/>
  <c r="B14" i="13"/>
  <c r="E14" i="13"/>
  <c r="F14" i="13"/>
  <c r="B15" i="13"/>
  <c r="E15" i="13"/>
  <c r="F15" i="13"/>
  <c r="B16" i="13"/>
  <c r="E16" i="13"/>
  <c r="F16" i="13"/>
  <c r="B18" i="13"/>
  <c r="E18" i="13"/>
  <c r="F18" i="13"/>
  <c r="B19" i="13"/>
  <c r="E19" i="13"/>
  <c r="F19" i="13"/>
  <c r="D20" i="13"/>
  <c r="B20" i="13"/>
  <c r="E20" i="13"/>
  <c r="F20" i="13"/>
  <c r="E2" i="13"/>
  <c r="F2" i="13"/>
  <c r="B728" i="1"/>
  <c r="B730" i="1"/>
  <c r="B731" i="1"/>
  <c r="B750" i="1"/>
  <c r="B751" i="1"/>
  <c r="B752" i="1"/>
  <c r="B753" i="1"/>
  <c r="B773" i="1"/>
  <c r="B780" i="1"/>
  <c r="B782" i="1"/>
  <c r="B783" i="1"/>
  <c r="B786" i="1"/>
  <c r="B788" i="1"/>
  <c r="B816" i="1"/>
  <c r="B817" i="1"/>
  <c r="B818" i="1"/>
  <c r="B819" i="1"/>
  <c r="B821" i="1"/>
  <c r="B822" i="1"/>
  <c r="B824" i="1"/>
  <c r="H5" i="15"/>
  <c r="K5" i="15"/>
  <c r="L5" i="15"/>
  <c r="H6" i="15"/>
  <c r="K6" i="15"/>
  <c r="L6" i="15"/>
  <c r="H7" i="15"/>
  <c r="K7" i="15"/>
  <c r="L7" i="15"/>
  <c r="H8" i="15"/>
  <c r="K8" i="15"/>
  <c r="L8" i="15"/>
  <c r="H9" i="15"/>
  <c r="K9" i="15"/>
  <c r="L9" i="15"/>
  <c r="K2" i="15"/>
  <c r="B828" i="1"/>
  <c r="B830" i="1"/>
  <c r="B831" i="1"/>
  <c r="B836" i="1"/>
  <c r="B841" i="1"/>
  <c r="B898" i="1"/>
  <c r="B900" i="1"/>
  <c r="B902" i="1"/>
  <c r="B906" i="1"/>
  <c r="B915" i="1"/>
  <c r="B921" i="1"/>
  <c r="B923" i="1"/>
  <c r="B5" i="16"/>
  <c r="E5" i="16"/>
  <c r="F5" i="16"/>
  <c r="B6" i="16"/>
  <c r="E6" i="16"/>
  <c r="F6" i="16"/>
  <c r="B7" i="16"/>
  <c r="E7" i="16"/>
  <c r="F7" i="16"/>
  <c r="B8" i="16"/>
  <c r="E8" i="16"/>
  <c r="F8" i="16"/>
  <c r="B9" i="16"/>
  <c r="E9" i="16"/>
  <c r="F9" i="16"/>
  <c r="B10" i="16"/>
  <c r="E10" i="16"/>
  <c r="F10" i="16"/>
  <c r="B12" i="16"/>
  <c r="E12" i="16"/>
  <c r="F12" i="16"/>
  <c r="B13" i="16"/>
  <c r="E13" i="16"/>
  <c r="F13" i="16"/>
  <c r="B14" i="16"/>
  <c r="E14" i="16"/>
  <c r="F14" i="16"/>
  <c r="B15" i="16"/>
  <c r="E15" i="16"/>
  <c r="F15" i="16"/>
  <c r="B16" i="16"/>
  <c r="E16" i="16"/>
  <c r="F16" i="16"/>
  <c r="B17" i="16"/>
  <c r="E17" i="16"/>
  <c r="F17" i="16"/>
  <c r="B18" i="16"/>
  <c r="E18" i="16"/>
  <c r="F18" i="16"/>
  <c r="B19" i="16"/>
  <c r="E19" i="16"/>
  <c r="F19" i="16"/>
  <c r="B20" i="16"/>
  <c r="E20" i="16"/>
  <c r="F20" i="16"/>
  <c r="B21" i="16"/>
  <c r="E21" i="16"/>
  <c r="F21" i="16"/>
  <c r="E2" i="16"/>
  <c r="B925" i="1"/>
  <c r="J7" i="16"/>
  <c r="H7" i="16"/>
  <c r="K7" i="16"/>
  <c r="L7" i="16"/>
  <c r="H10" i="16"/>
  <c r="K10" i="16"/>
  <c r="L10" i="16"/>
  <c r="J12" i="16"/>
  <c r="H12" i="16"/>
  <c r="K12" i="16"/>
  <c r="L12" i="16"/>
  <c r="J21" i="16"/>
  <c r="H21" i="16"/>
  <c r="K21" i="16"/>
  <c r="L21" i="16"/>
  <c r="H5" i="16"/>
  <c r="K5" i="16"/>
  <c r="L5" i="16"/>
  <c r="H6" i="16"/>
  <c r="K6" i="16"/>
  <c r="L6" i="16"/>
  <c r="H8" i="16"/>
  <c r="K8" i="16"/>
  <c r="L8" i="16"/>
  <c r="H11" i="16"/>
  <c r="K11" i="16"/>
  <c r="L11" i="16"/>
  <c r="H13" i="16"/>
  <c r="K13" i="16"/>
  <c r="L13" i="16"/>
  <c r="H14" i="16"/>
  <c r="K14" i="16"/>
  <c r="L14" i="16"/>
  <c r="H15" i="16"/>
  <c r="K15" i="16"/>
  <c r="L15" i="16"/>
  <c r="H16" i="16"/>
  <c r="K16" i="16"/>
  <c r="L16" i="16"/>
  <c r="H17" i="16"/>
  <c r="K17" i="16"/>
  <c r="L17" i="16"/>
  <c r="H18" i="16"/>
  <c r="K18" i="16"/>
  <c r="L18" i="16"/>
  <c r="H19" i="16"/>
  <c r="K19" i="16"/>
  <c r="L19" i="16"/>
  <c r="H20" i="16"/>
  <c r="K20" i="16"/>
  <c r="L20" i="16"/>
  <c r="H22" i="16"/>
  <c r="K22" i="16"/>
  <c r="L22" i="16"/>
  <c r="H23" i="16"/>
  <c r="K23" i="16"/>
  <c r="L23" i="16"/>
  <c r="K2" i="16"/>
  <c r="B927" i="1"/>
  <c r="B931" i="1"/>
  <c r="B936" i="1"/>
  <c r="B948" i="1"/>
  <c r="B950" i="1"/>
  <c r="B960" i="1"/>
  <c r="G947" i="1"/>
  <c r="AA912" i="1"/>
  <c r="S912" i="1"/>
  <c r="I912" i="1"/>
  <c r="R912" i="1"/>
  <c r="L912" i="1"/>
  <c r="D912" i="1"/>
  <c r="AA915" i="1"/>
  <c r="S915" i="1"/>
  <c r="I915" i="1"/>
  <c r="L915" i="1"/>
  <c r="S914" i="1"/>
  <c r="I914" i="1"/>
  <c r="R914" i="1"/>
  <c r="AA913" i="1"/>
  <c r="S913" i="1"/>
  <c r="I913" i="1"/>
  <c r="R913" i="1"/>
  <c r="L913" i="1"/>
  <c r="D913" i="1"/>
  <c r="G909" i="1"/>
  <c r="G903" i="1"/>
  <c r="H914" i="1"/>
  <c r="L914" i="1"/>
  <c r="K912" i="1"/>
  <c r="N912" i="1"/>
  <c r="K914" i="1"/>
  <c r="K915" i="1"/>
  <c r="M915" i="1"/>
  <c r="K913" i="1"/>
  <c r="M913" i="1"/>
  <c r="N914" i="1"/>
  <c r="AA914" i="1"/>
  <c r="M912" i="1"/>
  <c r="F914" i="1"/>
  <c r="D914" i="1"/>
  <c r="M914" i="1"/>
  <c r="N913" i="1"/>
  <c r="H10" i="1"/>
  <c r="G346" i="1"/>
  <c r="B19" i="1"/>
  <c r="B1123" i="1"/>
  <c r="AA1286" i="1"/>
  <c r="AA1288" i="1"/>
  <c r="AA1294" i="1"/>
  <c r="AA1296" i="1"/>
  <c r="AA1297" i="1"/>
  <c r="AA1303" i="1"/>
  <c r="AA1305" i="1"/>
  <c r="AA1307" i="1"/>
  <c r="AA1309" i="1"/>
  <c r="AA1311" i="1"/>
  <c r="AA1312" i="1"/>
  <c r="AA1314" i="1"/>
  <c r="AA1315" i="1"/>
  <c r="G799" i="1"/>
  <c r="G641" i="1"/>
  <c r="G597" i="1"/>
  <c r="L562" i="1"/>
  <c r="G571" i="1"/>
  <c r="F562" i="1"/>
  <c r="D562" i="1"/>
  <c r="M562" i="1"/>
  <c r="H346" i="1"/>
  <c r="G55" i="1"/>
  <c r="G42" i="1"/>
  <c r="G36" i="1"/>
  <c r="AA243" i="1"/>
  <c r="S243" i="1"/>
  <c r="I243" i="1"/>
  <c r="R243" i="1"/>
  <c r="L243" i="1"/>
  <c r="D243" i="1"/>
  <c r="B243" i="1"/>
  <c r="H242" i="1"/>
  <c r="S242" i="1"/>
  <c r="I242" i="1"/>
  <c r="R242" i="1"/>
  <c r="AA140" i="1"/>
  <c r="S140" i="1"/>
  <c r="I140" i="1"/>
  <c r="L140" i="1"/>
  <c r="S139" i="1"/>
  <c r="I139" i="1"/>
  <c r="R139" i="1"/>
  <c r="AA510" i="1"/>
  <c r="S510" i="1"/>
  <c r="I510" i="1"/>
  <c r="R510" i="1"/>
  <c r="L510" i="1"/>
  <c r="D510" i="1"/>
  <c r="S509" i="1"/>
  <c r="I509" i="1"/>
  <c r="R509" i="1"/>
  <c r="B14" i="15"/>
  <c r="E14" i="15"/>
  <c r="F14" i="15"/>
  <c r="AA242" i="1"/>
  <c r="K510" i="1"/>
  <c r="N510" i="1"/>
  <c r="H509" i="1"/>
  <c r="AA509" i="1"/>
  <c r="H139" i="1"/>
  <c r="AA139" i="1"/>
  <c r="K242" i="1"/>
  <c r="N242" i="1"/>
  <c r="K243" i="1"/>
  <c r="N243" i="1"/>
  <c r="K139" i="1"/>
  <c r="K140" i="1"/>
  <c r="N140" i="1"/>
  <c r="K509" i="1"/>
  <c r="L509" i="1"/>
  <c r="F509" i="1"/>
  <c r="D509" i="1"/>
  <c r="N139" i="1"/>
  <c r="M243" i="1"/>
  <c r="M510" i="1"/>
  <c r="N509" i="1"/>
  <c r="M140" i="1"/>
  <c r="M509" i="1"/>
  <c r="H571" i="1"/>
  <c r="AA571" i="1"/>
  <c r="AA1234" i="1"/>
  <c r="S1234" i="1"/>
  <c r="I1234" i="1"/>
  <c r="R1234" i="1"/>
  <c r="L1234" i="1"/>
  <c r="D1234" i="1"/>
  <c r="AA1233" i="1"/>
  <c r="S1233" i="1"/>
  <c r="I1233" i="1"/>
  <c r="R1233" i="1"/>
  <c r="L1233" i="1"/>
  <c r="D1233" i="1"/>
  <c r="S1232" i="1"/>
  <c r="I1232" i="1"/>
  <c r="K1232" i="1"/>
  <c r="G483" i="1"/>
  <c r="B188" i="1"/>
  <c r="B86" i="1"/>
  <c r="B57" i="1"/>
  <c r="B17" i="1"/>
  <c r="H1232" i="1"/>
  <c r="AA1232" i="1"/>
  <c r="K1234" i="1"/>
  <c r="N1234" i="1"/>
  <c r="K1233" i="1"/>
  <c r="M1233" i="1"/>
  <c r="G800" i="1"/>
  <c r="N1232" i="1"/>
  <c r="L1232" i="1"/>
  <c r="F1232" i="1"/>
  <c r="D1232" i="1"/>
  <c r="M1234" i="1"/>
  <c r="N1233" i="1"/>
  <c r="M1232" i="1"/>
  <c r="AA970" i="1"/>
  <c r="S970" i="1"/>
  <c r="I970" i="1"/>
  <c r="R970" i="1"/>
  <c r="L970" i="1"/>
  <c r="AA191" i="1"/>
  <c r="S191" i="1"/>
  <c r="I191" i="1"/>
  <c r="R191" i="1"/>
  <c r="L191" i="1"/>
  <c r="D191" i="1"/>
  <c r="B191" i="1"/>
  <c r="AA572" i="1"/>
  <c r="S572" i="1"/>
  <c r="I572" i="1"/>
  <c r="R572" i="1"/>
  <c r="L572" i="1"/>
  <c r="S571" i="1"/>
  <c r="I571" i="1"/>
  <c r="R571" i="1"/>
  <c r="AA349" i="1"/>
  <c r="S349" i="1"/>
  <c r="I349" i="1"/>
  <c r="R349" i="1"/>
  <c r="L349" i="1"/>
  <c r="D349" i="1"/>
  <c r="AN1" i="2"/>
  <c r="K970" i="1"/>
  <c r="N970" i="1"/>
  <c r="K191" i="1"/>
  <c r="N191" i="1"/>
  <c r="K572" i="1"/>
  <c r="N572" i="1"/>
  <c r="L346" i="1"/>
  <c r="K571" i="1"/>
  <c r="N571" i="1"/>
  <c r="L571" i="1"/>
  <c r="K349" i="1"/>
  <c r="M349" i="1"/>
  <c r="M970" i="1"/>
  <c r="M191" i="1"/>
  <c r="M572" i="1"/>
  <c r="F571" i="1"/>
  <c r="D571" i="1"/>
  <c r="M571" i="1"/>
  <c r="B83" i="1"/>
  <c r="G875" i="1"/>
  <c r="AA85" i="1"/>
  <c r="S85" i="1"/>
  <c r="I85" i="1"/>
  <c r="K85" i="1"/>
  <c r="L85" i="1"/>
  <c r="AA198" i="1"/>
  <c r="S198" i="1"/>
  <c r="I198" i="1"/>
  <c r="R198" i="1"/>
  <c r="L198" i="1"/>
  <c r="D198" i="1"/>
  <c r="AA56" i="1"/>
  <c r="S56" i="1"/>
  <c r="I56" i="1"/>
  <c r="L56" i="1"/>
  <c r="B56" i="1"/>
  <c r="AA16" i="1"/>
  <c r="S16" i="1"/>
  <c r="I16" i="1"/>
  <c r="L16" i="1"/>
  <c r="H15" i="1"/>
  <c r="K16" i="1"/>
  <c r="M16" i="1"/>
  <c r="M85" i="1"/>
  <c r="K198" i="1"/>
  <c r="M198" i="1"/>
  <c r="K56" i="1"/>
  <c r="M56" i="1"/>
  <c r="N198" i="1"/>
  <c r="G557" i="1"/>
  <c r="G1304" i="1"/>
  <c r="G1302" i="1"/>
  <c r="L1281" i="1"/>
  <c r="F1281" i="1"/>
  <c r="D1281" i="1"/>
  <c r="M1281" i="1"/>
  <c r="G1004" i="1"/>
  <c r="G959" i="1"/>
  <c r="L975" i="1"/>
  <c r="M975" i="1"/>
  <c r="F975" i="1"/>
  <c r="D975" i="1"/>
  <c r="G763" i="1"/>
  <c r="G575" i="1"/>
  <c r="E21" i="2"/>
  <c r="D21" i="2"/>
  <c r="C21" i="2"/>
  <c r="H807" i="1"/>
  <c r="G290" i="1"/>
  <c r="G259" i="1"/>
  <c r="AA807" i="1"/>
  <c r="N807" i="1"/>
  <c r="AA144" i="1"/>
  <c r="S144" i="1"/>
  <c r="I144" i="1"/>
  <c r="R144" i="1"/>
  <c r="L144" i="1"/>
  <c r="D144" i="1"/>
  <c r="B144" i="1"/>
  <c r="H143" i="1"/>
  <c r="G75" i="1"/>
  <c r="AA27" i="1"/>
  <c r="S27" i="1"/>
  <c r="I27" i="1"/>
  <c r="L27" i="1"/>
  <c r="D27" i="1"/>
  <c r="AA26" i="1"/>
  <c r="S26" i="1"/>
  <c r="I26" i="1"/>
  <c r="L26" i="1"/>
  <c r="D26" i="1"/>
  <c r="AA30" i="1"/>
  <c r="S30" i="1"/>
  <c r="I30" i="1"/>
  <c r="L30" i="1"/>
  <c r="B30" i="1"/>
  <c r="AA29" i="1"/>
  <c r="S29" i="1"/>
  <c r="I29" i="1"/>
  <c r="L29" i="1"/>
  <c r="B29" i="1"/>
  <c r="S28" i="1"/>
  <c r="I28" i="1"/>
  <c r="R28" i="1"/>
  <c r="G28" i="1"/>
  <c r="G20" i="1"/>
  <c r="L139" i="1"/>
  <c r="G175" i="1"/>
  <c r="G168" i="1"/>
  <c r="G145" i="1"/>
  <c r="K144" i="1"/>
  <c r="N144" i="1"/>
  <c r="K27" i="1"/>
  <c r="K26" i="1"/>
  <c r="M26" i="1"/>
  <c r="H28" i="1"/>
  <c r="AA28" i="1"/>
  <c r="K28" i="1"/>
  <c r="K29" i="1"/>
  <c r="M29" i="1"/>
  <c r="K30" i="1"/>
  <c r="M30" i="1"/>
  <c r="G242" i="1"/>
  <c r="L242" i="1"/>
  <c r="F242" i="1"/>
  <c r="D242" i="1"/>
  <c r="M139" i="1"/>
  <c r="F139" i="1"/>
  <c r="D139" i="1"/>
  <c r="M144" i="1"/>
  <c r="N28" i="1"/>
  <c r="L28" i="1"/>
  <c r="M28" i="1"/>
  <c r="M242" i="1"/>
  <c r="F28" i="1"/>
  <c r="D28" i="1"/>
  <c r="AA676" i="1"/>
  <c r="S676" i="1"/>
  <c r="I676" i="1"/>
  <c r="R676" i="1"/>
  <c r="L676" i="1"/>
  <c r="D676" i="1"/>
  <c r="K676" i="1"/>
  <c r="N676" i="1"/>
  <c r="M676" i="1"/>
  <c r="U420" i="1"/>
  <c r="U663" i="1"/>
  <c r="U1015" i="1"/>
  <c r="B1110" i="1"/>
  <c r="N15" i="17"/>
  <c r="Q15" i="17"/>
  <c r="R15" i="17"/>
  <c r="N14" i="17"/>
  <c r="Q14" i="17"/>
  <c r="R14" i="17"/>
  <c r="N18" i="17"/>
  <c r="Q18" i="17"/>
  <c r="R18" i="17"/>
  <c r="AA294" i="1"/>
  <c r="S294" i="1"/>
  <c r="I294" i="1"/>
  <c r="L294" i="1"/>
  <c r="K294" i="1"/>
  <c r="M294" i="1"/>
  <c r="AA512" i="1"/>
  <c r="S512" i="1"/>
  <c r="I512" i="1"/>
  <c r="R512" i="1"/>
  <c r="L512" i="1"/>
  <c r="D512" i="1"/>
  <c r="H511" i="1"/>
  <c r="S511" i="1"/>
  <c r="I511" i="1"/>
  <c r="R511" i="1"/>
  <c r="K511" i="1"/>
  <c r="K512" i="1"/>
  <c r="N512" i="1"/>
  <c r="M512" i="1"/>
  <c r="AA541" i="1"/>
  <c r="S541" i="1"/>
  <c r="I541" i="1"/>
  <c r="R541" i="1"/>
  <c r="L541" i="1"/>
  <c r="D541" i="1"/>
  <c r="H540" i="1"/>
  <c r="L540" i="1"/>
  <c r="K541" i="1"/>
  <c r="N541" i="1"/>
  <c r="AA197" i="1"/>
  <c r="S197" i="1"/>
  <c r="I197" i="1"/>
  <c r="R197" i="1"/>
  <c r="L197" i="1"/>
  <c r="D197" i="1"/>
  <c r="AA188" i="1"/>
  <c r="S188" i="1"/>
  <c r="I188" i="1"/>
  <c r="L188" i="1"/>
  <c r="M541" i="1"/>
  <c r="K197" i="1"/>
  <c r="K188" i="1"/>
  <c r="M188" i="1"/>
  <c r="N197" i="1"/>
  <c r="M197" i="1"/>
  <c r="F12" i="10"/>
  <c r="F13" i="10"/>
  <c r="F14" i="10"/>
  <c r="AA482" i="1"/>
  <c r="S482" i="1"/>
  <c r="I482" i="1"/>
  <c r="R482" i="1"/>
  <c r="L482" i="1"/>
  <c r="D482" i="1"/>
  <c r="S480" i="1"/>
  <c r="I480" i="1"/>
  <c r="R480" i="1"/>
  <c r="AA473" i="1"/>
  <c r="S473" i="1"/>
  <c r="I473" i="1"/>
  <c r="R473" i="1"/>
  <c r="L473" i="1"/>
  <c r="D473" i="1"/>
  <c r="H472" i="1"/>
  <c r="S472" i="1"/>
  <c r="I472" i="1"/>
  <c r="R472" i="1"/>
  <c r="AA119" i="1"/>
  <c r="S119" i="1"/>
  <c r="I119" i="1"/>
  <c r="L119" i="1"/>
  <c r="B119" i="1"/>
  <c r="AA730" i="1"/>
  <c r="S730" i="1"/>
  <c r="I730" i="1"/>
  <c r="L730" i="1"/>
  <c r="AA1251" i="1"/>
  <c r="AA1253" i="1"/>
  <c r="AA1255" i="1"/>
  <c r="AA1257" i="1"/>
  <c r="AA1259" i="1"/>
  <c r="AA1263" i="1"/>
  <c r="AA1271" i="1"/>
  <c r="AA1273" i="1"/>
  <c r="AA1261" i="1"/>
  <c r="S1245" i="1"/>
  <c r="I1245" i="1"/>
  <c r="R1245" i="1"/>
  <c r="L1245" i="1"/>
  <c r="D1245" i="1"/>
  <c r="H1244" i="1"/>
  <c r="AA1244" i="1"/>
  <c r="S1244" i="1"/>
  <c r="I1244" i="1"/>
  <c r="S1261" i="1"/>
  <c r="I1261" i="1"/>
  <c r="R1261" i="1"/>
  <c r="L1261" i="1"/>
  <c r="D1261" i="1"/>
  <c r="H1260" i="1"/>
  <c r="AA1260" i="1"/>
  <c r="S1260" i="1"/>
  <c r="I1260" i="1"/>
  <c r="K480" i="1"/>
  <c r="K482" i="1"/>
  <c r="M482" i="1"/>
  <c r="K472" i="1"/>
  <c r="N472" i="1"/>
  <c r="K473" i="1"/>
  <c r="N473" i="1"/>
  <c r="AA472" i="1"/>
  <c r="K119" i="1"/>
  <c r="M119" i="1"/>
  <c r="K730" i="1"/>
  <c r="M730" i="1"/>
  <c r="K1261" i="1"/>
  <c r="M1261" i="1"/>
  <c r="K1245" i="1"/>
  <c r="M1245" i="1"/>
  <c r="L1260" i="1"/>
  <c r="K1244" i="1"/>
  <c r="K1260" i="1"/>
  <c r="N1260" i="1"/>
  <c r="L1244" i="1"/>
  <c r="AA757" i="1"/>
  <c r="S757" i="1"/>
  <c r="I757" i="1"/>
  <c r="L757" i="1"/>
  <c r="AA174" i="1"/>
  <c r="S174" i="1"/>
  <c r="I174" i="1"/>
  <c r="R174" i="1"/>
  <c r="L174" i="1"/>
  <c r="D174" i="1"/>
  <c r="B174" i="1"/>
  <c r="H173" i="1"/>
  <c r="S173" i="1"/>
  <c r="I173" i="1"/>
  <c r="K173" i="1"/>
  <c r="R173" i="1"/>
  <c r="AA193" i="1"/>
  <c r="S193" i="1"/>
  <c r="I193" i="1"/>
  <c r="R193" i="1"/>
  <c r="L193" i="1"/>
  <c r="D193" i="1"/>
  <c r="S190" i="1"/>
  <c r="I190" i="1"/>
  <c r="R190" i="1"/>
  <c r="AA939" i="1"/>
  <c r="S939" i="1"/>
  <c r="I939" i="1"/>
  <c r="R939" i="1"/>
  <c r="L939" i="1"/>
  <c r="AA380" i="1"/>
  <c r="AA410" i="1"/>
  <c r="S380" i="1"/>
  <c r="S407" i="1"/>
  <c r="I407" i="1"/>
  <c r="K407" i="1"/>
  <c r="H190" i="1"/>
  <c r="AA190" i="1"/>
  <c r="N482" i="1"/>
  <c r="N119" i="1"/>
  <c r="M473" i="1"/>
  <c r="N1245" i="1"/>
  <c r="N1261" i="1"/>
  <c r="M1244" i="1"/>
  <c r="N1244" i="1"/>
  <c r="F1244" i="1"/>
  <c r="D1244" i="1"/>
  <c r="F1260" i="1"/>
  <c r="D1260" i="1"/>
  <c r="M1260" i="1"/>
  <c r="K757" i="1"/>
  <c r="M757" i="1"/>
  <c r="K174" i="1"/>
  <c r="N174" i="1"/>
  <c r="N173" i="1"/>
  <c r="L173" i="1"/>
  <c r="F173" i="1"/>
  <c r="D173" i="1"/>
  <c r="AA173" i="1"/>
  <c r="K193" i="1"/>
  <c r="N193" i="1"/>
  <c r="K190" i="1"/>
  <c r="K939" i="1"/>
  <c r="M939" i="1"/>
  <c r="AA407" i="1"/>
  <c r="N407" i="1"/>
  <c r="N190" i="1"/>
  <c r="M173" i="1"/>
  <c r="M174" i="1"/>
  <c r="N939" i="1"/>
  <c r="M193" i="1"/>
  <c r="AA446" i="1"/>
  <c r="S446" i="1"/>
  <c r="I446" i="1"/>
  <c r="R446" i="1"/>
  <c r="L446" i="1"/>
  <c r="D446" i="1"/>
  <c r="H1009" i="1"/>
  <c r="K446" i="1"/>
  <c r="M446" i="1"/>
  <c r="AA395" i="1"/>
  <c r="S395" i="1"/>
  <c r="I395" i="1"/>
  <c r="R395" i="1"/>
  <c r="L395" i="1"/>
  <c r="D395" i="1"/>
  <c r="H394" i="1"/>
  <c r="S394" i="1"/>
  <c r="I394" i="1"/>
  <c r="R394" i="1"/>
  <c r="AA364" i="1"/>
  <c r="S364" i="1"/>
  <c r="I364" i="1"/>
  <c r="R364" i="1"/>
  <c r="L364" i="1"/>
  <c r="D364" i="1"/>
  <c r="H363" i="1"/>
  <c r="S363" i="1"/>
  <c r="I363" i="1"/>
  <c r="R363" i="1"/>
  <c r="AA368" i="1"/>
  <c r="S368" i="1"/>
  <c r="I368" i="1"/>
  <c r="R368" i="1"/>
  <c r="L368" i="1"/>
  <c r="D368" i="1"/>
  <c r="H367" i="1"/>
  <c r="S367" i="1"/>
  <c r="I367" i="1"/>
  <c r="R367" i="1"/>
  <c r="V420" i="1"/>
  <c r="W420" i="1"/>
  <c r="T420" i="1"/>
  <c r="S354" i="1"/>
  <c r="I354" i="1"/>
  <c r="K354" i="1"/>
  <c r="AA418" i="1"/>
  <c r="S418" i="1"/>
  <c r="I418" i="1"/>
  <c r="L418" i="1"/>
  <c r="AA419" i="1"/>
  <c r="S419" i="1"/>
  <c r="I419" i="1"/>
  <c r="L419" i="1"/>
  <c r="AA394" i="1"/>
  <c r="K394" i="1"/>
  <c r="K395" i="1"/>
  <c r="N395" i="1"/>
  <c r="AA367" i="1"/>
  <c r="K363" i="1"/>
  <c r="N363" i="1"/>
  <c r="K364" i="1"/>
  <c r="M364" i="1"/>
  <c r="K368" i="1"/>
  <c r="N368" i="1"/>
  <c r="L363" i="1"/>
  <c r="AA363" i="1"/>
  <c r="K367" i="1"/>
  <c r="N367" i="1"/>
  <c r="L367" i="1"/>
  <c r="K418" i="1"/>
  <c r="M418" i="1"/>
  <c r="K419" i="1"/>
  <c r="M419" i="1"/>
  <c r="AA318" i="1"/>
  <c r="S318" i="1"/>
  <c r="I318" i="1"/>
  <c r="R318" i="1"/>
  <c r="L318" i="1"/>
  <c r="D318" i="1"/>
  <c r="AA335" i="1"/>
  <c r="S335" i="1"/>
  <c r="R335" i="1"/>
  <c r="L335" i="1"/>
  <c r="K335" i="1"/>
  <c r="D335" i="1"/>
  <c r="AA333" i="1"/>
  <c r="S333" i="1"/>
  <c r="I333" i="1"/>
  <c r="R333" i="1"/>
  <c r="N394" i="1"/>
  <c r="M395" i="1"/>
  <c r="N364" i="1"/>
  <c r="F367" i="1"/>
  <c r="D367" i="1"/>
  <c r="F363" i="1"/>
  <c r="D363" i="1"/>
  <c r="M368" i="1"/>
  <c r="M363" i="1"/>
  <c r="M367" i="1"/>
  <c r="K318" i="1"/>
  <c r="N318" i="1"/>
  <c r="L333" i="1"/>
  <c r="K333" i="1"/>
  <c r="N335" i="1"/>
  <c r="M335" i="1"/>
  <c r="M318" i="1"/>
  <c r="F333" i="1"/>
  <c r="D333" i="1"/>
  <c r="M333" i="1"/>
  <c r="N333" i="1"/>
  <c r="AA1005" i="1"/>
  <c r="AA1006" i="1"/>
  <c r="AA1007" i="1"/>
  <c r="AA1008" i="1"/>
  <c r="AA567" i="1"/>
  <c r="S567" i="1"/>
  <c r="I567" i="1"/>
  <c r="R567" i="1"/>
  <c r="L567" i="1"/>
  <c r="AT20" i="2"/>
  <c r="E20" i="2"/>
  <c r="D20" i="2"/>
  <c r="C20" i="2"/>
  <c r="E27" i="2"/>
  <c r="D27" i="2"/>
  <c r="C27" i="2"/>
  <c r="H808" i="1"/>
  <c r="AA118" i="1"/>
  <c r="S118" i="1"/>
  <c r="I118" i="1"/>
  <c r="L118" i="1"/>
  <c r="B118" i="1"/>
  <c r="K567" i="1"/>
  <c r="K118" i="1"/>
  <c r="N118" i="1"/>
  <c r="N567" i="1"/>
  <c r="M567" i="1"/>
  <c r="M118" i="1"/>
  <c r="I1" i="2"/>
  <c r="AA904" i="1"/>
  <c r="S904" i="1"/>
  <c r="I904" i="1"/>
  <c r="L904" i="1"/>
  <c r="S903" i="1"/>
  <c r="I903" i="1"/>
  <c r="R903" i="1"/>
  <c r="K904" i="1"/>
  <c r="M904" i="1"/>
  <c r="K903" i="1"/>
  <c r="AA241" i="1"/>
  <c r="S241" i="1"/>
  <c r="I241" i="1"/>
  <c r="R241" i="1"/>
  <c r="L241" i="1"/>
  <c r="D241" i="1"/>
  <c r="B241" i="1"/>
  <c r="H240" i="1"/>
  <c r="S240" i="1"/>
  <c r="I240" i="1"/>
  <c r="K240" i="1"/>
  <c r="R240" i="1"/>
  <c r="N240" i="1"/>
  <c r="AA240" i="1"/>
  <c r="L240" i="1"/>
  <c r="F240" i="1"/>
  <c r="D240" i="1"/>
  <c r="K241" i="1"/>
  <c r="S1108" i="1"/>
  <c r="I1108" i="1"/>
  <c r="R1108" i="1"/>
  <c r="L1108" i="1"/>
  <c r="D1108" i="1"/>
  <c r="B1108" i="1"/>
  <c r="H1107" i="1"/>
  <c r="L1107" i="1"/>
  <c r="S1107" i="1"/>
  <c r="I1107" i="1"/>
  <c r="M241" i="1"/>
  <c r="N241" i="1"/>
  <c r="M240" i="1"/>
  <c r="K1108" i="1"/>
  <c r="M1108" i="1"/>
  <c r="K1107" i="1"/>
  <c r="N1107" i="1"/>
  <c r="F1107" i="1"/>
  <c r="D1107" i="1"/>
  <c r="M1107" i="1"/>
  <c r="N1108" i="1"/>
  <c r="S1166" i="1"/>
  <c r="I1166" i="1"/>
  <c r="R1166" i="1"/>
  <c r="L1166" i="1"/>
  <c r="D1166" i="1"/>
  <c r="B1166" i="1"/>
  <c r="H1165" i="1"/>
  <c r="S1165" i="1"/>
  <c r="I1165" i="1"/>
  <c r="AA598" i="1"/>
  <c r="S598" i="1"/>
  <c r="I598" i="1"/>
  <c r="L598" i="1"/>
  <c r="S597" i="1"/>
  <c r="I597" i="1"/>
  <c r="R597" i="1"/>
  <c r="AA576" i="1"/>
  <c r="S576" i="1"/>
  <c r="I576" i="1"/>
  <c r="R576" i="1"/>
  <c r="L576" i="1"/>
  <c r="S575" i="1"/>
  <c r="I575" i="1"/>
  <c r="R575" i="1"/>
  <c r="AA597" i="1"/>
  <c r="K1165" i="1"/>
  <c r="K1166" i="1"/>
  <c r="N1166" i="1"/>
  <c r="K598" i="1"/>
  <c r="M598" i="1"/>
  <c r="K597" i="1"/>
  <c r="K576" i="1"/>
  <c r="F576" i="1"/>
  <c r="D576" i="1"/>
  <c r="K575" i="1"/>
  <c r="N575" i="1"/>
  <c r="AA575" i="1"/>
  <c r="L575" i="1"/>
  <c r="N1165" i="1"/>
  <c r="M1166" i="1"/>
  <c r="N597" i="1"/>
  <c r="M576" i="1"/>
  <c r="L597" i="1"/>
  <c r="F597" i="1"/>
  <c r="D597" i="1"/>
  <c r="N576" i="1"/>
  <c r="F575" i="1"/>
  <c r="D575" i="1"/>
  <c r="M575" i="1"/>
  <c r="M597" i="1"/>
  <c r="AA695" i="1"/>
  <c r="S695" i="1"/>
  <c r="I695" i="1"/>
  <c r="L695" i="1"/>
  <c r="S694" i="1"/>
  <c r="I694" i="1"/>
  <c r="R694" i="1"/>
  <c r="G694" i="1"/>
  <c r="K694" i="1"/>
  <c r="N694" i="1"/>
  <c r="K695" i="1"/>
  <c r="M695" i="1"/>
  <c r="AA694" i="1"/>
  <c r="L694" i="1"/>
  <c r="F694" i="1"/>
  <c r="D694" i="1"/>
  <c r="F695" i="1"/>
  <c r="M694" i="1"/>
  <c r="AA704" i="1"/>
  <c r="S704" i="1"/>
  <c r="I704" i="1"/>
  <c r="L704" i="1"/>
  <c r="AA518" i="1"/>
  <c r="S518" i="1"/>
  <c r="I518" i="1"/>
  <c r="R518" i="1"/>
  <c r="L518" i="1"/>
  <c r="D518" i="1"/>
  <c r="AA466" i="1"/>
  <c r="S466" i="1"/>
  <c r="I466" i="1"/>
  <c r="L466" i="1"/>
  <c r="K704" i="1"/>
  <c r="M704" i="1"/>
  <c r="K518" i="1"/>
  <c r="K466" i="1"/>
  <c r="M466" i="1"/>
  <c r="N518" i="1"/>
  <c r="M518" i="1"/>
  <c r="AA433" i="1"/>
  <c r="S433" i="1"/>
  <c r="I433" i="1"/>
  <c r="R433" i="1"/>
  <c r="L433" i="1"/>
  <c r="D433" i="1"/>
  <c r="K433" i="1"/>
  <c r="N433" i="1"/>
  <c r="M433" i="1"/>
  <c r="V663" i="1"/>
  <c r="W663" i="1"/>
  <c r="AA783" i="1"/>
  <c r="S783" i="1"/>
  <c r="I783" i="1"/>
  <c r="K783" i="1"/>
  <c r="L783" i="1"/>
  <c r="AA782" i="1"/>
  <c r="S782" i="1"/>
  <c r="I782" i="1"/>
  <c r="L782" i="1"/>
  <c r="S781" i="1"/>
  <c r="I781" i="1"/>
  <c r="Q781" i="1"/>
  <c r="R781" i="1"/>
  <c r="AA780" i="1"/>
  <c r="S780" i="1"/>
  <c r="I780" i="1"/>
  <c r="R780" i="1"/>
  <c r="L780" i="1"/>
  <c r="D780" i="1"/>
  <c r="H779" i="1"/>
  <c r="S779" i="1"/>
  <c r="I779" i="1"/>
  <c r="Q779" i="1"/>
  <c r="R779" i="1"/>
  <c r="AA776" i="1"/>
  <c r="S776" i="1"/>
  <c r="I776" i="1"/>
  <c r="L776" i="1"/>
  <c r="H781" i="1"/>
  <c r="L781" i="1"/>
  <c r="K779" i="1"/>
  <c r="N779" i="1"/>
  <c r="K776" i="1"/>
  <c r="N776" i="1"/>
  <c r="K780" i="1"/>
  <c r="N780" i="1"/>
  <c r="K782" i="1"/>
  <c r="N782" i="1"/>
  <c r="K781" i="1"/>
  <c r="L779" i="1"/>
  <c r="AA779" i="1"/>
  <c r="N783" i="1"/>
  <c r="M783" i="1"/>
  <c r="F783" i="1"/>
  <c r="D783" i="1"/>
  <c r="F779" i="1"/>
  <c r="D779" i="1"/>
  <c r="AA781" i="1"/>
  <c r="N781" i="1"/>
  <c r="F782" i="1"/>
  <c r="D782" i="1"/>
  <c r="M782" i="1"/>
  <c r="M781" i="1"/>
  <c r="M780" i="1"/>
  <c r="M776" i="1"/>
  <c r="F781" i="1"/>
  <c r="D781" i="1"/>
  <c r="M779" i="1"/>
  <c r="B10" i="17"/>
  <c r="E10" i="17"/>
  <c r="F10" i="17"/>
  <c r="AA231" i="1"/>
  <c r="S231" i="1"/>
  <c r="I231" i="1"/>
  <c r="R231" i="1"/>
  <c r="L231" i="1"/>
  <c r="D231" i="1"/>
  <c r="S230" i="1"/>
  <c r="I230" i="1"/>
  <c r="R230" i="1"/>
  <c r="H230" i="1"/>
  <c r="AA230" i="1"/>
  <c r="K230" i="1"/>
  <c r="K231" i="1"/>
  <c r="N230" i="1"/>
  <c r="N231" i="1"/>
  <c r="M231" i="1"/>
  <c r="B12" i="15"/>
  <c r="E12" i="15"/>
  <c r="F12" i="15"/>
  <c r="H12" i="10"/>
  <c r="H13" i="10"/>
  <c r="H14" i="10"/>
  <c r="E12" i="10"/>
  <c r="E13" i="10"/>
  <c r="E14" i="10"/>
  <c r="AA658" i="1"/>
  <c r="S658" i="1"/>
  <c r="I658" i="1"/>
  <c r="K658" i="1"/>
  <c r="L658" i="1"/>
  <c r="AA657" i="1"/>
  <c r="S657" i="1"/>
  <c r="I657" i="1"/>
  <c r="K657" i="1"/>
  <c r="L657" i="1"/>
  <c r="D657" i="1"/>
  <c r="H656" i="1"/>
  <c r="S656" i="1"/>
  <c r="I656" i="1"/>
  <c r="Q656" i="1"/>
  <c r="R656" i="1"/>
  <c r="AA655" i="1"/>
  <c r="S655" i="1"/>
  <c r="I655" i="1"/>
  <c r="K655" i="1"/>
  <c r="R655" i="1"/>
  <c r="L655" i="1"/>
  <c r="D655" i="1"/>
  <c r="M657" i="1"/>
  <c r="M658" i="1"/>
  <c r="K656" i="1"/>
  <c r="N656" i="1"/>
  <c r="AA656" i="1"/>
  <c r="L656" i="1"/>
  <c r="N655" i="1"/>
  <c r="M655" i="1"/>
  <c r="M656" i="1"/>
  <c r="F656" i="1"/>
  <c r="D656" i="1"/>
  <c r="C6" i="10"/>
  <c r="C7" i="10"/>
  <c r="C8" i="10"/>
  <c r="C17" i="10"/>
  <c r="C18" i="10"/>
  <c r="C19" i="10"/>
  <c r="C1213" i="10"/>
  <c r="C12" i="10"/>
  <c r="C13" i="10"/>
  <c r="C14" i="10"/>
  <c r="D12" i="10"/>
  <c r="D13" i="10"/>
  <c r="D14" i="10"/>
  <c r="G12" i="10"/>
  <c r="G13" i="10"/>
  <c r="G14" i="10"/>
  <c r="I12" i="10"/>
  <c r="I13" i="10"/>
  <c r="I14" i="10"/>
  <c r="J12" i="10"/>
  <c r="J13" i="10"/>
  <c r="J14" i="10"/>
  <c r="K12" i="10"/>
  <c r="K13" i="10"/>
  <c r="K14" i="10"/>
  <c r="L12" i="10"/>
  <c r="L13" i="10"/>
  <c r="L14" i="10"/>
  <c r="R897" i="1"/>
  <c r="S897" i="1"/>
  <c r="I897" i="1"/>
  <c r="L898" i="1"/>
  <c r="S898" i="1"/>
  <c r="I898" i="1"/>
  <c r="AA898" i="1"/>
  <c r="H897" i="1"/>
  <c r="L897" i="1"/>
  <c r="C20" i="10"/>
  <c r="M14" i="10"/>
  <c r="K897" i="1"/>
  <c r="K898" i="1"/>
  <c r="M898" i="1"/>
  <c r="AA897" i="1"/>
  <c r="F897" i="1"/>
  <c r="D897" i="1"/>
  <c r="M897" i="1"/>
  <c r="N897" i="1"/>
  <c r="H12" i="17"/>
  <c r="K12" i="17"/>
  <c r="L12" i="17"/>
  <c r="B11" i="15"/>
  <c r="E11" i="15"/>
  <c r="F11" i="15"/>
  <c r="AA127" i="1"/>
  <c r="S127" i="1"/>
  <c r="I127" i="1"/>
  <c r="K127" i="1"/>
  <c r="L127" i="1"/>
  <c r="D127" i="1"/>
  <c r="AA95" i="1"/>
  <c r="S95" i="1"/>
  <c r="I95" i="1"/>
  <c r="L95" i="1"/>
  <c r="D95" i="1"/>
  <c r="AA752" i="1"/>
  <c r="S752" i="1"/>
  <c r="I752" i="1"/>
  <c r="R752" i="1"/>
  <c r="L752" i="1"/>
  <c r="D752" i="1"/>
  <c r="AA53" i="1"/>
  <c r="S53" i="1"/>
  <c r="I53" i="1"/>
  <c r="L53" i="1"/>
  <c r="B53" i="1"/>
  <c r="L18" i="10"/>
  <c r="L19" i="10"/>
  <c r="L20" i="10"/>
  <c r="N127" i="1"/>
  <c r="M127" i="1"/>
  <c r="K95" i="1"/>
  <c r="M95" i="1"/>
  <c r="K752" i="1"/>
  <c r="N752" i="1"/>
  <c r="K53" i="1"/>
  <c r="M53" i="1"/>
  <c r="N95" i="1"/>
  <c r="M752" i="1"/>
  <c r="N53" i="1"/>
  <c r="S1080" i="1"/>
  <c r="I1080" i="1"/>
  <c r="R1080" i="1"/>
  <c r="L1080" i="1"/>
  <c r="D1080" i="1"/>
  <c r="H1079" i="1"/>
  <c r="S1079" i="1"/>
  <c r="I1079" i="1"/>
  <c r="K1080" i="1"/>
  <c r="M1080" i="1"/>
  <c r="K1079" i="1"/>
  <c r="N1080" i="1"/>
  <c r="N1079" i="1"/>
  <c r="L1054" i="1"/>
  <c r="AA542" i="1"/>
  <c r="S542" i="1"/>
  <c r="I542" i="1"/>
  <c r="R542" i="1"/>
  <c r="L542" i="1"/>
  <c r="D542" i="1"/>
  <c r="S540" i="1"/>
  <c r="I540" i="1"/>
  <c r="K540" i="1"/>
  <c r="R540" i="1"/>
  <c r="AA493" i="1"/>
  <c r="S493" i="1"/>
  <c r="I493" i="1"/>
  <c r="R493" i="1"/>
  <c r="L493" i="1"/>
  <c r="D493" i="1"/>
  <c r="AA494" i="1"/>
  <c r="S494" i="1"/>
  <c r="I494" i="1"/>
  <c r="R494" i="1"/>
  <c r="L494" i="1"/>
  <c r="D494" i="1"/>
  <c r="AA479" i="1"/>
  <c r="S479" i="1"/>
  <c r="I479" i="1"/>
  <c r="R479" i="1"/>
  <c r="L479" i="1"/>
  <c r="D479" i="1"/>
  <c r="S478" i="1"/>
  <c r="I478" i="1"/>
  <c r="K478" i="1"/>
  <c r="R478" i="1"/>
  <c r="AA171" i="1"/>
  <c r="S171" i="1"/>
  <c r="I171" i="1"/>
  <c r="R171" i="1"/>
  <c r="L171" i="1"/>
  <c r="D171" i="1"/>
  <c r="B171" i="1"/>
  <c r="T5" i="1"/>
  <c r="AA627" i="1"/>
  <c r="S627" i="1"/>
  <c r="I627" i="1"/>
  <c r="L627" i="1"/>
  <c r="AA622" i="1"/>
  <c r="S622" i="1"/>
  <c r="I622" i="1"/>
  <c r="L622" i="1"/>
  <c r="S867" i="1"/>
  <c r="I867" i="1"/>
  <c r="Q867" i="1"/>
  <c r="R867" i="1"/>
  <c r="F540" i="1"/>
  <c r="D540" i="1"/>
  <c r="N540" i="1"/>
  <c r="M540" i="1"/>
  <c r="K542" i="1"/>
  <c r="M542" i="1"/>
  <c r="AA540" i="1"/>
  <c r="K494" i="1"/>
  <c r="N494" i="1"/>
  <c r="K493" i="1"/>
  <c r="M493" i="1"/>
  <c r="K479" i="1"/>
  <c r="K171" i="1"/>
  <c r="N171" i="1"/>
  <c r="K627" i="1"/>
  <c r="M627" i="1"/>
  <c r="K622" i="1"/>
  <c r="M622" i="1"/>
  <c r="K867" i="1"/>
  <c r="N493" i="1"/>
  <c r="N542" i="1"/>
  <c r="M494" i="1"/>
  <c r="M171" i="1"/>
  <c r="N479" i="1"/>
  <c r="M479" i="1"/>
  <c r="N622" i="1"/>
  <c r="F622" i="1"/>
  <c r="D622" i="1"/>
  <c r="AA445" i="1"/>
  <c r="S445" i="1"/>
  <c r="I445" i="1"/>
  <c r="R445" i="1"/>
  <c r="L445" i="1"/>
  <c r="D445" i="1"/>
  <c r="L311" i="1"/>
  <c r="K445" i="1"/>
  <c r="M445" i="1"/>
  <c r="G573" i="1"/>
  <c r="G566" i="1"/>
  <c r="R234" i="1"/>
  <c r="S234" i="1"/>
  <c r="I234" i="1"/>
  <c r="B235" i="1"/>
  <c r="H234" i="1"/>
  <c r="AA234" i="1"/>
  <c r="D235" i="1"/>
  <c r="L235" i="1"/>
  <c r="R235" i="1"/>
  <c r="S235" i="1"/>
  <c r="I235" i="1"/>
  <c r="AA235" i="1"/>
  <c r="K234" i="1"/>
  <c r="N234" i="1"/>
  <c r="K235" i="1"/>
  <c r="M235" i="1"/>
  <c r="AA766" i="1"/>
  <c r="S766" i="1"/>
  <c r="I766" i="1"/>
  <c r="L766" i="1"/>
  <c r="K766" i="1"/>
  <c r="M766" i="1"/>
  <c r="AA1284" i="1"/>
  <c r="S1284" i="1"/>
  <c r="I1284" i="1"/>
  <c r="R1284" i="1"/>
  <c r="L1284" i="1"/>
  <c r="D1284" i="1"/>
  <c r="B1284" i="1"/>
  <c r="S1317" i="1"/>
  <c r="I1317" i="1"/>
  <c r="R1317" i="1"/>
  <c r="L1317" i="1"/>
  <c r="D1317" i="1"/>
  <c r="S1314" i="1"/>
  <c r="I1314" i="1"/>
  <c r="R1314" i="1"/>
  <c r="L1314" i="1"/>
  <c r="D1314" i="1"/>
  <c r="S1311" i="1"/>
  <c r="I1311" i="1"/>
  <c r="R1311" i="1"/>
  <c r="L1311" i="1"/>
  <c r="D1311" i="1"/>
  <c r="K1284" i="1"/>
  <c r="N1284" i="1"/>
  <c r="K1317" i="1"/>
  <c r="M1317" i="1"/>
  <c r="K1314" i="1"/>
  <c r="N1314" i="1"/>
  <c r="K1311" i="1"/>
  <c r="M1311" i="1"/>
  <c r="M1284" i="1"/>
  <c r="N1317" i="1"/>
  <c r="M1314" i="1"/>
  <c r="N1311" i="1"/>
  <c r="S1170" i="1"/>
  <c r="I1170" i="1"/>
  <c r="K1170" i="1"/>
  <c r="R1170" i="1"/>
  <c r="L1170" i="1"/>
  <c r="D1170" i="1"/>
  <c r="B1170" i="1"/>
  <c r="H1169" i="1"/>
  <c r="S1169" i="1"/>
  <c r="I1169" i="1"/>
  <c r="K1169" i="1"/>
  <c r="N1170" i="1"/>
  <c r="M1170" i="1"/>
  <c r="N1169" i="1"/>
  <c r="AA876" i="1"/>
  <c r="S876" i="1"/>
  <c r="I876" i="1"/>
  <c r="K876" i="1"/>
  <c r="L876" i="1"/>
  <c r="F876" i="1"/>
  <c r="D876" i="1"/>
  <c r="N876" i="1"/>
  <c r="M876" i="1"/>
  <c r="Y1015" i="1"/>
  <c r="H18" i="10"/>
  <c r="H19" i="10"/>
  <c r="H20" i="10"/>
  <c r="AA414" i="1"/>
  <c r="S414" i="1"/>
  <c r="I414" i="1"/>
  <c r="K414" i="1"/>
  <c r="R414" i="1"/>
  <c r="L414" i="1"/>
  <c r="D414" i="1"/>
  <c r="N414" i="1"/>
  <c r="M414" i="1"/>
  <c r="AA1215" i="1"/>
  <c r="AA1212" i="1"/>
  <c r="AA1224" i="1"/>
  <c r="AA1225" i="1"/>
  <c r="AA1226" i="1"/>
  <c r="AA1228" i="1"/>
  <c r="AA1229" i="1"/>
  <c r="AA1230" i="1"/>
  <c r="AA1231" i="1"/>
  <c r="AA1240" i="1"/>
  <c r="AA1241" i="1"/>
  <c r="AA1242" i="1"/>
  <c r="AA1243" i="1"/>
  <c r="AA1247" i="1"/>
  <c r="AA1249" i="1"/>
  <c r="G967" i="1"/>
  <c r="B135" i="1"/>
  <c r="B136" i="1"/>
  <c r="H132" i="1"/>
  <c r="B1121" i="1"/>
  <c r="H1122" i="1"/>
  <c r="B8" i="17"/>
  <c r="E8" i="17"/>
  <c r="F8" i="17"/>
  <c r="N7" i="17"/>
  <c r="Q7" i="17"/>
  <c r="R7" i="17"/>
  <c r="S1168" i="1"/>
  <c r="I1168" i="1"/>
  <c r="R1168" i="1"/>
  <c r="L1168" i="1"/>
  <c r="D1168" i="1"/>
  <c r="B1168" i="1"/>
  <c r="H1167" i="1"/>
  <c r="S1167" i="1"/>
  <c r="I1167" i="1"/>
  <c r="S1076" i="1"/>
  <c r="I1076" i="1"/>
  <c r="R1076" i="1"/>
  <c r="L1076" i="1"/>
  <c r="D1076" i="1"/>
  <c r="B1076" i="1"/>
  <c r="H1075" i="1"/>
  <c r="S1075" i="1"/>
  <c r="I1075" i="1"/>
  <c r="S1074" i="1"/>
  <c r="I1074" i="1"/>
  <c r="R1074" i="1"/>
  <c r="L1074" i="1"/>
  <c r="D1074" i="1"/>
  <c r="B1074" i="1"/>
  <c r="H1073" i="1"/>
  <c r="S1073" i="1"/>
  <c r="I1073" i="1"/>
  <c r="S1164" i="1"/>
  <c r="I1164" i="1"/>
  <c r="R1164" i="1"/>
  <c r="L1164" i="1"/>
  <c r="D1164" i="1"/>
  <c r="H1163" i="1"/>
  <c r="S1163" i="1"/>
  <c r="I1163" i="1"/>
  <c r="K1168" i="1"/>
  <c r="N1168" i="1"/>
  <c r="K1167" i="1"/>
  <c r="K1076" i="1"/>
  <c r="M1076" i="1"/>
  <c r="K1075" i="1"/>
  <c r="N1075" i="1"/>
  <c r="K1074" i="1"/>
  <c r="M1074" i="1"/>
  <c r="K1073" i="1"/>
  <c r="K1163" i="1"/>
  <c r="K1164" i="1"/>
  <c r="M1164" i="1"/>
  <c r="AA1016" i="1"/>
  <c r="S1016" i="1"/>
  <c r="I1016" i="1"/>
  <c r="AA1015" i="1"/>
  <c r="S1015" i="1"/>
  <c r="I1015" i="1"/>
  <c r="Q1015" i="1"/>
  <c r="R1015" i="1"/>
  <c r="AA1014" i="1"/>
  <c r="S1014" i="1"/>
  <c r="I1014" i="1"/>
  <c r="L1014" i="1"/>
  <c r="B1014" i="1"/>
  <c r="S1013" i="1"/>
  <c r="I1013" i="1"/>
  <c r="Q1013" i="1"/>
  <c r="R1013" i="1"/>
  <c r="AA1012" i="1"/>
  <c r="S1012" i="1"/>
  <c r="I1012" i="1"/>
  <c r="R1012" i="1"/>
  <c r="L1012" i="1"/>
  <c r="D1012" i="1"/>
  <c r="M1168" i="1"/>
  <c r="N1167" i="1"/>
  <c r="N1163" i="1"/>
  <c r="N1076" i="1"/>
  <c r="N1074" i="1"/>
  <c r="N1073" i="1"/>
  <c r="N1164" i="1"/>
  <c r="K1016" i="1"/>
  <c r="H1013" i="1"/>
  <c r="AA1013" i="1"/>
  <c r="K1012" i="1"/>
  <c r="N1012" i="1"/>
  <c r="K1015" i="1"/>
  <c r="K1014" i="1"/>
  <c r="M1014" i="1"/>
  <c r="K1013" i="1"/>
  <c r="AA788" i="1"/>
  <c r="S788" i="1"/>
  <c r="I788" i="1"/>
  <c r="R788" i="1"/>
  <c r="L788" i="1"/>
  <c r="D788" i="1"/>
  <c r="H787" i="1"/>
  <c r="S787" i="1"/>
  <c r="I787" i="1"/>
  <c r="R787" i="1"/>
  <c r="AA764" i="1"/>
  <c r="S764" i="1"/>
  <c r="I764" i="1"/>
  <c r="R764" i="1"/>
  <c r="L764" i="1"/>
  <c r="D764" i="1"/>
  <c r="H763" i="1"/>
  <c r="S763" i="1"/>
  <c r="I763" i="1"/>
  <c r="R763" i="1"/>
  <c r="AA642" i="1"/>
  <c r="S642" i="1"/>
  <c r="I642" i="1"/>
  <c r="L642" i="1"/>
  <c r="H641" i="1"/>
  <c r="S641" i="1"/>
  <c r="I641" i="1"/>
  <c r="R641" i="1"/>
  <c r="AA640" i="1"/>
  <c r="S640" i="1"/>
  <c r="I640" i="1"/>
  <c r="L640" i="1"/>
  <c r="H639" i="1"/>
  <c r="S639" i="1"/>
  <c r="I639" i="1"/>
  <c r="R639" i="1"/>
  <c r="M1012" i="1"/>
  <c r="N1013" i="1"/>
  <c r="K788" i="1"/>
  <c r="N788" i="1"/>
  <c r="K787" i="1"/>
  <c r="N787" i="1"/>
  <c r="AA787" i="1"/>
  <c r="AA763" i="1"/>
  <c r="K764" i="1"/>
  <c r="N764" i="1"/>
  <c r="K763" i="1"/>
  <c r="K642" i="1"/>
  <c r="M642" i="1"/>
  <c r="K641" i="1"/>
  <c r="N641" i="1"/>
  <c r="AA641" i="1"/>
  <c r="K639" i="1"/>
  <c r="N639" i="1"/>
  <c r="K640" i="1"/>
  <c r="M640" i="1"/>
  <c r="L639" i="1"/>
  <c r="AA639" i="1"/>
  <c r="AA1011" i="1"/>
  <c r="S1011" i="1"/>
  <c r="I1011" i="1"/>
  <c r="AA1010" i="1"/>
  <c r="S1010" i="1"/>
  <c r="I1010" i="1"/>
  <c r="Q1010" i="1"/>
  <c r="R1010" i="1"/>
  <c r="S1009" i="1"/>
  <c r="I1009" i="1"/>
  <c r="Q1009" i="1"/>
  <c r="R1009" i="1"/>
  <c r="S1008" i="1"/>
  <c r="I1008" i="1"/>
  <c r="R1008" i="1"/>
  <c r="L1008" i="1"/>
  <c r="D1008" i="1"/>
  <c r="AA960" i="1"/>
  <c r="S960" i="1"/>
  <c r="I960" i="1"/>
  <c r="L960" i="1"/>
  <c r="H959" i="1"/>
  <c r="S959" i="1"/>
  <c r="I959" i="1"/>
  <c r="R959" i="1"/>
  <c r="M788" i="1"/>
  <c r="M764" i="1"/>
  <c r="N763" i="1"/>
  <c r="F639" i="1"/>
  <c r="D639" i="1"/>
  <c r="M639" i="1"/>
  <c r="K1010" i="1"/>
  <c r="K1011" i="1"/>
  <c r="AA1009" i="1"/>
  <c r="K1008" i="1"/>
  <c r="M1008" i="1"/>
  <c r="K1009" i="1"/>
  <c r="K960" i="1"/>
  <c r="M960" i="1"/>
  <c r="K959" i="1"/>
  <c r="N959" i="1"/>
  <c r="AA959" i="1"/>
  <c r="N1009" i="1"/>
  <c r="N1008" i="1"/>
  <c r="R223" i="1"/>
  <c r="S223" i="1"/>
  <c r="I223" i="1"/>
  <c r="D224" i="1"/>
  <c r="L224" i="1"/>
  <c r="R224" i="1"/>
  <c r="S224" i="1"/>
  <c r="I224" i="1"/>
  <c r="AA224" i="1"/>
  <c r="S804" i="1"/>
  <c r="I804" i="1"/>
  <c r="R804" i="1"/>
  <c r="AA223" i="1"/>
  <c r="K224" i="1"/>
  <c r="M224" i="1"/>
  <c r="K223" i="1"/>
  <c r="K804" i="1"/>
  <c r="N223" i="1"/>
  <c r="N224" i="1"/>
  <c r="AA536" i="1"/>
  <c r="S536" i="1"/>
  <c r="I536" i="1"/>
  <c r="L536" i="1"/>
  <c r="H535" i="1"/>
  <c r="S535" i="1"/>
  <c r="I535" i="1"/>
  <c r="R535" i="1"/>
  <c r="AA534" i="1"/>
  <c r="S534" i="1"/>
  <c r="I534" i="1"/>
  <c r="R534" i="1"/>
  <c r="L534" i="1"/>
  <c r="D534" i="1"/>
  <c r="B82" i="1"/>
  <c r="B146" i="1"/>
  <c r="AA146" i="1"/>
  <c r="S146" i="1"/>
  <c r="I146" i="1"/>
  <c r="L146" i="1"/>
  <c r="AA167" i="1"/>
  <c r="S167" i="1"/>
  <c r="I167" i="1"/>
  <c r="R167" i="1"/>
  <c r="L167" i="1"/>
  <c r="D167" i="1"/>
  <c r="B167" i="1"/>
  <c r="AA131" i="1"/>
  <c r="S131" i="1"/>
  <c r="I131" i="1"/>
  <c r="L131" i="1"/>
  <c r="AA239" i="1"/>
  <c r="S239" i="1"/>
  <c r="I239" i="1"/>
  <c r="R239" i="1"/>
  <c r="L239" i="1"/>
  <c r="D239" i="1"/>
  <c r="B239" i="1"/>
  <c r="H238" i="1"/>
  <c r="AA238" i="1"/>
  <c r="S238" i="1"/>
  <c r="I238" i="1"/>
  <c r="K238" i="1"/>
  <c r="R238" i="1"/>
  <c r="AA237" i="1"/>
  <c r="S237" i="1"/>
  <c r="I237" i="1"/>
  <c r="R237" i="1"/>
  <c r="L237" i="1"/>
  <c r="D237" i="1"/>
  <c r="B237" i="1"/>
  <c r="H236" i="1"/>
  <c r="AA236" i="1"/>
  <c r="S236" i="1"/>
  <c r="I236" i="1"/>
  <c r="R236" i="1"/>
  <c r="P1" i="2"/>
  <c r="AA1" i="2"/>
  <c r="AA372" i="1"/>
  <c r="S372" i="1"/>
  <c r="I372" i="1"/>
  <c r="R372" i="1"/>
  <c r="L372" i="1"/>
  <c r="D372" i="1"/>
  <c r="K534" i="1"/>
  <c r="M534" i="1"/>
  <c r="K535" i="1"/>
  <c r="K536" i="1"/>
  <c r="N536" i="1"/>
  <c r="AA535" i="1"/>
  <c r="K146" i="1"/>
  <c r="M146" i="1"/>
  <c r="K167" i="1"/>
  <c r="N167" i="1"/>
  <c r="K131" i="1"/>
  <c r="M131" i="1"/>
  <c r="K239" i="1"/>
  <c r="M239" i="1"/>
  <c r="N238" i="1"/>
  <c r="K237" i="1"/>
  <c r="N237" i="1"/>
  <c r="K236" i="1"/>
  <c r="N236" i="1"/>
  <c r="K372" i="1"/>
  <c r="N534" i="1"/>
  <c r="N535" i="1"/>
  <c r="M536" i="1"/>
  <c r="F146" i="1"/>
  <c r="D146" i="1"/>
  <c r="M167" i="1"/>
  <c r="N239" i="1"/>
  <c r="M237" i="1"/>
  <c r="N372" i="1"/>
  <c r="M372" i="1"/>
  <c r="I261" i="1"/>
  <c r="AT27" i="2"/>
  <c r="G1071" i="1"/>
  <c r="G1073" i="1"/>
  <c r="G1077" i="1"/>
  <c r="L1077" i="1"/>
  <c r="G1060" i="1"/>
  <c r="G1062" i="1"/>
  <c r="G1064" i="1"/>
  <c r="F1077" i="1"/>
  <c r="D1077" i="1"/>
  <c r="M1077" i="1"/>
  <c r="G1075" i="1"/>
  <c r="L1073" i="1"/>
  <c r="L1075" i="1"/>
  <c r="M1075" i="1"/>
  <c r="G1079" i="1"/>
  <c r="L1079" i="1"/>
  <c r="F1073" i="1"/>
  <c r="D1073" i="1"/>
  <c r="M1073" i="1"/>
  <c r="G1285" i="1"/>
  <c r="S1318" i="1"/>
  <c r="I1318" i="1"/>
  <c r="R1318" i="1"/>
  <c r="L1318" i="1"/>
  <c r="D1318" i="1"/>
  <c r="S1316" i="1"/>
  <c r="I1316" i="1"/>
  <c r="S1315" i="1"/>
  <c r="I1315" i="1"/>
  <c r="R1315" i="1"/>
  <c r="L1315" i="1"/>
  <c r="D1315" i="1"/>
  <c r="S1313" i="1"/>
  <c r="I1313" i="1"/>
  <c r="S1312" i="1"/>
  <c r="I1312" i="1"/>
  <c r="R1312" i="1"/>
  <c r="L1312" i="1"/>
  <c r="D1312" i="1"/>
  <c r="S1310" i="1"/>
  <c r="I1310" i="1"/>
  <c r="F1075" i="1"/>
  <c r="D1075" i="1"/>
  <c r="M1079" i="1"/>
  <c r="F1079" i="1"/>
  <c r="D1079" i="1"/>
  <c r="H1316" i="1"/>
  <c r="AA1316" i="1"/>
  <c r="H1313" i="1"/>
  <c r="AA1313" i="1"/>
  <c r="H1310" i="1"/>
  <c r="AA1310" i="1"/>
  <c r="G1306" i="1"/>
  <c r="G1308" i="1"/>
  <c r="G1310" i="1"/>
  <c r="K1312" i="1"/>
  <c r="N1312" i="1"/>
  <c r="K1318" i="1"/>
  <c r="N1318" i="1"/>
  <c r="K1315" i="1"/>
  <c r="M1315" i="1"/>
  <c r="K1316" i="1"/>
  <c r="K1313" i="1"/>
  <c r="K1310" i="1"/>
  <c r="N1316" i="1"/>
  <c r="G1313" i="1"/>
  <c r="L1310" i="1"/>
  <c r="M1310" i="1"/>
  <c r="N1315" i="1"/>
  <c r="M1312" i="1"/>
  <c r="M1318" i="1"/>
  <c r="N1313" i="1"/>
  <c r="N1310" i="1"/>
  <c r="F1310" i="1"/>
  <c r="D1310" i="1"/>
  <c r="G1316" i="1"/>
  <c r="L1313" i="1"/>
  <c r="L1316" i="1"/>
  <c r="M1316" i="1"/>
  <c r="G1289" i="1"/>
  <c r="G1264" i="1"/>
  <c r="G1254" i="1"/>
  <c r="G1256" i="1"/>
  <c r="F1313" i="1"/>
  <c r="D1313" i="1"/>
  <c r="M1313" i="1"/>
  <c r="S1240" i="1"/>
  <c r="I1240" i="1"/>
  <c r="R1240" i="1"/>
  <c r="L1240" i="1"/>
  <c r="D1240" i="1"/>
  <c r="S1239" i="1"/>
  <c r="I1239" i="1"/>
  <c r="S1230" i="1"/>
  <c r="I1230" i="1"/>
  <c r="L1230" i="1"/>
  <c r="D1230" i="1"/>
  <c r="S1229" i="1"/>
  <c r="I1229" i="1"/>
  <c r="L1229" i="1"/>
  <c r="D1229" i="1"/>
  <c r="S1228" i="1"/>
  <c r="I1228" i="1"/>
  <c r="R1228" i="1"/>
  <c r="L1228" i="1"/>
  <c r="D1228" i="1"/>
  <c r="H1227" i="1"/>
  <c r="S1227" i="1"/>
  <c r="I1227" i="1"/>
  <c r="S1226" i="1"/>
  <c r="I1226" i="1"/>
  <c r="R1226" i="1"/>
  <c r="L1226" i="1"/>
  <c r="D1226" i="1"/>
  <c r="F1316" i="1"/>
  <c r="D1316" i="1"/>
  <c r="G1291" i="1"/>
  <c r="L1291" i="1"/>
  <c r="L1289" i="1"/>
  <c r="L1264" i="1"/>
  <c r="G1268" i="1"/>
  <c r="L1268" i="1"/>
  <c r="G1270" i="1"/>
  <c r="G1272" i="1"/>
  <c r="L1227" i="1"/>
  <c r="AA1227" i="1"/>
  <c r="L1239" i="1"/>
  <c r="AA1239" i="1"/>
  <c r="K1240" i="1"/>
  <c r="M1240" i="1"/>
  <c r="K1239" i="1"/>
  <c r="K1230" i="1"/>
  <c r="M1230" i="1"/>
  <c r="K1229" i="1"/>
  <c r="M1229" i="1"/>
  <c r="K1227" i="1"/>
  <c r="N1227" i="1"/>
  <c r="K1226" i="1"/>
  <c r="N1226" i="1"/>
  <c r="K1228" i="1"/>
  <c r="M1228" i="1"/>
  <c r="S1148" i="1"/>
  <c r="I1148" i="1"/>
  <c r="R1148" i="1"/>
  <c r="L1148" i="1"/>
  <c r="D1148" i="1"/>
  <c r="B1148" i="1"/>
  <c r="H1147" i="1"/>
  <c r="S1147" i="1"/>
  <c r="I1147" i="1"/>
  <c r="F1289" i="1"/>
  <c r="D1289" i="1"/>
  <c r="M1289" i="1"/>
  <c r="F1291" i="1"/>
  <c r="D1291" i="1"/>
  <c r="M1291" i="1"/>
  <c r="F1268" i="1"/>
  <c r="D1268" i="1"/>
  <c r="M1268" i="1"/>
  <c r="F1264" i="1"/>
  <c r="D1264" i="1"/>
  <c r="M1264" i="1"/>
  <c r="M1239" i="1"/>
  <c r="N1240" i="1"/>
  <c r="N1228" i="1"/>
  <c r="N1239" i="1"/>
  <c r="F1239" i="1"/>
  <c r="D1239" i="1"/>
  <c r="F1227" i="1"/>
  <c r="D1227" i="1"/>
  <c r="M1227" i="1"/>
  <c r="M1226" i="1"/>
  <c r="K1148" i="1"/>
  <c r="N1148" i="1"/>
  <c r="K1147" i="1"/>
  <c r="N1147" i="1"/>
  <c r="L1122" i="1"/>
  <c r="S1123" i="1"/>
  <c r="I1123" i="1"/>
  <c r="R1123" i="1"/>
  <c r="L1123" i="1"/>
  <c r="D1123" i="1"/>
  <c r="S1122" i="1"/>
  <c r="I1122" i="1"/>
  <c r="K1122" i="1"/>
  <c r="M1148" i="1"/>
  <c r="K1123" i="1"/>
  <c r="N1123" i="1"/>
  <c r="F1122" i="1"/>
  <c r="D1122" i="1"/>
  <c r="M1122" i="1"/>
  <c r="N1122" i="1"/>
  <c r="M1123" i="1"/>
  <c r="G1091" i="1"/>
  <c r="G1095" i="1"/>
  <c r="G1101" i="1"/>
  <c r="G1105" i="1"/>
  <c r="L1105" i="1"/>
  <c r="G1097" i="1"/>
  <c r="G1113" i="1"/>
  <c r="F1105" i="1"/>
  <c r="D1105" i="1"/>
  <c r="M1105" i="1"/>
  <c r="G1103" i="1"/>
  <c r="G1111" i="1"/>
  <c r="G1115" i="1"/>
  <c r="G1035" i="1"/>
  <c r="G1037" i="1"/>
  <c r="G1039" i="1"/>
  <c r="G1041" i="1"/>
  <c r="G1043" i="1"/>
  <c r="N17" i="17"/>
  <c r="Q17" i="17"/>
  <c r="R17" i="17"/>
  <c r="AA931" i="1"/>
  <c r="S931" i="1"/>
  <c r="I931" i="1"/>
  <c r="R931" i="1"/>
  <c r="L931" i="1"/>
  <c r="H930" i="1"/>
  <c r="S930" i="1"/>
  <c r="I930" i="1"/>
  <c r="R930" i="1"/>
  <c r="AA877" i="1"/>
  <c r="S877" i="1"/>
  <c r="I877" i="1"/>
  <c r="L877" i="1"/>
  <c r="S875" i="1"/>
  <c r="I875" i="1"/>
  <c r="Q875" i="1"/>
  <c r="R875" i="1"/>
  <c r="H875" i="1"/>
  <c r="L875" i="1"/>
  <c r="K931" i="1"/>
  <c r="N931" i="1"/>
  <c r="K930" i="1"/>
  <c r="N930" i="1"/>
  <c r="AA930" i="1"/>
  <c r="K875" i="1"/>
  <c r="K877" i="1"/>
  <c r="F877" i="1"/>
  <c r="D877" i="1"/>
  <c r="H765" i="1"/>
  <c r="AA648" i="1"/>
  <c r="S648" i="1"/>
  <c r="I648" i="1"/>
  <c r="L648" i="1"/>
  <c r="H647" i="1"/>
  <c r="S647" i="1"/>
  <c r="I647" i="1"/>
  <c r="R647" i="1"/>
  <c r="AA527" i="1"/>
  <c r="S527" i="1"/>
  <c r="I527" i="1"/>
  <c r="R527" i="1"/>
  <c r="L527" i="1"/>
  <c r="D527" i="1"/>
  <c r="AA463" i="1"/>
  <c r="S463" i="1"/>
  <c r="I463" i="1"/>
  <c r="R463" i="1"/>
  <c r="L463" i="1"/>
  <c r="D463" i="1"/>
  <c r="G411" i="1"/>
  <c r="AA404" i="1"/>
  <c r="S404" i="1"/>
  <c r="I404" i="1"/>
  <c r="R404" i="1"/>
  <c r="L404" i="1"/>
  <c r="AA415" i="1"/>
  <c r="S415" i="1"/>
  <c r="I415" i="1"/>
  <c r="R415" i="1"/>
  <c r="L415" i="1"/>
  <c r="D415" i="1"/>
  <c r="H413" i="1"/>
  <c r="S413" i="1"/>
  <c r="I413" i="1"/>
  <c r="R413" i="1"/>
  <c r="AA875" i="1"/>
  <c r="N875" i="1"/>
  <c r="M931" i="1"/>
  <c r="F875" i="1"/>
  <c r="D875" i="1"/>
  <c r="N877" i="1"/>
  <c r="M877" i="1"/>
  <c r="M875" i="1"/>
  <c r="AA647" i="1"/>
  <c r="K648" i="1"/>
  <c r="M648" i="1"/>
  <c r="K647" i="1"/>
  <c r="N647" i="1"/>
  <c r="L647" i="1"/>
  <c r="K527" i="1"/>
  <c r="N527" i="1"/>
  <c r="K463" i="1"/>
  <c r="N463" i="1"/>
  <c r="K404" i="1"/>
  <c r="M404" i="1"/>
  <c r="AA413" i="1"/>
  <c r="K415" i="1"/>
  <c r="N415" i="1"/>
  <c r="K413" i="1"/>
  <c r="N413" i="1"/>
  <c r="F647" i="1"/>
  <c r="D647" i="1"/>
  <c r="M527" i="1"/>
  <c r="M647" i="1"/>
  <c r="M463" i="1"/>
  <c r="N404" i="1"/>
  <c r="M415" i="1"/>
  <c r="H84" i="1"/>
  <c r="H259" i="1"/>
  <c r="AA256" i="1"/>
  <c r="S256" i="1"/>
  <c r="I256" i="1"/>
  <c r="L256" i="1"/>
  <c r="S255" i="1"/>
  <c r="I255" i="1"/>
  <c r="R255" i="1"/>
  <c r="AA260" i="1"/>
  <c r="S260" i="1"/>
  <c r="I260" i="1"/>
  <c r="L260" i="1"/>
  <c r="S259" i="1"/>
  <c r="I259" i="1"/>
  <c r="K259" i="1"/>
  <c r="R259" i="1"/>
  <c r="AA254" i="1"/>
  <c r="S254" i="1"/>
  <c r="I254" i="1"/>
  <c r="R254" i="1"/>
  <c r="L254" i="1"/>
  <c r="D254" i="1"/>
  <c r="AA169" i="1"/>
  <c r="S169" i="1"/>
  <c r="I169" i="1"/>
  <c r="R169" i="1"/>
  <c r="L169" i="1"/>
  <c r="D169" i="1"/>
  <c r="B169" i="1"/>
  <c r="H168" i="1"/>
  <c r="S168" i="1"/>
  <c r="I168" i="1"/>
  <c r="R168" i="1"/>
  <c r="N259" i="1"/>
  <c r="K254" i="1"/>
  <c r="N254" i="1"/>
  <c r="K256" i="1"/>
  <c r="K260" i="1"/>
  <c r="M260" i="1"/>
  <c r="K255" i="1"/>
  <c r="L259" i="1"/>
  <c r="F259" i="1"/>
  <c r="D259" i="1"/>
  <c r="AA259" i="1"/>
  <c r="AA168" i="1"/>
  <c r="K168" i="1"/>
  <c r="N168" i="1"/>
  <c r="L168" i="1"/>
  <c r="K169" i="1"/>
  <c r="N169" i="1"/>
  <c r="F256" i="1"/>
  <c r="D256" i="1"/>
  <c r="N256" i="1"/>
  <c r="AA255" i="1"/>
  <c r="N255" i="1"/>
  <c r="L255" i="1"/>
  <c r="F255" i="1"/>
  <c r="D255" i="1"/>
  <c r="M254" i="1"/>
  <c r="M256" i="1"/>
  <c r="F260" i="1"/>
  <c r="D260" i="1"/>
  <c r="M259" i="1"/>
  <c r="M168" i="1"/>
  <c r="F168" i="1"/>
  <c r="D168" i="1"/>
  <c r="M169" i="1"/>
  <c r="M255" i="1"/>
  <c r="S810" i="1"/>
  <c r="I810" i="1"/>
  <c r="K810" i="1"/>
  <c r="R810" i="1"/>
  <c r="S808" i="1"/>
  <c r="I808" i="1"/>
  <c r="R808" i="1"/>
  <c r="AO1" i="2"/>
  <c r="B66" i="1"/>
  <c r="K808" i="1"/>
  <c r="G1143" i="1"/>
  <c r="G1145" i="1"/>
  <c r="G1147" i="1"/>
  <c r="G1151" i="1"/>
  <c r="G1153" i="1"/>
  <c r="G1157" i="1"/>
  <c r="H10" i="17"/>
  <c r="K10" i="17"/>
  <c r="L10" i="17"/>
  <c r="S1096" i="1"/>
  <c r="I1096" i="1"/>
  <c r="K1096" i="1"/>
  <c r="R1096" i="1"/>
  <c r="L1096" i="1"/>
  <c r="D1096" i="1"/>
  <c r="B1096" i="1"/>
  <c r="H1095" i="1"/>
  <c r="L1095" i="1"/>
  <c r="S1095" i="1"/>
  <c r="I1095" i="1"/>
  <c r="K1095" i="1"/>
  <c r="AA626" i="1"/>
  <c r="S626" i="1"/>
  <c r="I626" i="1"/>
  <c r="L626" i="1"/>
  <c r="AA608" i="1"/>
  <c r="S608" i="1"/>
  <c r="I608" i="1"/>
  <c r="L608" i="1"/>
  <c r="D608" i="1"/>
  <c r="AA966" i="1"/>
  <c r="S966" i="1"/>
  <c r="I966" i="1"/>
  <c r="R966" i="1"/>
  <c r="L966" i="1"/>
  <c r="S964" i="1"/>
  <c r="I964" i="1"/>
  <c r="R964" i="1"/>
  <c r="AA39" i="1"/>
  <c r="S39" i="1"/>
  <c r="I39" i="1"/>
  <c r="L39" i="1"/>
  <c r="AA716" i="1"/>
  <c r="S716" i="1"/>
  <c r="I716" i="1"/>
  <c r="L716" i="1"/>
  <c r="G1159" i="1"/>
  <c r="G1165" i="1"/>
  <c r="L1165" i="1"/>
  <c r="N1096" i="1"/>
  <c r="M1096" i="1"/>
  <c r="F1095" i="1"/>
  <c r="D1095" i="1"/>
  <c r="N1095" i="1"/>
  <c r="M1095" i="1"/>
  <c r="K626" i="1"/>
  <c r="M626" i="1"/>
  <c r="K608" i="1"/>
  <c r="M608" i="1"/>
  <c r="K966" i="1"/>
  <c r="M966" i="1"/>
  <c r="AA964" i="1"/>
  <c r="K964" i="1"/>
  <c r="N964" i="1"/>
  <c r="L964" i="1"/>
  <c r="K39" i="1"/>
  <c r="M39" i="1"/>
  <c r="K716" i="1"/>
  <c r="M716" i="1"/>
  <c r="G1171" i="1"/>
  <c r="L1171" i="1"/>
  <c r="G1161" i="1"/>
  <c r="G1173" i="1"/>
  <c r="L1147" i="1"/>
  <c r="M1147" i="1"/>
  <c r="G1169" i="1"/>
  <c r="G1177" i="1"/>
  <c r="L1177" i="1"/>
  <c r="G1167" i="1"/>
  <c r="L1167" i="1"/>
  <c r="F1167" i="1"/>
  <c r="D1167" i="1"/>
  <c r="G1163" i="1"/>
  <c r="L1163" i="1"/>
  <c r="M1163" i="1"/>
  <c r="M1165" i="1"/>
  <c r="F1165" i="1"/>
  <c r="D1165" i="1"/>
  <c r="F964" i="1"/>
  <c r="D964" i="1"/>
  <c r="N966" i="1"/>
  <c r="M964" i="1"/>
  <c r="F1177" i="1"/>
  <c r="D1177" i="1"/>
  <c r="M1177" i="1"/>
  <c r="L1169" i="1"/>
  <c r="F1169" i="1"/>
  <c r="D1169" i="1"/>
  <c r="G1175" i="1"/>
  <c r="L1175" i="1"/>
  <c r="F1147" i="1"/>
  <c r="D1147" i="1"/>
  <c r="G1179" i="1"/>
  <c r="L1179" i="1"/>
  <c r="M1179" i="1"/>
  <c r="M1171" i="1"/>
  <c r="F1171" i="1"/>
  <c r="D1171" i="1"/>
  <c r="M1167" i="1"/>
  <c r="F1163" i="1"/>
  <c r="D1163" i="1"/>
  <c r="N16" i="17"/>
  <c r="Q16" i="17"/>
  <c r="R16" i="17"/>
  <c r="N13" i="17"/>
  <c r="Q13" i="17"/>
  <c r="R13" i="17"/>
  <c r="M1169" i="1"/>
  <c r="F1175" i="1"/>
  <c r="D1175" i="1"/>
  <c r="M1175" i="1"/>
  <c r="F1179" i="1"/>
  <c r="D1179" i="1"/>
  <c r="S1309" i="1"/>
  <c r="I1309" i="1"/>
  <c r="K1309" i="1"/>
  <c r="R1309" i="1"/>
  <c r="L1309" i="1"/>
  <c r="D1309" i="1"/>
  <c r="H1308" i="1"/>
  <c r="AA1308" i="1"/>
  <c r="S1308" i="1"/>
  <c r="I1308" i="1"/>
  <c r="K1308" i="1"/>
  <c r="S1307" i="1"/>
  <c r="I1307" i="1"/>
  <c r="K1307" i="1"/>
  <c r="R1307" i="1"/>
  <c r="L1307" i="1"/>
  <c r="D1307" i="1"/>
  <c r="H1306" i="1"/>
  <c r="AA1306" i="1"/>
  <c r="S1306" i="1"/>
  <c r="I1306" i="1"/>
  <c r="K1306" i="1"/>
  <c r="S1305" i="1"/>
  <c r="I1305" i="1"/>
  <c r="K1305" i="1"/>
  <c r="R1305" i="1"/>
  <c r="L1305" i="1"/>
  <c r="D1305" i="1"/>
  <c r="B1305" i="1"/>
  <c r="H1304" i="1"/>
  <c r="AA1304" i="1"/>
  <c r="S1304" i="1"/>
  <c r="I1304" i="1"/>
  <c r="K1304" i="1"/>
  <c r="S1303" i="1"/>
  <c r="I1303" i="1"/>
  <c r="K1303" i="1"/>
  <c r="R1303" i="1"/>
  <c r="L1303" i="1"/>
  <c r="D1303" i="1"/>
  <c r="B1303" i="1"/>
  <c r="H1302" i="1"/>
  <c r="AA1302" i="1"/>
  <c r="S1302" i="1"/>
  <c r="I1302" i="1"/>
  <c r="K1302" i="1"/>
  <c r="I1297" i="1"/>
  <c r="K1297" i="1"/>
  <c r="R1297" i="1"/>
  <c r="L1297" i="1"/>
  <c r="D1297" i="1"/>
  <c r="I1296" i="1"/>
  <c r="K1296" i="1"/>
  <c r="R1296" i="1"/>
  <c r="L1296" i="1"/>
  <c r="D1296" i="1"/>
  <c r="I1295" i="1"/>
  <c r="K1295" i="1"/>
  <c r="I1294" i="1"/>
  <c r="K1294" i="1"/>
  <c r="R1294" i="1"/>
  <c r="L1294" i="1"/>
  <c r="D1294" i="1"/>
  <c r="B1294" i="1"/>
  <c r="H1293" i="1"/>
  <c r="AA1293" i="1"/>
  <c r="S1293" i="1"/>
  <c r="I1293" i="1"/>
  <c r="K1293" i="1"/>
  <c r="S1288" i="1"/>
  <c r="I1288" i="1"/>
  <c r="K1288" i="1"/>
  <c r="R1288" i="1"/>
  <c r="L1288" i="1"/>
  <c r="D1288" i="1"/>
  <c r="B1288" i="1"/>
  <c r="H1287" i="1"/>
  <c r="AA1287" i="1"/>
  <c r="S1287" i="1"/>
  <c r="I1287" i="1"/>
  <c r="K1287" i="1"/>
  <c r="S1286" i="1"/>
  <c r="I1286" i="1"/>
  <c r="K1286" i="1"/>
  <c r="R1286" i="1"/>
  <c r="L1286" i="1"/>
  <c r="D1286" i="1"/>
  <c r="B1286" i="1"/>
  <c r="H1285" i="1"/>
  <c r="S1285" i="1"/>
  <c r="I1285" i="1"/>
  <c r="K1285" i="1"/>
  <c r="H1283" i="1"/>
  <c r="S1283" i="1"/>
  <c r="I1283" i="1"/>
  <c r="K1283" i="1"/>
  <c r="AA1276" i="1"/>
  <c r="S1276" i="1"/>
  <c r="I1276" i="1"/>
  <c r="K1276" i="1"/>
  <c r="R1276" i="1"/>
  <c r="L1276" i="1"/>
  <c r="D1276" i="1"/>
  <c r="S1275" i="1"/>
  <c r="I1275" i="1"/>
  <c r="K1275" i="1"/>
  <c r="L1275" i="1"/>
  <c r="D1275" i="1"/>
  <c r="S1274" i="1"/>
  <c r="I1274" i="1"/>
  <c r="K1274" i="1"/>
  <c r="L1274" i="1"/>
  <c r="D1274" i="1"/>
  <c r="S1273" i="1"/>
  <c r="I1273" i="1"/>
  <c r="K1273" i="1"/>
  <c r="N1273" i="1"/>
  <c r="R1273" i="1"/>
  <c r="L1273" i="1"/>
  <c r="D1273" i="1"/>
  <c r="S1272" i="1"/>
  <c r="I1272" i="1"/>
  <c r="K1272" i="1"/>
  <c r="S1271" i="1"/>
  <c r="I1271" i="1"/>
  <c r="K1271" i="1"/>
  <c r="R1271" i="1"/>
  <c r="L1271" i="1"/>
  <c r="D1271" i="1"/>
  <c r="H1270" i="1"/>
  <c r="S1270" i="1"/>
  <c r="I1270" i="1"/>
  <c r="K1270" i="1"/>
  <c r="S1263" i="1"/>
  <c r="I1263" i="1"/>
  <c r="K1263" i="1"/>
  <c r="R1263" i="1"/>
  <c r="L1263" i="1"/>
  <c r="D1263" i="1"/>
  <c r="B1263" i="1"/>
  <c r="H1262" i="1"/>
  <c r="S1262" i="1"/>
  <c r="I1262" i="1"/>
  <c r="K1262" i="1"/>
  <c r="S1259" i="1"/>
  <c r="I1259" i="1"/>
  <c r="K1259" i="1"/>
  <c r="R1259" i="1"/>
  <c r="L1259" i="1"/>
  <c r="D1259" i="1"/>
  <c r="B1259" i="1"/>
  <c r="H1258" i="1"/>
  <c r="S1258" i="1"/>
  <c r="I1258" i="1"/>
  <c r="K1258" i="1"/>
  <c r="S1257" i="1"/>
  <c r="I1257" i="1"/>
  <c r="K1257" i="1"/>
  <c r="R1257" i="1"/>
  <c r="L1257" i="1"/>
  <c r="D1257" i="1"/>
  <c r="B1257" i="1"/>
  <c r="S1256" i="1"/>
  <c r="I1256" i="1"/>
  <c r="K1256" i="1"/>
  <c r="S1255" i="1"/>
  <c r="I1255" i="1"/>
  <c r="K1255" i="1"/>
  <c r="R1255" i="1"/>
  <c r="L1255" i="1"/>
  <c r="D1255" i="1"/>
  <c r="S1254" i="1"/>
  <c r="I1254" i="1"/>
  <c r="K1254" i="1"/>
  <c r="S1253" i="1"/>
  <c r="I1253" i="1"/>
  <c r="K1253" i="1"/>
  <c r="R1253" i="1"/>
  <c r="L1253" i="1"/>
  <c r="D1253" i="1"/>
  <c r="H1252" i="1"/>
  <c r="S1252" i="1"/>
  <c r="I1252" i="1"/>
  <c r="K1252" i="1"/>
  <c r="S1251" i="1"/>
  <c r="I1251" i="1"/>
  <c r="K1251" i="1"/>
  <c r="R1251" i="1"/>
  <c r="L1251" i="1"/>
  <c r="D1251" i="1"/>
  <c r="B1251" i="1"/>
  <c r="S1250" i="1"/>
  <c r="I1250" i="1"/>
  <c r="K1250" i="1"/>
  <c r="S1249" i="1"/>
  <c r="I1249" i="1"/>
  <c r="K1249" i="1"/>
  <c r="R1249" i="1"/>
  <c r="L1249" i="1"/>
  <c r="D1249" i="1"/>
  <c r="B1249" i="1"/>
  <c r="S1248" i="1"/>
  <c r="I1248" i="1"/>
  <c r="K1248" i="1"/>
  <c r="S1247" i="1"/>
  <c r="I1247" i="1"/>
  <c r="K1247" i="1"/>
  <c r="R1247" i="1"/>
  <c r="L1247" i="1"/>
  <c r="D1247" i="1"/>
  <c r="B1247" i="1"/>
  <c r="S1246" i="1"/>
  <c r="I1246" i="1"/>
  <c r="K1246" i="1"/>
  <c r="S1243" i="1"/>
  <c r="I1243" i="1"/>
  <c r="K1243" i="1"/>
  <c r="R1243" i="1"/>
  <c r="L1243" i="1"/>
  <c r="D1243" i="1"/>
  <c r="S1242" i="1"/>
  <c r="I1242" i="1"/>
  <c r="K1242" i="1"/>
  <c r="L1242" i="1"/>
  <c r="D1242" i="1"/>
  <c r="S1241" i="1"/>
  <c r="I1241" i="1"/>
  <c r="K1241" i="1"/>
  <c r="L1241" i="1"/>
  <c r="D1241" i="1"/>
  <c r="S1231" i="1"/>
  <c r="I1231" i="1"/>
  <c r="K1231" i="1"/>
  <c r="R1231" i="1"/>
  <c r="L1231" i="1"/>
  <c r="D1231" i="1"/>
  <c r="S1225" i="1"/>
  <c r="I1225" i="1"/>
  <c r="K1225" i="1"/>
  <c r="L1225" i="1"/>
  <c r="D1225" i="1"/>
  <c r="S1224" i="1"/>
  <c r="I1224" i="1"/>
  <c r="K1224" i="1"/>
  <c r="L1224" i="1"/>
  <c r="D1224" i="1"/>
  <c r="S1212" i="1"/>
  <c r="I1212" i="1"/>
  <c r="K1212" i="1"/>
  <c r="R1212" i="1"/>
  <c r="L1212" i="1"/>
  <c r="D1212" i="1"/>
  <c r="S1210" i="1"/>
  <c r="I1210" i="1"/>
  <c r="K1210" i="1"/>
  <c r="S1215" i="1"/>
  <c r="I1215" i="1"/>
  <c r="K1215" i="1"/>
  <c r="R1215" i="1"/>
  <c r="L1215" i="1"/>
  <c r="D1215" i="1"/>
  <c r="S1213" i="1"/>
  <c r="I1213" i="1"/>
  <c r="K1213" i="1"/>
  <c r="AA1209" i="1"/>
  <c r="S1209" i="1"/>
  <c r="I1209" i="1"/>
  <c r="K1209" i="1"/>
  <c r="R1209" i="1"/>
  <c r="L1209" i="1"/>
  <c r="D1209" i="1"/>
  <c r="S1208" i="1"/>
  <c r="I1208" i="1"/>
  <c r="K1208" i="1"/>
  <c r="L1208" i="1"/>
  <c r="D1208" i="1"/>
  <c r="S1207" i="1"/>
  <c r="I1207" i="1"/>
  <c r="K1207" i="1"/>
  <c r="L1207" i="1"/>
  <c r="D1207" i="1"/>
  <c r="S1206" i="1"/>
  <c r="I1206" i="1"/>
  <c r="K1206" i="1"/>
  <c r="R1206" i="1"/>
  <c r="L1206" i="1"/>
  <c r="D1206" i="1"/>
  <c r="B1206" i="1"/>
  <c r="S1205" i="1"/>
  <c r="I1205" i="1"/>
  <c r="K1205" i="1"/>
  <c r="R1205" i="1"/>
  <c r="L1205" i="1"/>
  <c r="D1205" i="1"/>
  <c r="B1205" i="1"/>
  <c r="S1204" i="1"/>
  <c r="I1204" i="1"/>
  <c r="K1204" i="1"/>
  <c r="AA1203" i="1"/>
  <c r="S1203" i="1"/>
  <c r="I1203" i="1"/>
  <c r="K1203" i="1"/>
  <c r="R1203" i="1"/>
  <c r="L1203" i="1"/>
  <c r="D1203" i="1"/>
  <c r="S1202" i="1"/>
  <c r="I1202" i="1"/>
  <c r="K1202" i="1"/>
  <c r="L1202" i="1"/>
  <c r="D1202" i="1"/>
  <c r="S1197" i="1"/>
  <c r="I1197" i="1"/>
  <c r="K1197" i="1"/>
  <c r="L1197" i="1"/>
  <c r="D1197" i="1"/>
  <c r="S1174" i="1"/>
  <c r="I1174" i="1"/>
  <c r="K1174" i="1"/>
  <c r="R1174" i="1"/>
  <c r="L1174" i="1"/>
  <c r="D1174" i="1"/>
  <c r="B1174" i="1"/>
  <c r="H1173" i="1"/>
  <c r="S1173" i="1"/>
  <c r="I1173" i="1"/>
  <c r="K1173" i="1"/>
  <c r="S1162" i="1"/>
  <c r="I1162" i="1"/>
  <c r="K1162" i="1"/>
  <c r="R1162" i="1"/>
  <c r="L1162" i="1"/>
  <c r="D1162" i="1"/>
  <c r="H1161" i="1"/>
  <c r="L1161" i="1"/>
  <c r="S1161" i="1"/>
  <c r="I1161" i="1"/>
  <c r="K1161" i="1"/>
  <c r="S1160" i="1"/>
  <c r="I1160" i="1"/>
  <c r="K1160" i="1"/>
  <c r="R1160" i="1"/>
  <c r="L1160" i="1"/>
  <c r="D1160" i="1"/>
  <c r="L1159" i="1"/>
  <c r="S1159" i="1"/>
  <c r="I1159" i="1"/>
  <c r="K1159" i="1"/>
  <c r="S1158" i="1"/>
  <c r="I1158" i="1"/>
  <c r="K1158" i="1"/>
  <c r="R1158" i="1"/>
  <c r="L1158" i="1"/>
  <c r="D1158" i="1"/>
  <c r="L1157" i="1"/>
  <c r="S1157" i="1"/>
  <c r="I1157" i="1"/>
  <c r="K1157" i="1"/>
  <c r="S1156" i="1"/>
  <c r="I1156" i="1"/>
  <c r="K1156" i="1"/>
  <c r="R1156" i="1"/>
  <c r="L1156" i="1"/>
  <c r="D1156" i="1"/>
  <c r="B1156" i="1"/>
  <c r="H1155" i="1"/>
  <c r="L1155" i="1"/>
  <c r="S1155" i="1"/>
  <c r="I1155" i="1"/>
  <c r="K1155" i="1"/>
  <c r="S1154" i="1"/>
  <c r="I1154" i="1"/>
  <c r="K1154" i="1"/>
  <c r="R1154" i="1"/>
  <c r="L1154" i="1"/>
  <c r="D1154" i="1"/>
  <c r="B1154" i="1"/>
  <c r="H1153" i="1"/>
  <c r="L1153" i="1"/>
  <c r="S1153" i="1"/>
  <c r="I1153" i="1"/>
  <c r="K1153" i="1"/>
  <c r="S1152" i="1"/>
  <c r="I1152" i="1"/>
  <c r="K1152" i="1"/>
  <c r="R1152" i="1"/>
  <c r="L1152" i="1"/>
  <c r="D1152" i="1"/>
  <c r="B1152" i="1"/>
  <c r="H1151" i="1"/>
  <c r="L1151" i="1"/>
  <c r="S1151" i="1"/>
  <c r="I1151" i="1"/>
  <c r="K1151" i="1"/>
  <c r="S1150" i="1"/>
  <c r="I1150" i="1"/>
  <c r="K1150" i="1"/>
  <c r="R1150" i="1"/>
  <c r="L1150" i="1"/>
  <c r="D1150" i="1"/>
  <c r="B1150" i="1"/>
  <c r="H1149" i="1"/>
  <c r="L1149" i="1"/>
  <c r="S1149" i="1"/>
  <c r="I1149" i="1"/>
  <c r="K1149" i="1"/>
  <c r="S1146" i="1"/>
  <c r="I1146" i="1"/>
  <c r="K1146" i="1"/>
  <c r="R1146" i="1"/>
  <c r="L1146" i="1"/>
  <c r="D1146" i="1"/>
  <c r="H1145" i="1"/>
  <c r="L1145" i="1"/>
  <c r="S1145" i="1"/>
  <c r="I1145" i="1"/>
  <c r="K1145" i="1"/>
  <c r="S1144" i="1"/>
  <c r="I1144" i="1"/>
  <c r="K1144" i="1"/>
  <c r="R1144" i="1"/>
  <c r="L1144" i="1"/>
  <c r="D1144" i="1"/>
  <c r="B1144" i="1"/>
  <c r="H1143" i="1"/>
  <c r="L1143" i="1"/>
  <c r="S1143" i="1"/>
  <c r="I1143" i="1"/>
  <c r="K1143" i="1"/>
  <c r="S1142" i="1"/>
  <c r="I1142" i="1"/>
  <c r="K1142" i="1"/>
  <c r="R1142" i="1"/>
  <c r="L1142" i="1"/>
  <c r="D1142" i="1"/>
  <c r="B1142" i="1"/>
  <c r="H1141" i="1"/>
  <c r="L1141" i="1"/>
  <c r="S1141" i="1"/>
  <c r="I1141" i="1"/>
  <c r="K1141" i="1"/>
  <c r="S1140" i="1"/>
  <c r="I1140" i="1"/>
  <c r="K1140" i="1"/>
  <c r="R1140" i="1"/>
  <c r="L1140" i="1"/>
  <c r="D1140" i="1"/>
  <c r="B1140" i="1"/>
  <c r="H1139" i="1"/>
  <c r="L1139" i="1"/>
  <c r="S1139" i="1"/>
  <c r="I1139" i="1"/>
  <c r="K1139" i="1"/>
  <c r="S1138" i="1"/>
  <c r="I1138" i="1"/>
  <c r="K1138" i="1"/>
  <c r="R1138" i="1"/>
  <c r="L1138" i="1"/>
  <c r="D1138" i="1"/>
  <c r="B1138" i="1"/>
  <c r="H1137" i="1"/>
  <c r="L1137" i="1"/>
  <c r="S1137" i="1"/>
  <c r="I1137" i="1"/>
  <c r="K1137" i="1"/>
  <c r="S1134" i="1"/>
  <c r="I1134" i="1"/>
  <c r="K1134" i="1"/>
  <c r="R1134" i="1"/>
  <c r="L1134" i="1"/>
  <c r="D1134" i="1"/>
  <c r="B1134" i="1"/>
  <c r="H1133" i="1"/>
  <c r="L1133" i="1"/>
  <c r="S1133" i="1"/>
  <c r="I1133" i="1"/>
  <c r="K1133" i="1"/>
  <c r="S1132" i="1"/>
  <c r="I1132" i="1"/>
  <c r="K1132" i="1"/>
  <c r="R1132" i="1"/>
  <c r="L1132" i="1"/>
  <c r="D1132" i="1"/>
  <c r="B1132" i="1"/>
  <c r="H1131" i="1"/>
  <c r="L1131" i="1"/>
  <c r="S1131" i="1"/>
  <c r="I1131" i="1"/>
  <c r="K1131" i="1"/>
  <c r="S1128" i="1"/>
  <c r="I1128" i="1"/>
  <c r="K1128" i="1"/>
  <c r="R1128" i="1"/>
  <c r="L1128" i="1"/>
  <c r="D1128" i="1"/>
  <c r="B1128" i="1"/>
  <c r="H1127" i="1"/>
  <c r="L1127" i="1"/>
  <c r="S1127" i="1"/>
  <c r="I1127" i="1"/>
  <c r="K1127" i="1"/>
  <c r="S1136" i="1"/>
  <c r="I1136" i="1"/>
  <c r="K1136" i="1"/>
  <c r="R1136" i="1"/>
  <c r="L1136" i="1"/>
  <c r="D1136" i="1"/>
  <c r="S1135" i="1"/>
  <c r="I1135" i="1"/>
  <c r="K1135" i="1"/>
  <c r="S1126" i="1"/>
  <c r="I1126" i="1"/>
  <c r="K1126" i="1"/>
  <c r="N1126" i="1"/>
  <c r="R1126" i="1"/>
  <c r="L1126" i="1"/>
  <c r="D1126" i="1"/>
  <c r="S1125" i="1"/>
  <c r="I1125" i="1"/>
  <c r="K1125" i="1"/>
  <c r="L1125" i="1"/>
  <c r="D1125" i="1"/>
  <c r="S1124" i="1"/>
  <c r="I1124" i="1"/>
  <c r="K1124" i="1"/>
  <c r="L1124" i="1"/>
  <c r="D1124" i="1"/>
  <c r="S1121" i="1"/>
  <c r="I1121" i="1"/>
  <c r="K1121" i="1"/>
  <c r="R1121" i="1"/>
  <c r="L1121" i="1"/>
  <c r="D1121" i="1"/>
  <c r="H1120" i="1"/>
  <c r="L1120" i="1"/>
  <c r="S1120" i="1"/>
  <c r="I1120" i="1"/>
  <c r="K1120" i="1"/>
  <c r="AA1119" i="1"/>
  <c r="S1119" i="1"/>
  <c r="I1119" i="1"/>
  <c r="K1119" i="1"/>
  <c r="N1119" i="1"/>
  <c r="R1119" i="1"/>
  <c r="L1119" i="1"/>
  <c r="D1119" i="1"/>
  <c r="S1118" i="1"/>
  <c r="I1118" i="1"/>
  <c r="K1118" i="1"/>
  <c r="L1118" i="1"/>
  <c r="D1118" i="1"/>
  <c r="S1117" i="1"/>
  <c r="I1117" i="1"/>
  <c r="K1117" i="1"/>
  <c r="L1117" i="1"/>
  <c r="D1117" i="1"/>
  <c r="S1110" i="1"/>
  <c r="I1110" i="1"/>
  <c r="K1110" i="1"/>
  <c r="R1110" i="1"/>
  <c r="L1110" i="1"/>
  <c r="D1110" i="1"/>
  <c r="H1109" i="1"/>
  <c r="L1109" i="1"/>
  <c r="S1109" i="1"/>
  <c r="I1109" i="1"/>
  <c r="K1109" i="1"/>
  <c r="S1116" i="1"/>
  <c r="I1116" i="1"/>
  <c r="K1116" i="1"/>
  <c r="R1116" i="1"/>
  <c r="L1116" i="1"/>
  <c r="D1116" i="1"/>
  <c r="B1116" i="1"/>
  <c r="H1115" i="1"/>
  <c r="L1115" i="1"/>
  <c r="S1115" i="1"/>
  <c r="I1115" i="1"/>
  <c r="K1115" i="1"/>
  <c r="S1114" i="1"/>
  <c r="I1114" i="1"/>
  <c r="K1114" i="1"/>
  <c r="R1114" i="1"/>
  <c r="L1114" i="1"/>
  <c r="D1114" i="1"/>
  <c r="B1114" i="1"/>
  <c r="H1113" i="1"/>
  <c r="L1113" i="1"/>
  <c r="S1113" i="1"/>
  <c r="I1113" i="1"/>
  <c r="K1113" i="1"/>
  <c r="S1112" i="1"/>
  <c r="I1112" i="1"/>
  <c r="K1112" i="1"/>
  <c r="R1112" i="1"/>
  <c r="L1112" i="1"/>
  <c r="D1112" i="1"/>
  <c r="H1111" i="1"/>
  <c r="L1111" i="1"/>
  <c r="S1111" i="1"/>
  <c r="I1111" i="1"/>
  <c r="K1111" i="1"/>
  <c r="S1104" i="1"/>
  <c r="I1104" i="1"/>
  <c r="K1104" i="1"/>
  <c r="R1104" i="1"/>
  <c r="L1104" i="1"/>
  <c r="D1104" i="1"/>
  <c r="B1104" i="1"/>
  <c r="H1103" i="1"/>
  <c r="L1103" i="1"/>
  <c r="S1103" i="1"/>
  <c r="I1103" i="1"/>
  <c r="K1103" i="1"/>
  <c r="S1102" i="1"/>
  <c r="I1102" i="1"/>
  <c r="K1102" i="1"/>
  <c r="N1102" i="1"/>
  <c r="R1102" i="1"/>
  <c r="L1102" i="1"/>
  <c r="D1102" i="1"/>
  <c r="H1101" i="1"/>
  <c r="L1101" i="1"/>
  <c r="S1101" i="1"/>
  <c r="I1101" i="1"/>
  <c r="K1101" i="1"/>
  <c r="S1098" i="1"/>
  <c r="I1098" i="1"/>
  <c r="K1098" i="1"/>
  <c r="R1098" i="1"/>
  <c r="L1098" i="1"/>
  <c r="D1098" i="1"/>
  <c r="B1098" i="1"/>
  <c r="H1097" i="1"/>
  <c r="L1097" i="1"/>
  <c r="S1097" i="1"/>
  <c r="I1097" i="1"/>
  <c r="K1097" i="1"/>
  <c r="S1094" i="1"/>
  <c r="I1094" i="1"/>
  <c r="K1094" i="1"/>
  <c r="R1094" i="1"/>
  <c r="L1094" i="1"/>
  <c r="D1094" i="1"/>
  <c r="B1094" i="1"/>
  <c r="H1093" i="1"/>
  <c r="L1093" i="1"/>
  <c r="S1093" i="1"/>
  <c r="I1093" i="1"/>
  <c r="K1093" i="1"/>
  <c r="S1092" i="1"/>
  <c r="I1092" i="1"/>
  <c r="K1092" i="1"/>
  <c r="R1092" i="1"/>
  <c r="L1092" i="1"/>
  <c r="D1092" i="1"/>
  <c r="H1091" i="1"/>
  <c r="L1091" i="1"/>
  <c r="S1091" i="1"/>
  <c r="I1091" i="1"/>
  <c r="K1091" i="1"/>
  <c r="S1090" i="1"/>
  <c r="I1090" i="1"/>
  <c r="K1090" i="1"/>
  <c r="R1090" i="1"/>
  <c r="L1090" i="1"/>
  <c r="D1090" i="1"/>
  <c r="L1089" i="1"/>
  <c r="S1089" i="1"/>
  <c r="I1089" i="1"/>
  <c r="K1089" i="1"/>
  <c r="S1086" i="1"/>
  <c r="I1086" i="1"/>
  <c r="K1086" i="1"/>
  <c r="R1086" i="1"/>
  <c r="L1086" i="1"/>
  <c r="D1086" i="1"/>
  <c r="B1086" i="1"/>
  <c r="S1085" i="1"/>
  <c r="I1085" i="1"/>
  <c r="K1085" i="1"/>
  <c r="R1085" i="1"/>
  <c r="L1085" i="1"/>
  <c r="D1085" i="1"/>
  <c r="B1085" i="1"/>
  <c r="S1084" i="1"/>
  <c r="I1084" i="1"/>
  <c r="K1084" i="1"/>
  <c r="AA1083" i="1"/>
  <c r="S1083" i="1"/>
  <c r="I1083" i="1"/>
  <c r="K1083" i="1"/>
  <c r="R1083" i="1"/>
  <c r="L1083" i="1"/>
  <c r="D1083" i="1"/>
  <c r="S1072" i="1"/>
  <c r="I1072" i="1"/>
  <c r="K1072" i="1"/>
  <c r="R1072" i="1"/>
  <c r="L1072" i="1"/>
  <c r="D1072" i="1"/>
  <c r="B1072" i="1"/>
  <c r="H1071" i="1"/>
  <c r="L1071" i="1"/>
  <c r="S1071" i="1"/>
  <c r="I1071" i="1"/>
  <c r="K1071" i="1"/>
  <c r="S1070" i="1"/>
  <c r="I1070" i="1"/>
  <c r="K1070" i="1"/>
  <c r="R1070" i="1"/>
  <c r="L1070" i="1"/>
  <c r="D1070" i="1"/>
  <c r="B1070" i="1"/>
  <c r="H1069" i="1"/>
  <c r="L1069" i="1"/>
  <c r="S1069" i="1"/>
  <c r="I1069" i="1"/>
  <c r="K1069" i="1"/>
  <c r="AA1068" i="1"/>
  <c r="S1068" i="1"/>
  <c r="I1068" i="1"/>
  <c r="K1068" i="1"/>
  <c r="R1068" i="1"/>
  <c r="L1068" i="1"/>
  <c r="D1068" i="1"/>
  <c r="S1067" i="1"/>
  <c r="I1067" i="1"/>
  <c r="K1067" i="1"/>
  <c r="L1067" i="1"/>
  <c r="D1067" i="1"/>
  <c r="S1066" i="1"/>
  <c r="I1066" i="1"/>
  <c r="K1066" i="1"/>
  <c r="L1066" i="1"/>
  <c r="D1066" i="1"/>
  <c r="S1059" i="1"/>
  <c r="I1059" i="1"/>
  <c r="K1059" i="1"/>
  <c r="R1059" i="1"/>
  <c r="L1059" i="1"/>
  <c r="D1059" i="1"/>
  <c r="S1058" i="1"/>
  <c r="I1058" i="1"/>
  <c r="K1058" i="1"/>
  <c r="H1058" i="1"/>
  <c r="L1058" i="1"/>
  <c r="S1061" i="1"/>
  <c r="I1061" i="1"/>
  <c r="K1061" i="1"/>
  <c r="R1061" i="1"/>
  <c r="L1061" i="1"/>
  <c r="D1061" i="1"/>
  <c r="S1060" i="1"/>
  <c r="I1060" i="1"/>
  <c r="K1060" i="1"/>
  <c r="H1060" i="1"/>
  <c r="L1060" i="1"/>
  <c r="S1063" i="1"/>
  <c r="I1063" i="1"/>
  <c r="K1063" i="1"/>
  <c r="N1063" i="1"/>
  <c r="R1063" i="1"/>
  <c r="L1063" i="1"/>
  <c r="D1063" i="1"/>
  <c r="S1062" i="1"/>
  <c r="I1062" i="1"/>
  <c r="K1062" i="1"/>
  <c r="H1062" i="1"/>
  <c r="L1062" i="1"/>
  <c r="S1065" i="1"/>
  <c r="I1065" i="1"/>
  <c r="K1065" i="1"/>
  <c r="R1065" i="1"/>
  <c r="L1065" i="1"/>
  <c r="D1065" i="1"/>
  <c r="S1064" i="1"/>
  <c r="I1064" i="1"/>
  <c r="K1064" i="1"/>
  <c r="H1064" i="1"/>
  <c r="L1064" i="1"/>
  <c r="AA1057" i="1"/>
  <c r="S1057" i="1"/>
  <c r="I1057" i="1"/>
  <c r="K1057" i="1"/>
  <c r="R1057" i="1"/>
  <c r="L1057" i="1"/>
  <c r="D1057" i="1"/>
  <c r="S1056" i="1"/>
  <c r="I1056" i="1"/>
  <c r="K1056" i="1"/>
  <c r="L1056" i="1"/>
  <c r="D1056" i="1"/>
  <c r="S1055" i="1"/>
  <c r="I1055" i="1"/>
  <c r="K1055" i="1"/>
  <c r="L1055" i="1"/>
  <c r="D1055" i="1"/>
  <c r="S1054" i="1"/>
  <c r="I1054" i="1"/>
  <c r="K1054" i="1"/>
  <c r="N1054" i="1"/>
  <c r="R1054" i="1"/>
  <c r="D1054" i="1"/>
  <c r="S1053" i="1"/>
  <c r="I1053" i="1"/>
  <c r="K1053" i="1"/>
  <c r="H1053" i="1"/>
  <c r="L1053" i="1"/>
  <c r="AA1052" i="1"/>
  <c r="S1052" i="1"/>
  <c r="I1052" i="1"/>
  <c r="K1052" i="1"/>
  <c r="R1052" i="1"/>
  <c r="L1052" i="1"/>
  <c r="D1052" i="1"/>
  <c r="S1051" i="1"/>
  <c r="I1051" i="1"/>
  <c r="K1051" i="1"/>
  <c r="L1051" i="1"/>
  <c r="D1051" i="1"/>
  <c r="S1050" i="1"/>
  <c r="I1050" i="1"/>
  <c r="K1050" i="1"/>
  <c r="L1050" i="1"/>
  <c r="D1050" i="1"/>
  <c r="S1049" i="1"/>
  <c r="I1049" i="1"/>
  <c r="K1049" i="1"/>
  <c r="R1049" i="1"/>
  <c r="L1049" i="1"/>
  <c r="D1049" i="1"/>
  <c r="S1048" i="1"/>
  <c r="I1048" i="1"/>
  <c r="K1048" i="1"/>
  <c r="AA1047" i="1"/>
  <c r="S1047" i="1"/>
  <c r="I1047" i="1"/>
  <c r="K1047" i="1"/>
  <c r="R1047" i="1"/>
  <c r="L1047" i="1"/>
  <c r="D1047" i="1"/>
  <c r="S1046" i="1"/>
  <c r="I1046" i="1"/>
  <c r="K1046" i="1"/>
  <c r="L1046" i="1"/>
  <c r="D1046" i="1"/>
  <c r="S1045" i="1"/>
  <c r="I1045" i="1"/>
  <c r="K1045" i="1"/>
  <c r="L1045" i="1"/>
  <c r="D1045" i="1"/>
  <c r="S1044" i="1"/>
  <c r="I1044" i="1"/>
  <c r="K1044" i="1"/>
  <c r="R1044" i="1"/>
  <c r="L1044" i="1"/>
  <c r="D1044" i="1"/>
  <c r="S1043" i="1"/>
  <c r="I1043" i="1"/>
  <c r="K1043" i="1"/>
  <c r="S1042" i="1"/>
  <c r="I1042" i="1"/>
  <c r="K1042" i="1"/>
  <c r="R1042" i="1"/>
  <c r="L1042" i="1"/>
  <c r="D1042" i="1"/>
  <c r="S1041" i="1"/>
  <c r="I1041" i="1"/>
  <c r="K1041" i="1"/>
  <c r="S1040" i="1"/>
  <c r="I1040" i="1"/>
  <c r="K1040" i="1"/>
  <c r="N1040" i="1"/>
  <c r="R1040" i="1"/>
  <c r="L1040" i="1"/>
  <c r="D1040" i="1"/>
  <c r="S1039" i="1"/>
  <c r="I1039" i="1"/>
  <c r="K1039" i="1"/>
  <c r="S1038" i="1"/>
  <c r="I1038" i="1"/>
  <c r="K1038" i="1"/>
  <c r="R1038" i="1"/>
  <c r="L1038" i="1"/>
  <c r="D1038" i="1"/>
  <c r="S1037" i="1"/>
  <c r="I1037" i="1"/>
  <c r="K1037" i="1"/>
  <c r="S1036" i="1"/>
  <c r="I1036" i="1"/>
  <c r="K1036" i="1"/>
  <c r="R1036" i="1"/>
  <c r="L1036" i="1"/>
  <c r="D1036" i="1"/>
  <c r="S1035" i="1"/>
  <c r="I1035" i="1"/>
  <c r="K1035" i="1"/>
  <c r="S1034" i="1"/>
  <c r="I1034" i="1"/>
  <c r="K1034" i="1"/>
  <c r="R1034" i="1"/>
  <c r="L1034" i="1"/>
  <c r="D1034" i="1"/>
  <c r="S1033" i="1"/>
  <c r="I1033" i="1"/>
  <c r="K1033" i="1"/>
  <c r="AA1032" i="1"/>
  <c r="S1032" i="1"/>
  <c r="I1032" i="1"/>
  <c r="K1032" i="1"/>
  <c r="R1032" i="1"/>
  <c r="L1032" i="1"/>
  <c r="D1032" i="1"/>
  <c r="AA1031" i="1"/>
  <c r="S1031" i="1"/>
  <c r="I1031" i="1"/>
  <c r="K1031" i="1"/>
  <c r="L1031" i="1"/>
  <c r="D1031" i="1"/>
  <c r="L1252" i="1"/>
  <c r="F1252" i="1"/>
  <c r="D1252" i="1"/>
  <c r="AA1252" i="1"/>
  <c r="L1262" i="1"/>
  <c r="M1262" i="1"/>
  <c r="AA1262" i="1"/>
  <c r="L1272" i="1"/>
  <c r="F1272" i="1"/>
  <c r="D1272" i="1"/>
  <c r="AA1272" i="1"/>
  <c r="L1258" i="1"/>
  <c r="F1258" i="1"/>
  <c r="D1258" i="1"/>
  <c r="AA1258" i="1"/>
  <c r="L1270" i="1"/>
  <c r="M1270" i="1"/>
  <c r="AA1270" i="1"/>
  <c r="L1173" i="1"/>
  <c r="H1256" i="1"/>
  <c r="H1254" i="1"/>
  <c r="L1285" i="1"/>
  <c r="M1285" i="1"/>
  <c r="AA1285" i="1"/>
  <c r="L1293" i="1"/>
  <c r="F1293" i="1"/>
  <c r="D1293" i="1"/>
  <c r="L1308" i="1"/>
  <c r="M1308" i="1"/>
  <c r="L1302" i="1"/>
  <c r="F1302" i="1"/>
  <c r="D1302" i="1"/>
  <c r="L1306" i="1"/>
  <c r="L1283" i="1"/>
  <c r="F1283" i="1"/>
  <c r="D1283" i="1"/>
  <c r="AA1283" i="1"/>
  <c r="L1287" i="1"/>
  <c r="F1287" i="1"/>
  <c r="D1287" i="1"/>
  <c r="L1304" i="1"/>
  <c r="M1304" i="1"/>
  <c r="H1135" i="1"/>
  <c r="L1135" i="1"/>
  <c r="M1212" i="1"/>
  <c r="M1142" i="1"/>
  <c r="M1224" i="1"/>
  <c r="N1058" i="1"/>
  <c r="M1050" i="1"/>
  <c r="M1060" i="1"/>
  <c r="M1249" i="1"/>
  <c r="M1031" i="1"/>
  <c r="M1086" i="1"/>
  <c r="M1205" i="1"/>
  <c r="M1044" i="1"/>
  <c r="M1051" i="1"/>
  <c r="M1225" i="1"/>
  <c r="M1072" i="1"/>
  <c r="M1112" i="1"/>
  <c r="M1118" i="1"/>
  <c r="M1066" i="1"/>
  <c r="M1162" i="1"/>
  <c r="M1275" i="1"/>
  <c r="F1120" i="1"/>
  <c r="D1120" i="1"/>
  <c r="M1055" i="1"/>
  <c r="M1045" i="1"/>
  <c r="M1152" i="1"/>
  <c r="N1258" i="1"/>
  <c r="N1139" i="1"/>
  <c r="H1295" i="1"/>
  <c r="AA1295" i="1"/>
  <c r="N1145" i="1"/>
  <c r="N1071" i="1"/>
  <c r="M1133" i="1"/>
  <c r="N1113" i="1"/>
  <c r="N1091" i="1"/>
  <c r="N1137" i="1"/>
  <c r="H1246" i="1"/>
  <c r="N1252" i="1"/>
  <c r="N1304" i="1"/>
  <c r="M1046" i="1"/>
  <c r="F1053" i="1"/>
  <c r="D1053" i="1"/>
  <c r="M1274" i="1"/>
  <c r="F1062" i="1"/>
  <c r="D1062" i="1"/>
  <c r="M1206" i="1"/>
  <c r="N1272" i="1"/>
  <c r="N1115" i="1"/>
  <c r="H1204" i="1"/>
  <c r="L1204" i="1"/>
  <c r="F1204" i="1"/>
  <c r="D1204" i="1"/>
  <c r="M1144" i="1"/>
  <c r="M1154" i="1"/>
  <c r="N1270" i="1"/>
  <c r="N1109" i="1"/>
  <c r="N1159" i="1"/>
  <c r="M1089" i="1"/>
  <c r="M1241" i="1"/>
  <c r="M1134" i="1"/>
  <c r="N1134" i="1"/>
  <c r="F1143" i="1"/>
  <c r="D1143" i="1"/>
  <c r="N1297" i="1"/>
  <c r="M1297" i="1"/>
  <c r="M1288" i="1"/>
  <c r="N1288" i="1"/>
  <c r="N1305" i="1"/>
  <c r="M1305" i="1"/>
  <c r="M1070" i="1"/>
  <c r="N1070" i="1"/>
  <c r="M1132" i="1"/>
  <c r="N1132" i="1"/>
  <c r="M1247" i="1"/>
  <c r="N1247" i="1"/>
  <c r="M1253" i="1"/>
  <c r="N1253" i="1"/>
  <c r="M1257" i="1"/>
  <c r="N1257" i="1"/>
  <c r="M1049" i="1"/>
  <c r="N1049" i="1"/>
  <c r="M1057" i="1"/>
  <c r="N1057" i="1"/>
  <c r="M1116" i="1"/>
  <c r="N1116" i="1"/>
  <c r="M1263" i="1"/>
  <c r="N1263" i="1"/>
  <c r="M1296" i="1"/>
  <c r="N1296" i="1"/>
  <c r="M1092" i="1"/>
  <c r="N1092" i="1"/>
  <c r="M1174" i="1"/>
  <c r="N1174" i="1"/>
  <c r="M1215" i="1"/>
  <c r="N1215" i="1"/>
  <c r="F1060" i="1"/>
  <c r="D1060" i="1"/>
  <c r="M1038" i="1"/>
  <c r="N1038" i="1"/>
  <c r="M1042" i="1"/>
  <c r="N1042" i="1"/>
  <c r="N1308" i="1"/>
  <c r="M1124" i="1"/>
  <c r="F1091" i="1"/>
  <c r="D1091" i="1"/>
  <c r="M1113" i="1"/>
  <c r="F1133" i="1"/>
  <c r="D1133" i="1"/>
  <c r="N1152" i="1"/>
  <c r="N1212" i="1"/>
  <c r="N1249" i="1"/>
  <c r="N1089" i="1"/>
  <c r="F1101" i="1"/>
  <c r="D1101" i="1"/>
  <c r="N1120" i="1"/>
  <c r="M1208" i="1"/>
  <c r="F1115" i="1"/>
  <c r="D1115" i="1"/>
  <c r="M1056" i="1"/>
  <c r="N1111" i="1"/>
  <c r="M1125" i="1"/>
  <c r="F1157" i="1"/>
  <c r="D1157" i="1"/>
  <c r="M1117" i="1"/>
  <c r="N1262" i="1"/>
  <c r="M1067" i="1"/>
  <c r="M1126" i="1"/>
  <c r="H1250" i="1"/>
  <c r="N1162" i="1"/>
  <c r="F1127" i="1"/>
  <c r="D1127" i="1"/>
  <c r="N1062" i="1"/>
  <c r="N1093" i="1"/>
  <c r="F1151" i="1"/>
  <c r="D1151" i="1"/>
  <c r="M1202" i="1"/>
  <c r="M1242" i="1"/>
  <c r="N1044" i="1"/>
  <c r="F1064" i="1"/>
  <c r="D1064" i="1"/>
  <c r="F1058" i="1"/>
  <c r="D1058" i="1"/>
  <c r="M1047" i="1"/>
  <c r="N1047" i="1"/>
  <c r="F1093" i="1"/>
  <c r="D1093" i="1"/>
  <c r="M1093" i="1"/>
  <c r="M1140" i="1"/>
  <c r="N1140" i="1"/>
  <c r="M1128" i="1"/>
  <c r="N1128" i="1"/>
  <c r="N1141" i="1"/>
  <c r="M1141" i="1"/>
  <c r="N1161" i="1"/>
  <c r="M1161" i="1"/>
  <c r="M1065" i="1"/>
  <c r="N1065" i="1"/>
  <c r="M1104" i="1"/>
  <c r="N1104" i="1"/>
  <c r="M1110" i="1"/>
  <c r="N1110" i="1"/>
  <c r="N1131" i="1"/>
  <c r="M1131" i="1"/>
  <c r="M1138" i="1"/>
  <c r="N1138" i="1"/>
  <c r="M1158" i="1"/>
  <c r="N1158" i="1"/>
  <c r="M1136" i="1"/>
  <c r="N1136" i="1"/>
  <c r="N1034" i="1"/>
  <c r="M1034" i="1"/>
  <c r="M1053" i="1"/>
  <c r="N1053" i="1"/>
  <c r="M1094" i="1"/>
  <c r="N1094" i="1"/>
  <c r="M1150" i="1"/>
  <c r="N1150" i="1"/>
  <c r="F1155" i="1"/>
  <c r="D1155" i="1"/>
  <c r="M1155" i="1"/>
  <c r="M1251" i="1"/>
  <c r="N1251" i="1"/>
  <c r="N1259" i="1"/>
  <c r="M1259" i="1"/>
  <c r="N1064" i="1"/>
  <c r="M1064" i="1"/>
  <c r="N1097" i="1"/>
  <c r="M1097" i="1"/>
  <c r="N1303" i="1"/>
  <c r="M1303" i="1"/>
  <c r="N1068" i="1"/>
  <c r="M1068" i="1"/>
  <c r="M1085" i="1"/>
  <c r="N1085" i="1"/>
  <c r="N1307" i="1"/>
  <c r="M1307" i="1"/>
  <c r="N1149" i="1"/>
  <c r="M1149" i="1"/>
  <c r="N1153" i="1"/>
  <c r="M1153" i="1"/>
  <c r="N1036" i="1"/>
  <c r="M1036" i="1"/>
  <c r="M1114" i="1"/>
  <c r="N1114" i="1"/>
  <c r="F1139" i="1"/>
  <c r="D1139" i="1"/>
  <c r="M1139" i="1"/>
  <c r="M1156" i="1"/>
  <c r="N1156" i="1"/>
  <c r="F1159" i="1"/>
  <c r="D1159" i="1"/>
  <c r="M1159" i="1"/>
  <c r="M1146" i="1"/>
  <c r="N1146" i="1"/>
  <c r="M1160" i="1"/>
  <c r="N1160" i="1"/>
  <c r="M1059" i="1"/>
  <c r="N1059" i="1"/>
  <c r="N1032" i="1"/>
  <c r="M1032" i="1"/>
  <c r="N1052" i="1"/>
  <c r="M1052" i="1"/>
  <c r="M1069" i="1"/>
  <c r="F1069" i="1"/>
  <c r="D1069" i="1"/>
  <c r="M1098" i="1"/>
  <c r="N1098" i="1"/>
  <c r="M1121" i="1"/>
  <c r="N1121" i="1"/>
  <c r="N1061" i="1"/>
  <c r="M1061" i="1"/>
  <c r="M1090" i="1"/>
  <c r="N1090" i="1"/>
  <c r="N1103" i="1"/>
  <c r="M1103" i="1"/>
  <c r="F1109" i="1"/>
  <c r="D1109" i="1"/>
  <c r="M1109" i="1"/>
  <c r="N1255" i="1"/>
  <c r="M1255" i="1"/>
  <c r="N1271" i="1"/>
  <c r="M1271" i="1"/>
  <c r="F1071" i="1"/>
  <c r="D1071" i="1"/>
  <c r="N1243" i="1"/>
  <c r="M1243" i="1"/>
  <c r="M1137" i="1"/>
  <c r="N1143" i="1"/>
  <c r="N1206" i="1"/>
  <c r="N1306" i="1"/>
  <c r="N1302" i="1"/>
  <c r="N1101" i="1"/>
  <c r="F1137" i="1"/>
  <c r="D1137" i="1"/>
  <c r="M1143" i="1"/>
  <c r="M1145" i="1"/>
  <c r="N1151" i="1"/>
  <c r="N1285" i="1"/>
  <c r="N1294" i="1"/>
  <c r="M1294" i="1"/>
  <c r="M1040" i="1"/>
  <c r="M1054" i="1"/>
  <c r="M1062" i="1"/>
  <c r="N1072" i="1"/>
  <c r="M1083" i="1"/>
  <c r="H1084" i="1"/>
  <c r="L1084" i="1"/>
  <c r="F1084" i="1"/>
  <c r="D1084" i="1"/>
  <c r="N1086" i="1"/>
  <c r="N1112" i="1"/>
  <c r="M1120" i="1"/>
  <c r="F1141" i="1"/>
  <c r="D1141" i="1"/>
  <c r="N1155" i="1"/>
  <c r="N1203" i="1"/>
  <c r="M1203" i="1"/>
  <c r="N1231" i="1"/>
  <c r="M1231" i="1"/>
  <c r="N1060" i="1"/>
  <c r="N1309" i="1"/>
  <c r="M1309" i="1"/>
  <c r="M1058" i="1"/>
  <c r="F1097" i="1"/>
  <c r="D1097" i="1"/>
  <c r="M1101" i="1"/>
  <c r="F1145" i="1"/>
  <c r="D1145" i="1"/>
  <c r="M1151" i="1"/>
  <c r="N1157" i="1"/>
  <c r="N1205" i="1"/>
  <c r="N1283" i="1"/>
  <c r="N1069" i="1"/>
  <c r="N1083" i="1"/>
  <c r="F1149" i="1"/>
  <c r="D1149" i="1"/>
  <c r="M1157" i="1"/>
  <c r="N1173" i="1"/>
  <c r="M1207" i="1"/>
  <c r="F1131" i="1"/>
  <c r="D1131" i="1"/>
  <c r="F1153" i="1"/>
  <c r="D1153" i="1"/>
  <c r="H1248" i="1"/>
  <c r="M1071" i="1"/>
  <c r="F1089" i="1"/>
  <c r="D1089" i="1"/>
  <c r="F1103" i="1"/>
  <c r="D1103" i="1"/>
  <c r="M1111" i="1"/>
  <c r="F1113" i="1"/>
  <c r="D1113" i="1"/>
  <c r="M1197" i="1"/>
  <c r="M1063" i="1"/>
  <c r="M1102" i="1"/>
  <c r="M1119" i="1"/>
  <c r="N1142" i="1"/>
  <c r="N1144" i="1"/>
  <c r="F1161" i="1"/>
  <c r="D1161" i="1"/>
  <c r="N1286" i="1"/>
  <c r="M1286" i="1"/>
  <c r="N1293" i="1"/>
  <c r="N1127" i="1"/>
  <c r="M1091" i="1"/>
  <c r="F1111" i="1"/>
  <c r="D1111" i="1"/>
  <c r="M1115" i="1"/>
  <c r="N1133" i="1"/>
  <c r="N1276" i="1"/>
  <c r="M1276" i="1"/>
  <c r="N1287" i="1"/>
  <c r="M1127" i="1"/>
  <c r="N1154" i="1"/>
  <c r="N1209" i="1"/>
  <c r="M1209" i="1"/>
  <c r="M1273" i="1"/>
  <c r="M1258" i="1"/>
  <c r="F1270" i="1"/>
  <c r="D1270" i="1"/>
  <c r="M1252" i="1"/>
  <c r="M1272" i="1"/>
  <c r="L1254" i="1"/>
  <c r="M1254" i="1"/>
  <c r="AA1254" i="1"/>
  <c r="F1262" i="1"/>
  <c r="D1262" i="1"/>
  <c r="L1256" i="1"/>
  <c r="M1256" i="1"/>
  <c r="AA1256" i="1"/>
  <c r="F1306" i="1"/>
  <c r="D1306" i="1"/>
  <c r="M1306" i="1"/>
  <c r="F1285" i="1"/>
  <c r="D1285" i="1"/>
  <c r="N1254" i="1"/>
  <c r="L1248" i="1"/>
  <c r="F1248" i="1"/>
  <c r="D1248" i="1"/>
  <c r="AA1248" i="1"/>
  <c r="L1250" i="1"/>
  <c r="F1250" i="1"/>
  <c r="D1250" i="1"/>
  <c r="AA1250" i="1"/>
  <c r="L1246" i="1"/>
  <c r="M1246" i="1"/>
  <c r="AA1246" i="1"/>
  <c r="N1213" i="1"/>
  <c r="AA1213" i="1"/>
  <c r="L1210" i="1"/>
  <c r="M1210" i="1"/>
  <c r="AA1210" i="1"/>
  <c r="F1304" i="1"/>
  <c r="D1304" i="1"/>
  <c r="M1293" i="1"/>
  <c r="N1256" i="1"/>
  <c r="F1173" i="1"/>
  <c r="D1173" i="1"/>
  <c r="M1173" i="1"/>
  <c r="F1308" i="1"/>
  <c r="D1308" i="1"/>
  <c r="M1302" i="1"/>
  <c r="M1287" i="1"/>
  <c r="L1295" i="1"/>
  <c r="M1295" i="1"/>
  <c r="M1283" i="1"/>
  <c r="N1135" i="1"/>
  <c r="M1135" i="1"/>
  <c r="F1135" i="1"/>
  <c r="D1135" i="1"/>
  <c r="N1210" i="1"/>
  <c r="L1213" i="1"/>
  <c r="N1295" i="1"/>
  <c r="N1246" i="1"/>
  <c r="N1250" i="1"/>
  <c r="M1204" i="1"/>
  <c r="N1204" i="1"/>
  <c r="N1248" i="1"/>
  <c r="M1084" i="1"/>
  <c r="N1084" i="1"/>
  <c r="F1254" i="1"/>
  <c r="D1254" i="1"/>
  <c r="F1256" i="1"/>
  <c r="D1256" i="1"/>
  <c r="F1246" i="1"/>
  <c r="D1246" i="1"/>
  <c r="M1248" i="1"/>
  <c r="M1250" i="1"/>
  <c r="F1210" i="1"/>
  <c r="D1210" i="1"/>
  <c r="F1295" i="1"/>
  <c r="D1295" i="1"/>
  <c r="F1213" i="1"/>
  <c r="D1213" i="1"/>
  <c r="M1213" i="1"/>
  <c r="S10" i="1"/>
  <c r="I10" i="1"/>
  <c r="K10" i="1"/>
  <c r="Q10" i="1"/>
  <c r="R10" i="1"/>
  <c r="N10" i="1"/>
  <c r="L10" i="1"/>
  <c r="F10" i="1"/>
  <c r="D10" i="1"/>
  <c r="AA10" i="1"/>
  <c r="M10" i="1"/>
  <c r="AA52" i="1"/>
  <c r="S52" i="1"/>
  <c r="I52" i="1"/>
  <c r="L52" i="1"/>
  <c r="B52" i="1"/>
  <c r="W1" i="2"/>
  <c r="K52" i="1"/>
  <c r="N52" i="1"/>
  <c r="AA1028" i="1"/>
  <c r="S1028" i="1"/>
  <c r="I1028" i="1"/>
  <c r="K1028" i="1"/>
  <c r="L1028" i="1"/>
  <c r="D1028" i="1"/>
  <c r="M1028" i="1"/>
  <c r="M52" i="1"/>
  <c r="L641" i="1"/>
  <c r="F641" i="1"/>
  <c r="D641" i="1"/>
  <c r="M641" i="1"/>
  <c r="AA678" i="1"/>
  <c r="S678" i="1"/>
  <c r="I678" i="1"/>
  <c r="R678" i="1"/>
  <c r="L678" i="1"/>
  <c r="D678" i="1"/>
  <c r="AA675" i="1"/>
  <c r="S675" i="1"/>
  <c r="I675" i="1"/>
  <c r="R675" i="1"/>
  <c r="L675" i="1"/>
  <c r="D675" i="1"/>
  <c r="S674" i="1"/>
  <c r="I674" i="1"/>
  <c r="K674" i="1"/>
  <c r="R674" i="1"/>
  <c r="K675" i="1"/>
  <c r="M675" i="1"/>
  <c r="K678" i="1"/>
  <c r="N678" i="1"/>
  <c r="H674" i="1"/>
  <c r="AA674" i="1"/>
  <c r="H374" i="1"/>
  <c r="B44" i="1"/>
  <c r="B45" i="1"/>
  <c r="B46" i="1"/>
  <c r="B47" i="1"/>
  <c r="B48" i="1"/>
  <c r="B49" i="1"/>
  <c r="B50" i="1"/>
  <c r="B51" i="1"/>
  <c r="B43" i="1"/>
  <c r="N675" i="1"/>
  <c r="M678" i="1"/>
  <c r="N674" i="1"/>
  <c r="H23" i="1"/>
  <c r="B1005" i="1"/>
  <c r="AA22" i="1"/>
  <c r="S22" i="1"/>
  <c r="I22" i="1"/>
  <c r="R22" i="1"/>
  <c r="L22" i="1"/>
  <c r="D22" i="1"/>
  <c r="B22" i="1"/>
  <c r="G152" i="1"/>
  <c r="G154" i="1"/>
  <c r="G204" i="1"/>
  <c r="K22" i="1"/>
  <c r="M22" i="1"/>
  <c r="AA1030" i="1"/>
  <c r="L1030" i="1"/>
  <c r="D1030" i="1"/>
  <c r="N19" i="17"/>
  <c r="Q19" i="17"/>
  <c r="R19" i="17"/>
  <c r="N12" i="17"/>
  <c r="Q12" i="17"/>
  <c r="R12" i="17"/>
  <c r="N10" i="17"/>
  <c r="Q10" i="17"/>
  <c r="R10" i="17"/>
  <c r="N9" i="17"/>
  <c r="Q9" i="17"/>
  <c r="R9" i="17"/>
  <c r="N8" i="17"/>
  <c r="Q8" i="17"/>
  <c r="R8" i="17"/>
  <c r="N6" i="17"/>
  <c r="Q6" i="17"/>
  <c r="R6" i="17"/>
  <c r="N5" i="17"/>
  <c r="Q5" i="17"/>
  <c r="R5" i="17"/>
  <c r="H14" i="17"/>
  <c r="K14" i="17"/>
  <c r="L14" i="17"/>
  <c r="H11" i="17"/>
  <c r="K11" i="17"/>
  <c r="L11" i="17"/>
  <c r="H9" i="17"/>
  <c r="K9" i="17"/>
  <c r="L9" i="17"/>
  <c r="H8" i="17"/>
  <c r="K8" i="17"/>
  <c r="L8" i="17"/>
  <c r="H7" i="17"/>
  <c r="K7" i="17"/>
  <c r="L7" i="17"/>
  <c r="H6" i="17"/>
  <c r="K6" i="17"/>
  <c r="L6" i="17"/>
  <c r="H5" i="17"/>
  <c r="K5" i="17"/>
  <c r="L5" i="17"/>
  <c r="B12" i="17"/>
  <c r="E12" i="17"/>
  <c r="F12" i="17"/>
  <c r="B9" i="17"/>
  <c r="E9" i="17"/>
  <c r="F9" i="17"/>
  <c r="B7" i="17"/>
  <c r="E7" i="17"/>
  <c r="F7" i="17"/>
  <c r="B6" i="17"/>
  <c r="E6" i="17"/>
  <c r="F6" i="17"/>
  <c r="B5" i="17"/>
  <c r="E5" i="17"/>
  <c r="F5" i="17"/>
  <c r="N22" i="1"/>
  <c r="Q2" i="17"/>
  <c r="K2" i="17"/>
  <c r="E2" i="17"/>
  <c r="B1036" i="1"/>
  <c r="H1035" i="1"/>
  <c r="B1034" i="1"/>
  <c r="H1033" i="1"/>
  <c r="B1040" i="1"/>
  <c r="H1039" i="1"/>
  <c r="B1038" i="1"/>
  <c r="H1037" i="1"/>
  <c r="B1042" i="1"/>
  <c r="H1041" i="1"/>
  <c r="B1044" i="1"/>
  <c r="H1043" i="1"/>
  <c r="B1049" i="1"/>
  <c r="H1048" i="1"/>
  <c r="AA332" i="1"/>
  <c r="S332" i="1"/>
  <c r="I332" i="1"/>
  <c r="K332" i="1"/>
  <c r="R332" i="1"/>
  <c r="L332" i="1"/>
  <c r="D332" i="1"/>
  <c r="H331" i="1"/>
  <c r="S331" i="1"/>
  <c r="I331" i="1"/>
  <c r="K331" i="1"/>
  <c r="R331" i="1"/>
  <c r="AA328" i="1"/>
  <c r="S328" i="1"/>
  <c r="I328" i="1"/>
  <c r="K328" i="1"/>
  <c r="R328" i="1"/>
  <c r="L328" i="1"/>
  <c r="D328" i="1"/>
  <c r="S327" i="1"/>
  <c r="I327" i="1"/>
  <c r="K327" i="1"/>
  <c r="R327" i="1"/>
  <c r="L1048" i="1"/>
  <c r="N1048" i="1"/>
  <c r="L1043" i="1"/>
  <c r="N1043" i="1"/>
  <c r="L1041" i="1"/>
  <c r="N1041" i="1"/>
  <c r="L1037" i="1"/>
  <c r="N1037" i="1"/>
  <c r="L1039" i="1"/>
  <c r="N1039" i="1"/>
  <c r="L1033" i="1"/>
  <c r="N1033" i="1"/>
  <c r="L1035" i="1"/>
  <c r="N1035" i="1"/>
  <c r="AA331" i="1"/>
  <c r="N332" i="1"/>
  <c r="M332" i="1"/>
  <c r="AA327" i="1"/>
  <c r="N327" i="1"/>
  <c r="N328" i="1"/>
  <c r="M328" i="1"/>
  <c r="F1039" i="1"/>
  <c r="D1039" i="1"/>
  <c r="M1039" i="1"/>
  <c r="F1037" i="1"/>
  <c r="D1037" i="1"/>
  <c r="M1037" i="1"/>
  <c r="F1033" i="1"/>
  <c r="D1033" i="1"/>
  <c r="M1033" i="1"/>
  <c r="F1041" i="1"/>
  <c r="D1041" i="1"/>
  <c r="M1041" i="1"/>
  <c r="M1043" i="1"/>
  <c r="F1043" i="1"/>
  <c r="D1043" i="1"/>
  <c r="F1035" i="1"/>
  <c r="D1035" i="1"/>
  <c r="M1035" i="1"/>
  <c r="F1048" i="1"/>
  <c r="D1048" i="1"/>
  <c r="M1048" i="1"/>
  <c r="N331" i="1"/>
  <c r="AA32" i="1"/>
  <c r="S32" i="1"/>
  <c r="I32" i="1"/>
  <c r="K32" i="1"/>
  <c r="L32" i="1"/>
  <c r="D32" i="1"/>
  <c r="AA31" i="1"/>
  <c r="S31" i="1"/>
  <c r="I31" i="1"/>
  <c r="K31" i="1"/>
  <c r="L31" i="1"/>
  <c r="D31" i="1"/>
  <c r="AA33" i="1"/>
  <c r="S33" i="1"/>
  <c r="I33" i="1"/>
  <c r="K33" i="1"/>
  <c r="R33" i="1"/>
  <c r="L33" i="1"/>
  <c r="D33" i="1"/>
  <c r="M31" i="1"/>
  <c r="M32" i="1"/>
  <c r="N33" i="1"/>
  <c r="M33" i="1"/>
  <c r="AA565" i="1"/>
  <c r="AA568" i="1"/>
  <c r="AA574" i="1"/>
  <c r="AA578" i="1"/>
  <c r="AA580" i="1"/>
  <c r="AA582" i="1"/>
  <c r="AA584" i="1"/>
  <c r="AA586" i="1"/>
  <c r="AA590" i="1"/>
  <c r="AA5" i="1"/>
  <c r="AA7" i="1"/>
  <c r="AA12" i="1"/>
  <c r="AA13" i="1"/>
  <c r="AA14" i="1"/>
  <c r="AA17" i="1"/>
  <c r="AA19" i="1"/>
  <c r="AA24" i="1"/>
  <c r="AA25" i="1"/>
  <c r="AA34" i="1"/>
  <c r="AA35" i="1"/>
  <c r="AA37" i="1"/>
  <c r="AA38" i="1"/>
  <c r="AA41" i="1"/>
  <c r="AA43" i="1"/>
  <c r="AA44" i="1"/>
  <c r="AA45" i="1"/>
  <c r="AA46" i="1"/>
  <c r="AA47" i="1"/>
  <c r="AA48" i="1"/>
  <c r="AA49" i="1"/>
  <c r="AA50" i="1"/>
  <c r="AA57" i="1"/>
  <c r="AA62" i="1"/>
  <c r="AA63" i="1"/>
  <c r="AA282" i="1"/>
  <c r="AA284" i="1"/>
  <c r="AA285" i="1"/>
  <c r="AA286" i="1"/>
  <c r="AA287" i="1"/>
  <c r="AA289" i="1"/>
  <c r="AA291" i="1"/>
  <c r="AA293" i="1"/>
  <c r="AA295" i="1"/>
  <c r="AA303" i="1"/>
  <c r="AA311" i="1"/>
  <c r="AA313" i="1"/>
  <c r="AA315" i="1"/>
  <c r="AA317" i="1"/>
  <c r="AA320" i="1"/>
  <c r="AA339" i="1"/>
  <c r="AA340" i="1"/>
  <c r="AA341" i="1"/>
  <c r="AA322" i="1"/>
  <c r="AA324" i="1"/>
  <c r="AA343" i="1"/>
  <c r="AA326" i="1"/>
  <c r="AA345" i="1"/>
  <c r="AA337" i="1"/>
  <c r="AA346" i="1"/>
  <c r="AA350" i="1"/>
  <c r="AA412" i="1"/>
  <c r="AA373" i="1"/>
  <c r="AA417" i="1"/>
  <c r="AA351" i="1"/>
  <c r="AA375" i="1"/>
  <c r="AA377" i="1"/>
  <c r="AA378" i="1"/>
  <c r="AA382" i="1"/>
  <c r="AA384" i="1"/>
  <c r="AA386" i="1"/>
  <c r="AA388" i="1"/>
  <c r="AA389" i="1"/>
  <c r="AA391" i="1"/>
  <c r="AA397" i="1"/>
  <c r="AA399" i="1"/>
  <c r="AA401" i="1"/>
  <c r="AA402" i="1"/>
  <c r="AA403" i="1"/>
  <c r="AA406" i="1"/>
  <c r="AA420" i="1"/>
  <c r="AA64" i="1"/>
  <c r="AA66" i="1"/>
  <c r="AA67" i="1"/>
  <c r="AA68" i="1"/>
  <c r="AA69" i="1"/>
  <c r="AA71" i="1"/>
  <c r="AA73" i="1"/>
  <c r="AA74" i="1"/>
  <c r="AA76" i="1"/>
  <c r="AA77" i="1"/>
  <c r="AA78" i="1"/>
  <c r="AA79" i="1"/>
  <c r="AA80" i="1"/>
  <c r="AA82" i="1"/>
  <c r="AA83" i="1"/>
  <c r="AA86" i="1"/>
  <c r="AA87" i="1"/>
  <c r="AA88" i="1"/>
  <c r="AA90" i="1"/>
  <c r="AA91" i="1"/>
  <c r="AA92" i="1"/>
  <c r="AA93" i="1"/>
  <c r="AA94" i="1"/>
  <c r="AA97" i="1"/>
  <c r="AA122" i="1"/>
  <c r="AA123" i="1"/>
  <c r="AA124" i="1"/>
  <c r="AA125" i="1"/>
  <c r="AA126" i="1"/>
  <c r="AA128" i="1"/>
  <c r="AA129" i="1"/>
  <c r="AA99" i="1"/>
  <c r="AA100" i="1"/>
  <c r="AA113" i="1"/>
  <c r="AA114" i="1"/>
  <c r="AA115" i="1"/>
  <c r="AA116" i="1"/>
  <c r="AA120" i="1"/>
  <c r="AA133" i="1"/>
  <c r="AA134" i="1"/>
  <c r="AA135" i="1"/>
  <c r="AA136" i="1"/>
  <c r="AA138" i="1"/>
  <c r="AA141" i="1"/>
  <c r="AA142" i="1"/>
  <c r="AA147" i="1"/>
  <c r="AA153" i="1"/>
  <c r="AA155" i="1"/>
  <c r="AA160" i="1"/>
  <c r="AA162" i="1"/>
  <c r="AA163" i="1"/>
  <c r="AA164" i="1"/>
  <c r="AA165" i="1"/>
  <c r="AA166" i="1"/>
  <c r="AA172" i="1"/>
  <c r="AA181" i="1"/>
  <c r="AA182" i="1"/>
  <c r="AA184" i="1"/>
  <c r="AA186" i="1"/>
  <c r="AA189" i="1"/>
  <c r="AA203" i="1"/>
  <c r="AA205" i="1"/>
  <c r="AA206" i="1"/>
  <c r="AA208" i="1"/>
  <c r="AA209" i="1"/>
  <c r="AA210" i="1"/>
  <c r="AA245" i="1"/>
  <c r="AA214" i="1"/>
  <c r="AA218" i="1"/>
  <c r="AA220" i="1"/>
  <c r="AA222" i="1"/>
  <c r="AA226" i="1"/>
  <c r="AA227" i="1"/>
  <c r="AA216" i="1"/>
  <c r="AA249" i="1"/>
  <c r="AA247" i="1"/>
  <c r="AA252" i="1"/>
  <c r="AA253" i="1"/>
  <c r="AA460" i="1"/>
  <c r="AA462" i="1"/>
  <c r="AA464" i="1"/>
  <c r="AA465" i="1"/>
  <c r="AA468" i="1"/>
  <c r="AA469" i="1"/>
  <c r="AA484" i="1"/>
  <c r="AA485" i="1"/>
  <c r="AA486" i="1"/>
  <c r="AA487" i="1"/>
  <c r="AA488" i="1"/>
  <c r="AA495" i="1"/>
  <c r="AA496" i="1"/>
  <c r="AA498" i="1"/>
  <c r="AA500" i="1"/>
  <c r="AA501" i="1"/>
  <c r="AA502" i="1"/>
  <c r="AA503" i="1"/>
  <c r="AA505" i="1"/>
  <c r="AA506" i="1"/>
  <c r="AA507" i="1"/>
  <c r="AA508" i="1"/>
  <c r="AA515" i="1"/>
  <c r="AA517" i="1"/>
  <c r="AA519" i="1"/>
  <c r="AA520" i="1"/>
  <c r="AA521" i="1"/>
  <c r="AA522" i="1"/>
  <c r="AA524" i="1"/>
  <c r="AA526" i="1"/>
  <c r="AA528" i="1"/>
  <c r="AA530" i="1"/>
  <c r="AA531" i="1"/>
  <c r="AA532" i="1"/>
  <c r="AA533" i="1"/>
  <c r="AA267" i="1"/>
  <c r="AA269" i="1"/>
  <c r="AA270" i="1"/>
  <c r="AA271" i="1"/>
  <c r="AA273" i="1"/>
  <c r="AA274" i="1"/>
  <c r="AA275" i="1"/>
  <c r="AA276" i="1"/>
  <c r="AA281" i="1"/>
  <c r="AA561" i="1"/>
  <c r="AA592" i="1"/>
  <c r="AA602" i="1"/>
  <c r="AA603" i="1"/>
  <c r="AA604" i="1"/>
  <c r="AA660" i="1"/>
  <c r="AA662" i="1"/>
  <c r="AA663" i="1"/>
  <c r="AA664" i="1"/>
  <c r="AA547" i="1"/>
  <c r="AA552" i="1"/>
  <c r="AA558" i="1"/>
  <c r="AA559" i="1"/>
  <c r="AA560" i="1"/>
  <c r="AA665" i="1"/>
  <c r="AA769" i="1"/>
  <c r="AA669" i="1"/>
  <c r="AA684" i="1"/>
  <c r="AA685" i="1"/>
  <c r="AA690" i="1"/>
  <c r="AA688" i="1"/>
  <c r="AA692" i="1"/>
  <c r="AA693" i="1"/>
  <c r="AA697" i="1"/>
  <c r="AA699" i="1"/>
  <c r="AA701" i="1"/>
  <c r="AA703" i="1"/>
  <c r="AA706" i="1"/>
  <c r="AA719" i="1"/>
  <c r="AA723" i="1"/>
  <c r="AA724" i="1"/>
  <c r="AA726" i="1"/>
  <c r="AA728" i="1"/>
  <c r="AA731" i="1"/>
  <c r="AA750" i="1"/>
  <c r="AA751" i="1"/>
  <c r="AA753" i="1"/>
  <c r="AA755" i="1"/>
  <c r="AA756" i="1"/>
  <c r="AA759" i="1"/>
  <c r="AA767" i="1"/>
  <c r="AA748" i="1"/>
  <c r="AA770" i="1"/>
  <c r="AA771" i="1"/>
  <c r="AA773" i="1"/>
  <c r="AA774" i="1"/>
  <c r="AA775" i="1"/>
  <c r="AA605" i="1"/>
  <c r="AA607" i="1"/>
  <c r="AA610" i="1"/>
  <c r="AA611" i="1"/>
  <c r="AA612" i="1"/>
  <c r="AA613" i="1"/>
  <c r="AA619" i="1"/>
  <c r="AA620" i="1"/>
  <c r="AA621" i="1"/>
  <c r="AA624" i="1"/>
  <c r="AA638" i="1"/>
  <c r="AA615" i="1"/>
  <c r="AA643" i="1"/>
  <c r="AA644" i="1"/>
  <c r="AA646" i="1"/>
  <c r="AA650" i="1"/>
  <c r="AA651" i="1"/>
  <c r="AA652" i="1"/>
  <c r="AA653" i="1"/>
  <c r="AA654" i="1"/>
  <c r="AA659" i="1"/>
  <c r="AA421" i="1"/>
  <c r="AA425" i="1"/>
  <c r="AA426" i="1"/>
  <c r="AA427" i="1"/>
  <c r="AA428" i="1"/>
  <c r="AA429" i="1"/>
  <c r="AA430" i="1"/>
  <c r="AA431" i="1"/>
  <c r="AA432" i="1"/>
  <c r="AA439" i="1"/>
  <c r="AA440" i="1"/>
  <c r="AA442" i="1"/>
  <c r="AA443" i="1"/>
  <c r="AA423" i="1"/>
  <c r="AA447" i="1"/>
  <c r="AA458" i="1"/>
  <c r="AA459" i="1"/>
  <c r="AA812" i="1"/>
  <c r="AA816" i="1"/>
  <c r="AA817" i="1"/>
  <c r="AA818" i="1"/>
  <c r="AA819" i="1"/>
  <c r="AA821" i="1"/>
  <c r="AA822" i="1"/>
  <c r="AA824" i="1"/>
  <c r="AA830" i="1"/>
  <c r="AA831" i="1"/>
  <c r="AA832" i="1"/>
  <c r="AA833" i="1"/>
  <c r="AA834" i="1"/>
  <c r="AA836" i="1"/>
  <c r="AA837" i="1"/>
  <c r="AA838" i="1"/>
  <c r="AA839" i="1"/>
  <c r="AA841" i="1"/>
  <c r="AA842" i="1"/>
  <c r="AA843" i="1"/>
  <c r="AA784" i="1"/>
  <c r="AA786" i="1"/>
  <c r="AA789" i="1"/>
  <c r="AA1022" i="1"/>
  <c r="AA1024" i="1"/>
  <c r="AA1025" i="1"/>
  <c r="AA1029" i="1"/>
  <c r="AA866" i="1"/>
  <c r="AA870" i="1"/>
  <c r="AA894" i="1"/>
  <c r="AA895" i="1"/>
  <c r="AA918" i="1"/>
  <c r="AA921" i="1"/>
  <c r="AA923" i="1"/>
  <c r="AA925" i="1"/>
  <c r="AA927" i="1"/>
  <c r="AA929" i="1"/>
  <c r="AA932" i="1"/>
  <c r="AA933" i="1"/>
  <c r="AA934" i="1"/>
  <c r="AA936" i="1"/>
  <c r="AA938" i="1"/>
  <c r="AA941" i="1"/>
  <c r="AA943" i="1"/>
  <c r="AA944" i="1"/>
  <c r="AA945" i="1"/>
  <c r="AA946" i="1"/>
  <c r="AA948" i="1"/>
  <c r="AA952" i="1"/>
  <c r="AA953" i="1"/>
  <c r="AA954" i="1"/>
  <c r="AA955" i="1"/>
  <c r="AA956" i="1"/>
  <c r="AA950" i="1"/>
  <c r="AA961" i="1"/>
  <c r="AA962" i="1"/>
  <c r="AA963" i="1"/>
  <c r="AA968" i="1"/>
  <c r="AA971" i="1"/>
  <c r="AA972" i="1"/>
  <c r="AA973" i="1"/>
  <c r="AA896" i="1"/>
  <c r="AA900" i="1"/>
  <c r="AA902" i="1"/>
  <c r="AA906" i="1"/>
  <c r="AA910" i="1"/>
  <c r="AA916" i="1"/>
  <c r="AA917" i="1"/>
  <c r="AA262" i="1"/>
  <c r="AA264" i="1"/>
  <c r="AA984" i="1"/>
  <c r="AA985" i="1"/>
  <c r="AA986" i="1"/>
  <c r="AA988" i="1"/>
  <c r="AA990" i="1"/>
  <c r="AA991" i="1"/>
  <c r="AA992" i="1"/>
  <c r="AA993" i="1"/>
  <c r="AA995" i="1"/>
  <c r="AA996" i="1"/>
  <c r="AA1002" i="1"/>
  <c r="AA1003" i="1"/>
  <c r="AA1017" i="1"/>
  <c r="AA1019" i="1"/>
  <c r="AA1020" i="1"/>
  <c r="AA1021" i="1"/>
  <c r="AA539" i="1"/>
  <c r="AA544" i="1"/>
  <c r="AA545" i="1"/>
  <c r="AA546" i="1"/>
  <c r="AA790" i="1"/>
  <c r="AA791" i="1"/>
  <c r="AA792" i="1"/>
  <c r="AA793" i="1"/>
  <c r="AA794" i="1"/>
  <c r="S68" i="1"/>
  <c r="I68" i="1"/>
  <c r="K68" i="1"/>
  <c r="L68" i="1"/>
  <c r="S67" i="1"/>
  <c r="I67" i="1"/>
  <c r="K67" i="1"/>
  <c r="R67" i="1"/>
  <c r="L67" i="1"/>
  <c r="D67" i="1"/>
  <c r="S66" i="1"/>
  <c r="I66" i="1"/>
  <c r="K66" i="1"/>
  <c r="L66" i="1"/>
  <c r="H65" i="1"/>
  <c r="AA65" i="1"/>
  <c r="S65" i="1"/>
  <c r="I65" i="1"/>
  <c r="K65" i="1"/>
  <c r="R65" i="1"/>
  <c r="S64" i="1"/>
  <c r="I64" i="1"/>
  <c r="K64" i="1"/>
  <c r="R64" i="1"/>
  <c r="L64" i="1"/>
  <c r="D64" i="1"/>
  <c r="S664" i="1"/>
  <c r="I664" i="1"/>
  <c r="K664" i="1"/>
  <c r="L664" i="1"/>
  <c r="S663" i="1"/>
  <c r="I663" i="1"/>
  <c r="K663" i="1"/>
  <c r="L663" i="1"/>
  <c r="S662" i="1"/>
  <c r="I662" i="1"/>
  <c r="K662" i="1"/>
  <c r="L662" i="1"/>
  <c r="D662" i="1"/>
  <c r="S661" i="1"/>
  <c r="I661" i="1"/>
  <c r="K661" i="1"/>
  <c r="Q661" i="1"/>
  <c r="R661" i="1"/>
  <c r="S660" i="1"/>
  <c r="I660" i="1"/>
  <c r="K660" i="1"/>
  <c r="R660" i="1"/>
  <c r="L660" i="1"/>
  <c r="D660" i="1"/>
  <c r="H661" i="1"/>
  <c r="AA661" i="1"/>
  <c r="M664" i="1"/>
  <c r="M663" i="1"/>
  <c r="M662" i="1"/>
  <c r="M68" i="1"/>
  <c r="L65" i="1"/>
  <c r="F65" i="1"/>
  <c r="D65" i="1"/>
  <c r="N67" i="1"/>
  <c r="M67" i="1"/>
  <c r="N64" i="1"/>
  <c r="M64" i="1"/>
  <c r="N65" i="1"/>
  <c r="N66" i="1"/>
  <c r="M66" i="1"/>
  <c r="N660" i="1"/>
  <c r="M660" i="1"/>
  <c r="S996" i="1"/>
  <c r="I996" i="1"/>
  <c r="K996" i="1"/>
  <c r="S1005" i="1"/>
  <c r="I1005" i="1"/>
  <c r="K1005" i="1"/>
  <c r="L1005" i="1"/>
  <c r="H1004" i="1"/>
  <c r="AA1004" i="1"/>
  <c r="S1004" i="1"/>
  <c r="I1004" i="1"/>
  <c r="K1004" i="1"/>
  <c r="Q1004" i="1"/>
  <c r="R1004" i="1"/>
  <c r="S1003" i="1"/>
  <c r="I1003" i="1"/>
  <c r="K1003" i="1"/>
  <c r="R1003" i="1"/>
  <c r="L1003" i="1"/>
  <c r="D1003" i="1"/>
  <c r="S1002" i="1"/>
  <c r="I1002" i="1"/>
  <c r="K1002" i="1"/>
  <c r="Q1002" i="1"/>
  <c r="R1002" i="1"/>
  <c r="S773" i="1"/>
  <c r="I773" i="1"/>
  <c r="L773" i="1"/>
  <c r="M773" i="1"/>
  <c r="H772" i="1"/>
  <c r="AA772" i="1"/>
  <c r="S772" i="1"/>
  <c r="I772" i="1"/>
  <c r="K772" i="1"/>
  <c r="R772" i="1"/>
  <c r="S771" i="1"/>
  <c r="I771" i="1"/>
  <c r="R771" i="1"/>
  <c r="N771" i="1"/>
  <c r="L771" i="1"/>
  <c r="M771" i="1"/>
  <c r="D771" i="1"/>
  <c r="M996" i="1"/>
  <c r="F996" i="1"/>
  <c r="D996" i="1"/>
  <c r="N996" i="1"/>
  <c r="N661" i="1"/>
  <c r="M1005" i="1"/>
  <c r="M65" i="1"/>
  <c r="N1003" i="1"/>
  <c r="M1003" i="1"/>
  <c r="N1004" i="1"/>
  <c r="N772" i="1"/>
  <c r="S1030" i="1"/>
  <c r="I1030" i="1"/>
  <c r="K1030" i="1"/>
  <c r="M1030" i="1"/>
  <c r="S910" i="1"/>
  <c r="I910" i="1"/>
  <c r="K910" i="1"/>
  <c r="L910" i="1"/>
  <c r="H909" i="1"/>
  <c r="AA909" i="1"/>
  <c r="S909" i="1"/>
  <c r="I909" i="1"/>
  <c r="K909" i="1"/>
  <c r="R909" i="1"/>
  <c r="S906" i="1"/>
  <c r="I906" i="1"/>
  <c r="L906" i="1"/>
  <c r="S905" i="1"/>
  <c r="I905" i="1"/>
  <c r="K905" i="1"/>
  <c r="R905" i="1"/>
  <c r="H905" i="1"/>
  <c r="AA905" i="1"/>
  <c r="K906" i="1"/>
  <c r="M906" i="1"/>
  <c r="M910" i="1"/>
  <c r="N909" i="1"/>
  <c r="S423" i="1"/>
  <c r="I423" i="1"/>
  <c r="K423" i="1"/>
  <c r="R423" i="1"/>
  <c r="L423" i="1"/>
  <c r="D423" i="1"/>
  <c r="S432" i="1"/>
  <c r="I432" i="1"/>
  <c r="K432" i="1"/>
  <c r="R432" i="1"/>
  <c r="L432" i="1"/>
  <c r="D432" i="1"/>
  <c r="AA614" i="1"/>
  <c r="S638" i="1"/>
  <c r="I638" i="1"/>
  <c r="L638" i="1"/>
  <c r="S634" i="1"/>
  <c r="I634" i="1"/>
  <c r="K634" i="1"/>
  <c r="R634" i="1"/>
  <c r="S690" i="1"/>
  <c r="I690" i="1"/>
  <c r="K690" i="1"/>
  <c r="R690" i="1"/>
  <c r="L690" i="1"/>
  <c r="D690" i="1"/>
  <c r="H689" i="1"/>
  <c r="AA689" i="1"/>
  <c r="S689" i="1"/>
  <c r="I689" i="1"/>
  <c r="K689" i="1"/>
  <c r="R689" i="1"/>
  <c r="S769" i="1"/>
  <c r="I769" i="1"/>
  <c r="K769" i="1"/>
  <c r="R769" i="1"/>
  <c r="L769" i="1"/>
  <c r="D769" i="1"/>
  <c r="H768" i="1"/>
  <c r="AA768" i="1"/>
  <c r="S768" i="1"/>
  <c r="I768" i="1"/>
  <c r="K768" i="1"/>
  <c r="R768" i="1"/>
  <c r="S753" i="1"/>
  <c r="I753" i="1"/>
  <c r="K753" i="1"/>
  <c r="R753" i="1"/>
  <c r="L753" i="1"/>
  <c r="D753" i="1"/>
  <c r="S216" i="1"/>
  <c r="I216" i="1"/>
  <c r="R216" i="1"/>
  <c r="L216" i="1"/>
  <c r="D216" i="1"/>
  <c r="B216" i="1"/>
  <c r="H196" i="1"/>
  <c r="S196" i="1"/>
  <c r="I196" i="1"/>
  <c r="K196" i="1"/>
  <c r="R196" i="1"/>
  <c r="B160" i="1"/>
  <c r="B166" i="1"/>
  <c r="B165" i="1"/>
  <c r="B164" i="1"/>
  <c r="B163" i="1"/>
  <c r="B162" i="1"/>
  <c r="H96" i="1"/>
  <c r="S76" i="1"/>
  <c r="I76" i="1"/>
  <c r="K76" i="1"/>
  <c r="L76" i="1"/>
  <c r="B76" i="1"/>
  <c r="H379" i="1"/>
  <c r="AA379" i="1"/>
  <c r="I380" i="1"/>
  <c r="K380" i="1"/>
  <c r="N380" i="1"/>
  <c r="R380" i="1"/>
  <c r="L380" i="1"/>
  <c r="D380" i="1"/>
  <c r="S379" i="1"/>
  <c r="I379" i="1"/>
  <c r="K379" i="1"/>
  <c r="R379" i="1"/>
  <c r="H398" i="1"/>
  <c r="AM1" i="2"/>
  <c r="L293" i="1"/>
  <c r="S293" i="1"/>
  <c r="I293" i="1"/>
  <c r="K293" i="1"/>
  <c r="R293" i="1"/>
  <c r="D293" i="1"/>
  <c r="N905" i="1"/>
  <c r="K638" i="1"/>
  <c r="M638" i="1"/>
  <c r="K216" i="1"/>
  <c r="N216" i="1"/>
  <c r="M423" i="1"/>
  <c r="H215" i="1"/>
  <c r="H75" i="1"/>
  <c r="AA75" i="1"/>
  <c r="N432" i="1"/>
  <c r="M432" i="1"/>
  <c r="N689" i="1"/>
  <c r="N690" i="1"/>
  <c r="M690" i="1"/>
  <c r="L768" i="1"/>
  <c r="M768" i="1"/>
  <c r="N768" i="1"/>
  <c r="N769" i="1"/>
  <c r="M769" i="1"/>
  <c r="N753" i="1"/>
  <c r="M753" i="1"/>
  <c r="AA196" i="1"/>
  <c r="N76" i="1"/>
  <c r="N379" i="1"/>
  <c r="M380" i="1"/>
  <c r="M293" i="1"/>
  <c r="H175" i="1"/>
  <c r="AA175" i="1"/>
  <c r="M216" i="1"/>
  <c r="N196" i="1"/>
  <c r="F768" i="1"/>
  <c r="D768" i="1"/>
  <c r="H625" i="1"/>
  <c r="AA625" i="1"/>
  <c r="H529" i="1"/>
  <c r="AA529" i="1"/>
  <c r="S921" i="1"/>
  <c r="I921" i="1"/>
  <c r="K921" i="1"/>
  <c r="R921" i="1"/>
  <c r="L921" i="1"/>
  <c r="H919" i="1"/>
  <c r="AA919" i="1"/>
  <c r="N921" i="1"/>
  <c r="M921" i="1"/>
  <c r="B1019" i="1"/>
  <c r="B990" i="1"/>
  <c r="B988" i="1"/>
  <c r="H589" i="1"/>
  <c r="AA589" i="1"/>
  <c r="P20" i="16"/>
  <c r="S20" i="16"/>
  <c r="T20" i="16"/>
  <c r="P19" i="16"/>
  <c r="S19" i="16"/>
  <c r="T19" i="16"/>
  <c r="P18" i="16"/>
  <c r="S18" i="16"/>
  <c r="T18" i="16"/>
  <c r="P17" i="16"/>
  <c r="S17" i="16"/>
  <c r="T17" i="16"/>
  <c r="P16" i="16"/>
  <c r="S16" i="16"/>
  <c r="T16" i="16"/>
  <c r="P15" i="16"/>
  <c r="S15" i="16"/>
  <c r="T15" i="16"/>
  <c r="P14" i="16"/>
  <c r="S14" i="16"/>
  <c r="T14" i="16"/>
  <c r="P13" i="16"/>
  <c r="S13" i="16"/>
  <c r="T13" i="16"/>
  <c r="P12" i="16"/>
  <c r="S12" i="16"/>
  <c r="T12" i="16"/>
  <c r="P11" i="16"/>
  <c r="S11" i="16"/>
  <c r="T11" i="16"/>
  <c r="P10" i="16"/>
  <c r="S10" i="16"/>
  <c r="T10" i="16"/>
  <c r="P9" i="16"/>
  <c r="S9" i="16"/>
  <c r="T9" i="16"/>
  <c r="P8" i="16"/>
  <c r="S8" i="16"/>
  <c r="T8" i="16"/>
  <c r="P7" i="16"/>
  <c r="S7" i="16"/>
  <c r="T7" i="16"/>
  <c r="P6" i="16"/>
  <c r="S6" i="16"/>
  <c r="T6" i="16"/>
  <c r="P5" i="16"/>
  <c r="S5" i="16"/>
  <c r="T5" i="16"/>
  <c r="C1194" i="15"/>
  <c r="H1204" i="15"/>
  <c r="B10" i="15"/>
  <c r="E10" i="15"/>
  <c r="F10" i="15"/>
  <c r="B9" i="15"/>
  <c r="E9" i="15"/>
  <c r="F9" i="15"/>
  <c r="B8" i="15"/>
  <c r="E8" i="15"/>
  <c r="F8" i="15"/>
  <c r="B7" i="15"/>
  <c r="E7" i="15"/>
  <c r="F7" i="15"/>
  <c r="D6" i="15"/>
  <c r="B6" i="15"/>
  <c r="E6" i="15"/>
  <c r="B5" i="15"/>
  <c r="E5" i="15"/>
  <c r="F5" i="15"/>
  <c r="C1207" i="13"/>
  <c r="H1199" i="13"/>
  <c r="H1212" i="10"/>
  <c r="M18" i="10"/>
  <c r="M19" i="10"/>
  <c r="K19" i="10"/>
  <c r="I18" i="10"/>
  <c r="I19" i="10"/>
  <c r="I20" i="10"/>
  <c r="G18" i="10"/>
  <c r="G19" i="10"/>
  <c r="G20" i="10"/>
  <c r="F18" i="10"/>
  <c r="F19" i="10"/>
  <c r="F20" i="10"/>
  <c r="E18" i="10"/>
  <c r="E19" i="10"/>
  <c r="D18" i="10"/>
  <c r="D19" i="10"/>
  <c r="D20" i="10"/>
  <c r="S811" i="1"/>
  <c r="I811" i="1"/>
  <c r="K811" i="1"/>
  <c r="S809" i="1"/>
  <c r="I809" i="1"/>
  <c r="K809" i="1"/>
  <c r="R809" i="1"/>
  <c r="S806" i="1"/>
  <c r="I806" i="1"/>
  <c r="K806" i="1"/>
  <c r="R806" i="1"/>
  <c r="S805" i="1"/>
  <c r="I805" i="1"/>
  <c r="K805" i="1"/>
  <c r="R805" i="1"/>
  <c r="S803" i="1"/>
  <c r="I803" i="1"/>
  <c r="K803" i="1"/>
  <c r="R803" i="1"/>
  <c r="S802" i="1"/>
  <c r="I802" i="1"/>
  <c r="K802" i="1"/>
  <c r="R802" i="1"/>
  <c r="S801" i="1"/>
  <c r="I801" i="1"/>
  <c r="K801" i="1"/>
  <c r="R801" i="1"/>
  <c r="S800" i="1"/>
  <c r="I800" i="1"/>
  <c r="K800" i="1"/>
  <c r="R800" i="1"/>
  <c r="S799" i="1"/>
  <c r="I799" i="1"/>
  <c r="K799" i="1"/>
  <c r="R799" i="1"/>
  <c r="S798" i="1"/>
  <c r="I798" i="1"/>
  <c r="K798" i="1"/>
  <c r="R798" i="1"/>
  <c r="S797" i="1"/>
  <c r="I797" i="1"/>
  <c r="K797" i="1"/>
  <c r="R797" i="1"/>
  <c r="S796" i="1"/>
  <c r="I796" i="1"/>
  <c r="K796" i="1"/>
  <c r="R796" i="1"/>
  <c r="G796" i="1"/>
  <c r="S795" i="1"/>
  <c r="I795" i="1"/>
  <c r="K795" i="1"/>
  <c r="R795" i="1"/>
  <c r="S794" i="1"/>
  <c r="I794" i="1"/>
  <c r="K794" i="1"/>
  <c r="N794" i="1"/>
  <c r="R794" i="1"/>
  <c r="D794" i="1"/>
  <c r="S793" i="1"/>
  <c r="I793" i="1"/>
  <c r="K793" i="1"/>
  <c r="S792" i="1"/>
  <c r="I792" i="1"/>
  <c r="K792" i="1"/>
  <c r="S791" i="1"/>
  <c r="I791" i="1"/>
  <c r="K791" i="1"/>
  <c r="L791" i="1"/>
  <c r="S790" i="1"/>
  <c r="I790" i="1"/>
  <c r="K790" i="1"/>
  <c r="R790" i="1"/>
  <c r="L790" i="1"/>
  <c r="D790" i="1"/>
  <c r="S546" i="1"/>
  <c r="I546" i="1"/>
  <c r="K546" i="1"/>
  <c r="S545" i="1"/>
  <c r="I545" i="1"/>
  <c r="K545" i="1"/>
  <c r="H543" i="1"/>
  <c r="S544" i="1"/>
  <c r="I544" i="1"/>
  <c r="K544" i="1"/>
  <c r="S543" i="1"/>
  <c r="I543" i="1"/>
  <c r="K543" i="1"/>
  <c r="R543" i="1"/>
  <c r="S539" i="1"/>
  <c r="I539" i="1"/>
  <c r="K539" i="1"/>
  <c r="N539" i="1"/>
  <c r="R539" i="1"/>
  <c r="D539" i="1"/>
  <c r="S1021" i="1"/>
  <c r="I1021" i="1"/>
  <c r="K1021" i="1"/>
  <c r="S1020" i="1"/>
  <c r="I1020" i="1"/>
  <c r="K1020" i="1"/>
  <c r="Q1020" i="1"/>
  <c r="R1020" i="1"/>
  <c r="S1019" i="1"/>
  <c r="I1019" i="1"/>
  <c r="K1019" i="1"/>
  <c r="L1019" i="1"/>
  <c r="S1018" i="1"/>
  <c r="I1018" i="1"/>
  <c r="K1018" i="1"/>
  <c r="Q1018" i="1"/>
  <c r="R1018" i="1"/>
  <c r="H1018" i="1"/>
  <c r="AA1018" i="1"/>
  <c r="S1017" i="1"/>
  <c r="I1017" i="1"/>
  <c r="K1017" i="1"/>
  <c r="R1017" i="1"/>
  <c r="L1017" i="1"/>
  <c r="D1017" i="1"/>
  <c r="S1007" i="1"/>
  <c r="I1007" i="1"/>
  <c r="K1007" i="1"/>
  <c r="S1006" i="1"/>
  <c r="I1006" i="1"/>
  <c r="K1006" i="1"/>
  <c r="Q1006" i="1"/>
  <c r="R1006" i="1"/>
  <c r="S995" i="1"/>
  <c r="I995" i="1"/>
  <c r="K995" i="1"/>
  <c r="L995" i="1"/>
  <c r="H994" i="1"/>
  <c r="AA994" i="1"/>
  <c r="S994" i="1"/>
  <c r="I994" i="1"/>
  <c r="K994" i="1"/>
  <c r="Q994" i="1"/>
  <c r="R994" i="1"/>
  <c r="S993" i="1"/>
  <c r="I993" i="1"/>
  <c r="K993" i="1"/>
  <c r="R993" i="1"/>
  <c r="L993" i="1"/>
  <c r="D993" i="1"/>
  <c r="S992" i="1"/>
  <c r="I992" i="1"/>
  <c r="K992" i="1"/>
  <c r="L992" i="1"/>
  <c r="S991" i="1"/>
  <c r="I991" i="1"/>
  <c r="K991" i="1"/>
  <c r="L991" i="1"/>
  <c r="S990" i="1"/>
  <c r="I990" i="1"/>
  <c r="K990" i="1"/>
  <c r="L990" i="1"/>
  <c r="S989" i="1"/>
  <c r="I989" i="1"/>
  <c r="K989" i="1"/>
  <c r="R989" i="1"/>
  <c r="H989" i="1"/>
  <c r="AA989" i="1"/>
  <c r="S988" i="1"/>
  <c r="I988" i="1"/>
  <c r="K988" i="1"/>
  <c r="L988" i="1"/>
  <c r="S987" i="1"/>
  <c r="I987" i="1"/>
  <c r="K987" i="1"/>
  <c r="R987" i="1"/>
  <c r="H987" i="1"/>
  <c r="AA987" i="1"/>
  <c r="S986" i="1"/>
  <c r="I986" i="1"/>
  <c r="K986" i="1"/>
  <c r="R986" i="1"/>
  <c r="L986" i="1"/>
  <c r="D986" i="1"/>
  <c r="S985" i="1"/>
  <c r="I985" i="1"/>
  <c r="K985" i="1"/>
  <c r="L985" i="1"/>
  <c r="D985" i="1"/>
  <c r="S984" i="1"/>
  <c r="I984" i="1"/>
  <c r="K984" i="1"/>
  <c r="L984" i="1"/>
  <c r="D984" i="1"/>
  <c r="S264" i="1"/>
  <c r="I264" i="1"/>
  <c r="K264" i="1"/>
  <c r="L264" i="1"/>
  <c r="AA263" i="1"/>
  <c r="S263" i="1"/>
  <c r="I263" i="1"/>
  <c r="K263" i="1"/>
  <c r="R263" i="1"/>
  <c r="S262" i="1"/>
  <c r="I262" i="1"/>
  <c r="K262" i="1"/>
  <c r="R262" i="1"/>
  <c r="L262" i="1"/>
  <c r="D262" i="1"/>
  <c r="S917" i="1"/>
  <c r="I917" i="1"/>
  <c r="K917" i="1"/>
  <c r="R917" i="1"/>
  <c r="L917" i="1"/>
  <c r="D917" i="1"/>
  <c r="S916" i="1"/>
  <c r="I916" i="1"/>
  <c r="K916" i="1"/>
  <c r="R916" i="1"/>
  <c r="L916" i="1"/>
  <c r="D916" i="1"/>
  <c r="S902" i="1"/>
  <c r="I902" i="1"/>
  <c r="K902" i="1"/>
  <c r="L902" i="1"/>
  <c r="S901" i="1"/>
  <c r="I901" i="1"/>
  <c r="K901" i="1"/>
  <c r="R901" i="1"/>
  <c r="H901" i="1"/>
  <c r="AA901" i="1"/>
  <c r="S900" i="1"/>
  <c r="I900" i="1"/>
  <c r="K900" i="1"/>
  <c r="L900" i="1"/>
  <c r="S899" i="1"/>
  <c r="I899" i="1"/>
  <c r="K899" i="1"/>
  <c r="R899" i="1"/>
  <c r="H899" i="1"/>
  <c r="AA899" i="1"/>
  <c r="S896" i="1"/>
  <c r="I896" i="1"/>
  <c r="K896" i="1"/>
  <c r="R896" i="1"/>
  <c r="L896" i="1"/>
  <c r="S973" i="1"/>
  <c r="I973" i="1"/>
  <c r="K973" i="1"/>
  <c r="L973" i="1"/>
  <c r="S972" i="1"/>
  <c r="I972" i="1"/>
  <c r="K972" i="1"/>
  <c r="L972" i="1"/>
  <c r="S971" i="1"/>
  <c r="I971" i="1"/>
  <c r="K971" i="1"/>
  <c r="R971" i="1"/>
  <c r="L971" i="1"/>
  <c r="AA969" i="1"/>
  <c r="S969" i="1"/>
  <c r="I969" i="1"/>
  <c r="K969" i="1"/>
  <c r="R969" i="1"/>
  <c r="S968" i="1"/>
  <c r="I968" i="1"/>
  <c r="K968" i="1"/>
  <c r="R968" i="1"/>
  <c r="L968" i="1"/>
  <c r="H967" i="1"/>
  <c r="S967" i="1"/>
  <c r="I967" i="1"/>
  <c r="K967" i="1"/>
  <c r="R967" i="1"/>
  <c r="S963" i="1"/>
  <c r="I963" i="1"/>
  <c r="K963" i="1"/>
  <c r="R963" i="1"/>
  <c r="L963" i="1"/>
  <c r="D963" i="1"/>
  <c r="S962" i="1"/>
  <c r="I962" i="1"/>
  <c r="K962" i="1"/>
  <c r="L962" i="1"/>
  <c r="S961" i="1"/>
  <c r="I961" i="1"/>
  <c r="K961" i="1"/>
  <c r="L961" i="1"/>
  <c r="S950" i="1"/>
  <c r="I950" i="1"/>
  <c r="K950" i="1"/>
  <c r="L950" i="1"/>
  <c r="S949" i="1"/>
  <c r="I949" i="1"/>
  <c r="K949" i="1"/>
  <c r="R949" i="1"/>
  <c r="H949" i="1"/>
  <c r="AA949" i="1"/>
  <c r="S956" i="1"/>
  <c r="I956" i="1"/>
  <c r="K956" i="1"/>
  <c r="L956" i="1"/>
  <c r="D956" i="1"/>
  <c r="S955" i="1"/>
  <c r="I955" i="1"/>
  <c r="L955" i="1"/>
  <c r="S954" i="1"/>
  <c r="I954" i="1"/>
  <c r="L954" i="1"/>
  <c r="S953" i="1"/>
  <c r="I953" i="1"/>
  <c r="L953" i="1"/>
  <c r="S952" i="1"/>
  <c r="I952" i="1"/>
  <c r="K952" i="1"/>
  <c r="L952" i="1"/>
  <c r="S951" i="1"/>
  <c r="I951" i="1"/>
  <c r="K951" i="1"/>
  <c r="R951" i="1"/>
  <c r="S948" i="1"/>
  <c r="I948" i="1"/>
  <c r="K948" i="1"/>
  <c r="L948" i="1"/>
  <c r="H947" i="1"/>
  <c r="AA947" i="1"/>
  <c r="S947" i="1"/>
  <c r="I947" i="1"/>
  <c r="K947" i="1"/>
  <c r="R947" i="1"/>
  <c r="S946" i="1"/>
  <c r="I946" i="1"/>
  <c r="K946" i="1"/>
  <c r="N946" i="1"/>
  <c r="R946" i="1"/>
  <c r="L946" i="1"/>
  <c r="D946" i="1"/>
  <c r="S945" i="1"/>
  <c r="I945" i="1"/>
  <c r="K945" i="1"/>
  <c r="R945" i="1"/>
  <c r="L945" i="1"/>
  <c r="D945" i="1"/>
  <c r="S944" i="1"/>
  <c r="I944" i="1"/>
  <c r="R944" i="1"/>
  <c r="L944" i="1"/>
  <c r="S943" i="1"/>
  <c r="I943" i="1"/>
  <c r="K943" i="1"/>
  <c r="R943" i="1"/>
  <c r="L943" i="1"/>
  <c r="R942" i="1"/>
  <c r="S941" i="1"/>
  <c r="I941" i="1"/>
  <c r="K941" i="1"/>
  <c r="N941" i="1"/>
  <c r="R941" i="1"/>
  <c r="L941" i="1"/>
  <c r="S938" i="1"/>
  <c r="I938" i="1"/>
  <c r="R938" i="1"/>
  <c r="L938" i="1"/>
  <c r="D938" i="1"/>
  <c r="S937" i="1"/>
  <c r="I937" i="1"/>
  <c r="K937" i="1"/>
  <c r="R937" i="1"/>
  <c r="S936" i="1"/>
  <c r="I936" i="1"/>
  <c r="K936" i="1"/>
  <c r="L936" i="1"/>
  <c r="H935" i="1"/>
  <c r="AA935" i="1"/>
  <c r="S935" i="1"/>
  <c r="I935" i="1"/>
  <c r="K935" i="1"/>
  <c r="R935" i="1"/>
  <c r="S934" i="1"/>
  <c r="I934" i="1"/>
  <c r="K934" i="1"/>
  <c r="R934" i="1"/>
  <c r="L934" i="1"/>
  <c r="D934" i="1"/>
  <c r="S933" i="1"/>
  <c r="I933" i="1"/>
  <c r="K933" i="1"/>
  <c r="L933" i="1"/>
  <c r="L932" i="1"/>
  <c r="I932" i="1"/>
  <c r="S929" i="1"/>
  <c r="I929" i="1"/>
  <c r="K929" i="1"/>
  <c r="N929" i="1"/>
  <c r="R929" i="1"/>
  <c r="L929" i="1"/>
  <c r="D929" i="1"/>
  <c r="S928" i="1"/>
  <c r="I928" i="1"/>
  <c r="K928" i="1"/>
  <c r="R928" i="1"/>
  <c r="H928" i="1"/>
  <c r="AA928" i="1"/>
  <c r="S927" i="1"/>
  <c r="I927" i="1"/>
  <c r="K927" i="1"/>
  <c r="R927" i="1"/>
  <c r="L927" i="1"/>
  <c r="D927" i="1"/>
  <c r="S926" i="1"/>
  <c r="I926" i="1"/>
  <c r="K926" i="1"/>
  <c r="R926" i="1"/>
  <c r="S925" i="1"/>
  <c r="I925" i="1"/>
  <c r="K925" i="1"/>
  <c r="R925" i="1"/>
  <c r="L925" i="1"/>
  <c r="D925" i="1"/>
  <c r="S924" i="1"/>
  <c r="I924" i="1"/>
  <c r="K924" i="1"/>
  <c r="R924" i="1"/>
  <c r="G924" i="1"/>
  <c r="G926" i="1"/>
  <c r="G928" i="1"/>
  <c r="S923" i="1"/>
  <c r="I923" i="1"/>
  <c r="R923" i="1"/>
  <c r="L923" i="1"/>
  <c r="S922" i="1"/>
  <c r="I922" i="1"/>
  <c r="K922" i="1"/>
  <c r="R922" i="1"/>
  <c r="G922" i="1"/>
  <c r="L919" i="1"/>
  <c r="S919" i="1"/>
  <c r="I919" i="1"/>
  <c r="K919" i="1"/>
  <c r="R919" i="1"/>
  <c r="S918" i="1"/>
  <c r="I918" i="1"/>
  <c r="K918" i="1"/>
  <c r="R918" i="1"/>
  <c r="L918" i="1"/>
  <c r="D918" i="1"/>
  <c r="S895" i="1"/>
  <c r="I895" i="1"/>
  <c r="K895" i="1"/>
  <c r="L895" i="1"/>
  <c r="S894" i="1"/>
  <c r="I894" i="1"/>
  <c r="K894" i="1"/>
  <c r="L894" i="1"/>
  <c r="S870" i="1"/>
  <c r="I870" i="1"/>
  <c r="K870" i="1"/>
  <c r="L870" i="1"/>
  <c r="AA869" i="1"/>
  <c r="S869" i="1"/>
  <c r="I869" i="1"/>
  <c r="K869" i="1"/>
  <c r="Q869" i="1"/>
  <c r="R869" i="1"/>
  <c r="S866" i="1"/>
  <c r="I866" i="1"/>
  <c r="K866" i="1"/>
  <c r="R866" i="1"/>
  <c r="L866" i="1"/>
  <c r="D866" i="1"/>
  <c r="S1029" i="1"/>
  <c r="I1029" i="1"/>
  <c r="K1029" i="1"/>
  <c r="L1029" i="1"/>
  <c r="D1029" i="1"/>
  <c r="S1025" i="1"/>
  <c r="I1025" i="1"/>
  <c r="K1025" i="1"/>
  <c r="L1025" i="1"/>
  <c r="D1025" i="1"/>
  <c r="B1025" i="1"/>
  <c r="S1024" i="1"/>
  <c r="I1024" i="1"/>
  <c r="K1024" i="1"/>
  <c r="L1024" i="1"/>
  <c r="D1024" i="1"/>
  <c r="B1024" i="1"/>
  <c r="S1023" i="1"/>
  <c r="I1023" i="1"/>
  <c r="K1023" i="1"/>
  <c r="R1023" i="1"/>
  <c r="S1022" i="1"/>
  <c r="I1022" i="1"/>
  <c r="K1022" i="1"/>
  <c r="R1022" i="1"/>
  <c r="L1022" i="1"/>
  <c r="D1022" i="1"/>
  <c r="S789" i="1"/>
  <c r="I789" i="1"/>
  <c r="K789" i="1"/>
  <c r="L789" i="1"/>
  <c r="S786" i="1"/>
  <c r="I786" i="1"/>
  <c r="K786" i="1"/>
  <c r="R786" i="1"/>
  <c r="L786" i="1"/>
  <c r="D786" i="1"/>
  <c r="S785" i="1"/>
  <c r="I785" i="1"/>
  <c r="K785" i="1"/>
  <c r="Q785" i="1"/>
  <c r="R785" i="1"/>
  <c r="S784" i="1"/>
  <c r="I784" i="1"/>
  <c r="K784" i="1"/>
  <c r="L784" i="1"/>
  <c r="S843" i="1"/>
  <c r="I843" i="1"/>
  <c r="K843" i="1"/>
  <c r="L843" i="1"/>
  <c r="S842" i="1"/>
  <c r="I842" i="1"/>
  <c r="K842" i="1"/>
  <c r="R842" i="1"/>
  <c r="L842" i="1"/>
  <c r="D842" i="1"/>
  <c r="S841" i="1"/>
  <c r="I841" i="1"/>
  <c r="K841" i="1"/>
  <c r="R841" i="1"/>
  <c r="L841" i="1"/>
  <c r="D841" i="1"/>
  <c r="S840" i="1"/>
  <c r="I840" i="1"/>
  <c r="K840" i="1"/>
  <c r="R840" i="1"/>
  <c r="S839" i="1"/>
  <c r="I839" i="1"/>
  <c r="K839" i="1"/>
  <c r="R839" i="1"/>
  <c r="L839" i="1"/>
  <c r="D839" i="1"/>
  <c r="S838" i="1"/>
  <c r="I838" i="1"/>
  <c r="K838" i="1"/>
  <c r="L838" i="1"/>
  <c r="S837" i="1"/>
  <c r="I837" i="1"/>
  <c r="K837" i="1"/>
  <c r="R837" i="1"/>
  <c r="L837" i="1"/>
  <c r="D837" i="1"/>
  <c r="S836" i="1"/>
  <c r="I836" i="1"/>
  <c r="K836" i="1"/>
  <c r="R836" i="1"/>
  <c r="L836" i="1"/>
  <c r="D836" i="1"/>
  <c r="S835" i="1"/>
  <c r="I835" i="1"/>
  <c r="K835" i="1"/>
  <c r="R835" i="1"/>
  <c r="S834" i="1"/>
  <c r="I834" i="1"/>
  <c r="K834" i="1"/>
  <c r="R834" i="1"/>
  <c r="L834" i="1"/>
  <c r="D834" i="1"/>
  <c r="S833" i="1"/>
  <c r="I833" i="1"/>
  <c r="K833" i="1"/>
  <c r="L833" i="1"/>
  <c r="S832" i="1"/>
  <c r="I832" i="1"/>
  <c r="K832" i="1"/>
  <c r="R832" i="1"/>
  <c r="L832" i="1"/>
  <c r="D832" i="1"/>
  <c r="S831" i="1"/>
  <c r="I831" i="1"/>
  <c r="K831" i="1"/>
  <c r="R831" i="1"/>
  <c r="L831" i="1"/>
  <c r="D831" i="1"/>
  <c r="S830" i="1"/>
  <c r="I830" i="1"/>
  <c r="K830" i="1"/>
  <c r="R830" i="1"/>
  <c r="L830" i="1"/>
  <c r="D830" i="1"/>
  <c r="S829" i="1"/>
  <c r="I829" i="1"/>
  <c r="K829" i="1"/>
  <c r="R829" i="1"/>
  <c r="I824" i="1"/>
  <c r="K824" i="1"/>
  <c r="N824" i="1"/>
  <c r="R824" i="1"/>
  <c r="L824" i="1"/>
  <c r="D824" i="1"/>
  <c r="H823" i="1"/>
  <c r="AA823" i="1"/>
  <c r="I823" i="1"/>
  <c r="K823" i="1"/>
  <c r="R823" i="1"/>
  <c r="I822" i="1"/>
  <c r="K822" i="1"/>
  <c r="N822" i="1"/>
  <c r="R822" i="1"/>
  <c r="L822" i="1"/>
  <c r="D822" i="1"/>
  <c r="I821" i="1"/>
  <c r="R821" i="1"/>
  <c r="L821" i="1"/>
  <c r="D821" i="1"/>
  <c r="I820" i="1"/>
  <c r="K820" i="1"/>
  <c r="R820" i="1"/>
  <c r="I819" i="1"/>
  <c r="K819" i="1"/>
  <c r="N819" i="1"/>
  <c r="R819" i="1"/>
  <c r="L819" i="1"/>
  <c r="I818" i="1"/>
  <c r="R818" i="1"/>
  <c r="L818" i="1"/>
  <c r="D818" i="1"/>
  <c r="I817" i="1"/>
  <c r="K817" i="1"/>
  <c r="N817" i="1"/>
  <c r="R817" i="1"/>
  <c r="L817" i="1"/>
  <c r="D817" i="1"/>
  <c r="I816" i="1"/>
  <c r="K816" i="1"/>
  <c r="N816" i="1"/>
  <c r="R816" i="1"/>
  <c r="L816" i="1"/>
  <c r="D816" i="1"/>
  <c r="I815" i="1"/>
  <c r="K815" i="1"/>
  <c r="R815" i="1"/>
  <c r="S812" i="1"/>
  <c r="I812" i="1"/>
  <c r="K812" i="1"/>
  <c r="R812" i="1"/>
  <c r="L812" i="1"/>
  <c r="D812" i="1"/>
  <c r="S459" i="1"/>
  <c r="I459" i="1"/>
  <c r="K459" i="1"/>
  <c r="R459" i="1"/>
  <c r="L459" i="1"/>
  <c r="D459" i="1"/>
  <c r="S458" i="1"/>
  <c r="I458" i="1"/>
  <c r="R458" i="1"/>
  <c r="L458" i="1"/>
  <c r="D458" i="1"/>
  <c r="S447" i="1"/>
  <c r="I447" i="1"/>
  <c r="R447" i="1"/>
  <c r="L447" i="1"/>
  <c r="D447" i="1"/>
  <c r="S444" i="1"/>
  <c r="I444" i="1"/>
  <c r="K444" i="1"/>
  <c r="R444" i="1"/>
  <c r="AA422" i="1"/>
  <c r="S422" i="1"/>
  <c r="I422" i="1"/>
  <c r="K422" i="1"/>
  <c r="R422" i="1"/>
  <c r="S443" i="1"/>
  <c r="I443" i="1"/>
  <c r="R443" i="1"/>
  <c r="L443" i="1"/>
  <c r="D443" i="1"/>
  <c r="S442" i="1"/>
  <c r="I442" i="1"/>
  <c r="R442" i="1"/>
  <c r="L442" i="1"/>
  <c r="D442" i="1"/>
  <c r="S441" i="1"/>
  <c r="I441" i="1"/>
  <c r="K441" i="1"/>
  <c r="R441" i="1"/>
  <c r="S440" i="1"/>
  <c r="I440" i="1"/>
  <c r="R440" i="1"/>
  <c r="L440" i="1"/>
  <c r="D440" i="1"/>
  <c r="S439" i="1"/>
  <c r="I439" i="1"/>
  <c r="R439" i="1"/>
  <c r="L439" i="1"/>
  <c r="D439" i="1"/>
  <c r="S438" i="1"/>
  <c r="I438" i="1"/>
  <c r="K438" i="1"/>
  <c r="R438" i="1"/>
  <c r="S431" i="1"/>
  <c r="I431" i="1"/>
  <c r="K431" i="1"/>
  <c r="R431" i="1"/>
  <c r="L431" i="1"/>
  <c r="D431" i="1"/>
  <c r="S430" i="1"/>
  <c r="I430" i="1"/>
  <c r="K430" i="1"/>
  <c r="N430" i="1"/>
  <c r="R430" i="1"/>
  <c r="L430" i="1"/>
  <c r="D430" i="1"/>
  <c r="S429" i="1"/>
  <c r="I429" i="1"/>
  <c r="K429" i="1"/>
  <c r="R429" i="1"/>
  <c r="L429" i="1"/>
  <c r="D429" i="1"/>
  <c r="S428" i="1"/>
  <c r="I428" i="1"/>
  <c r="K428" i="1"/>
  <c r="R428" i="1"/>
  <c r="L428" i="1"/>
  <c r="D428" i="1"/>
  <c r="S427" i="1"/>
  <c r="I427" i="1"/>
  <c r="K427" i="1"/>
  <c r="R427" i="1"/>
  <c r="L427" i="1"/>
  <c r="D427" i="1"/>
  <c r="S426" i="1"/>
  <c r="I426" i="1"/>
  <c r="K426" i="1"/>
  <c r="N426" i="1"/>
  <c r="R426" i="1"/>
  <c r="L426" i="1"/>
  <c r="D426" i="1"/>
  <c r="S425" i="1"/>
  <c r="I425" i="1"/>
  <c r="K425" i="1"/>
  <c r="R425" i="1"/>
  <c r="L425" i="1"/>
  <c r="D425" i="1"/>
  <c r="S424" i="1"/>
  <c r="I424" i="1"/>
  <c r="K424" i="1"/>
  <c r="R424" i="1"/>
  <c r="S421" i="1"/>
  <c r="I421" i="1"/>
  <c r="K421" i="1"/>
  <c r="R421" i="1"/>
  <c r="L421" i="1"/>
  <c r="D421" i="1"/>
  <c r="S659" i="1"/>
  <c r="I659" i="1"/>
  <c r="K659" i="1"/>
  <c r="R659" i="1"/>
  <c r="L659" i="1"/>
  <c r="D659" i="1"/>
  <c r="S654" i="1"/>
  <c r="I654" i="1"/>
  <c r="K654" i="1"/>
  <c r="R654" i="1"/>
  <c r="L654" i="1"/>
  <c r="D654" i="1"/>
  <c r="S653" i="1"/>
  <c r="I653" i="1"/>
  <c r="K653" i="1"/>
  <c r="L653" i="1"/>
  <c r="D653" i="1"/>
  <c r="S652" i="1"/>
  <c r="I652" i="1"/>
  <c r="K652" i="1"/>
  <c r="L652" i="1"/>
  <c r="D652" i="1"/>
  <c r="S651" i="1"/>
  <c r="I651" i="1"/>
  <c r="L651" i="1"/>
  <c r="S650" i="1"/>
  <c r="I650" i="1"/>
  <c r="K650" i="1"/>
  <c r="L650" i="1"/>
  <c r="S649" i="1"/>
  <c r="I649" i="1"/>
  <c r="K649" i="1"/>
  <c r="R649" i="1"/>
  <c r="S646" i="1"/>
  <c r="I646" i="1"/>
  <c r="K646" i="1"/>
  <c r="R646" i="1"/>
  <c r="L646" i="1"/>
  <c r="D646" i="1"/>
  <c r="S644" i="1"/>
  <c r="I644" i="1"/>
  <c r="K644" i="1"/>
  <c r="R644" i="1"/>
  <c r="L644" i="1"/>
  <c r="D644" i="1"/>
  <c r="S643" i="1"/>
  <c r="I643" i="1"/>
  <c r="K643" i="1"/>
  <c r="R643" i="1"/>
  <c r="L643" i="1"/>
  <c r="D643" i="1"/>
  <c r="S615" i="1"/>
  <c r="I615" i="1"/>
  <c r="K615" i="1"/>
  <c r="L615" i="1"/>
  <c r="S614" i="1"/>
  <c r="I614" i="1"/>
  <c r="K614" i="1"/>
  <c r="R614" i="1"/>
  <c r="S625" i="1"/>
  <c r="I625" i="1"/>
  <c r="K625" i="1"/>
  <c r="R625" i="1"/>
  <c r="S624" i="1"/>
  <c r="I624" i="1"/>
  <c r="K624" i="1"/>
  <c r="L624" i="1"/>
  <c r="S621" i="1"/>
  <c r="I621" i="1"/>
  <c r="L621" i="1"/>
  <c r="S620" i="1"/>
  <c r="I620" i="1"/>
  <c r="K620" i="1"/>
  <c r="L620" i="1"/>
  <c r="S619" i="1"/>
  <c r="I619" i="1"/>
  <c r="K619" i="1"/>
  <c r="L619" i="1"/>
  <c r="S618" i="1"/>
  <c r="I618" i="1"/>
  <c r="K618" i="1"/>
  <c r="R618" i="1"/>
  <c r="S613" i="1"/>
  <c r="I613" i="1"/>
  <c r="R613" i="1"/>
  <c r="N613" i="1"/>
  <c r="L613" i="1"/>
  <c r="M613" i="1"/>
  <c r="D613" i="1"/>
  <c r="S612" i="1"/>
  <c r="I612" i="1"/>
  <c r="K612" i="1"/>
  <c r="L612" i="1"/>
  <c r="D612" i="1"/>
  <c r="S611" i="1"/>
  <c r="I611" i="1"/>
  <c r="K611" i="1"/>
  <c r="L611" i="1"/>
  <c r="D611" i="1"/>
  <c r="S610" i="1"/>
  <c r="I610" i="1"/>
  <c r="K610" i="1"/>
  <c r="L610" i="1"/>
  <c r="D610" i="1"/>
  <c r="S607" i="1"/>
  <c r="I607" i="1"/>
  <c r="K607" i="1"/>
  <c r="L607" i="1"/>
  <c r="D607" i="1"/>
  <c r="S606" i="1"/>
  <c r="I606" i="1"/>
  <c r="K606" i="1"/>
  <c r="R606" i="1"/>
  <c r="S605" i="1"/>
  <c r="I605" i="1"/>
  <c r="K605" i="1"/>
  <c r="R605" i="1"/>
  <c r="L605" i="1"/>
  <c r="D605" i="1"/>
  <c r="S775" i="1"/>
  <c r="I775" i="1"/>
  <c r="L775" i="1"/>
  <c r="M775" i="1"/>
  <c r="S774" i="1"/>
  <c r="I774" i="1"/>
  <c r="L774" i="1"/>
  <c r="M774" i="1"/>
  <c r="S770" i="1"/>
  <c r="I770" i="1"/>
  <c r="R770" i="1"/>
  <c r="L770" i="1"/>
  <c r="M770" i="1"/>
  <c r="D770" i="1"/>
  <c r="S748" i="1"/>
  <c r="I748" i="1"/>
  <c r="R748" i="1"/>
  <c r="L748" i="1"/>
  <c r="M748" i="1"/>
  <c r="D748" i="1"/>
  <c r="S767" i="1"/>
  <c r="I767" i="1"/>
  <c r="K767" i="1"/>
  <c r="L767" i="1"/>
  <c r="AA765" i="1"/>
  <c r="S765" i="1"/>
  <c r="I765" i="1"/>
  <c r="K765" i="1"/>
  <c r="R765" i="1"/>
  <c r="S759" i="1"/>
  <c r="I759" i="1"/>
  <c r="K759" i="1"/>
  <c r="L759" i="1"/>
  <c r="S756" i="1"/>
  <c r="I756" i="1"/>
  <c r="L756" i="1"/>
  <c r="S755" i="1"/>
  <c r="I755" i="1"/>
  <c r="L755" i="1"/>
  <c r="S754" i="1"/>
  <c r="I754" i="1"/>
  <c r="K754" i="1"/>
  <c r="R754" i="1"/>
  <c r="S751" i="1"/>
  <c r="I751" i="1"/>
  <c r="R751" i="1"/>
  <c r="L751" i="1"/>
  <c r="S750" i="1"/>
  <c r="I750" i="1"/>
  <c r="R750" i="1"/>
  <c r="L750" i="1"/>
  <c r="S749" i="1"/>
  <c r="I749" i="1"/>
  <c r="K749" i="1"/>
  <c r="R749" i="1"/>
  <c r="S731" i="1"/>
  <c r="I731" i="1"/>
  <c r="K731" i="1"/>
  <c r="L731" i="1"/>
  <c r="H729" i="1"/>
  <c r="S729" i="1"/>
  <c r="I729" i="1"/>
  <c r="K729" i="1"/>
  <c r="R729" i="1"/>
  <c r="S728" i="1"/>
  <c r="I728" i="1"/>
  <c r="K728" i="1"/>
  <c r="L728" i="1"/>
  <c r="S727" i="1"/>
  <c r="I727" i="1"/>
  <c r="K727" i="1"/>
  <c r="R727" i="1"/>
  <c r="S726" i="1"/>
  <c r="I726" i="1"/>
  <c r="R726" i="1"/>
  <c r="L726" i="1"/>
  <c r="D726" i="1"/>
  <c r="S724" i="1"/>
  <c r="I724" i="1"/>
  <c r="R724" i="1"/>
  <c r="L724" i="1"/>
  <c r="D724" i="1"/>
  <c r="S723" i="1"/>
  <c r="I723" i="1"/>
  <c r="R723" i="1"/>
  <c r="L723" i="1"/>
  <c r="D723" i="1"/>
  <c r="S722" i="1"/>
  <c r="I722" i="1"/>
  <c r="K722" i="1"/>
  <c r="R722" i="1"/>
  <c r="S719" i="1"/>
  <c r="I719" i="1"/>
  <c r="K719" i="1"/>
  <c r="L719" i="1"/>
  <c r="S715" i="1"/>
  <c r="I715" i="1"/>
  <c r="K715" i="1"/>
  <c r="R715" i="1"/>
  <c r="S706" i="1"/>
  <c r="I706" i="1"/>
  <c r="L706" i="1"/>
  <c r="S703" i="1"/>
  <c r="I703" i="1"/>
  <c r="K703" i="1"/>
  <c r="L703" i="1"/>
  <c r="S702" i="1"/>
  <c r="I702" i="1"/>
  <c r="K702" i="1"/>
  <c r="R702" i="1"/>
  <c r="S701" i="1"/>
  <c r="I701" i="1"/>
  <c r="K701" i="1"/>
  <c r="L701" i="1"/>
  <c r="H700" i="1"/>
  <c r="AA700" i="1"/>
  <c r="S700" i="1"/>
  <c r="I700" i="1"/>
  <c r="K700" i="1"/>
  <c r="R700" i="1"/>
  <c r="S699" i="1"/>
  <c r="I699" i="1"/>
  <c r="K699" i="1"/>
  <c r="R699" i="1"/>
  <c r="L699" i="1"/>
  <c r="D699" i="1"/>
  <c r="H698" i="1"/>
  <c r="AA698" i="1"/>
  <c r="S698" i="1"/>
  <c r="I698" i="1"/>
  <c r="K698" i="1"/>
  <c r="R698" i="1"/>
  <c r="S697" i="1"/>
  <c r="I697" i="1"/>
  <c r="K697" i="1"/>
  <c r="R697" i="1"/>
  <c r="L697" i="1"/>
  <c r="D697" i="1"/>
  <c r="H696" i="1"/>
  <c r="AA696" i="1"/>
  <c r="S696" i="1"/>
  <c r="I696" i="1"/>
  <c r="K696" i="1"/>
  <c r="R696" i="1"/>
  <c r="S693" i="1"/>
  <c r="I693" i="1"/>
  <c r="K693" i="1"/>
  <c r="L693" i="1"/>
  <c r="S692" i="1"/>
  <c r="I692" i="1"/>
  <c r="K692" i="1"/>
  <c r="L692" i="1"/>
  <c r="S691" i="1"/>
  <c r="I691" i="1"/>
  <c r="K691" i="1"/>
  <c r="R691" i="1"/>
  <c r="S688" i="1"/>
  <c r="I688" i="1"/>
  <c r="K688" i="1"/>
  <c r="R688" i="1"/>
  <c r="L688" i="1"/>
  <c r="D688" i="1"/>
  <c r="S686" i="1"/>
  <c r="I686" i="1"/>
  <c r="K686" i="1"/>
  <c r="R686" i="1"/>
  <c r="S685" i="1"/>
  <c r="I685" i="1"/>
  <c r="L685" i="1"/>
  <c r="S684" i="1"/>
  <c r="I684" i="1"/>
  <c r="L684" i="1"/>
  <c r="D684" i="1"/>
  <c r="S683" i="1"/>
  <c r="I683" i="1"/>
  <c r="K683" i="1"/>
  <c r="R683" i="1"/>
  <c r="S669" i="1"/>
  <c r="I669" i="1"/>
  <c r="K669" i="1"/>
  <c r="R669" i="1"/>
  <c r="L669" i="1"/>
  <c r="D669" i="1"/>
  <c r="H668" i="1"/>
  <c r="AA668" i="1"/>
  <c r="S668" i="1"/>
  <c r="I668" i="1"/>
  <c r="K668" i="1"/>
  <c r="R668" i="1"/>
  <c r="S665" i="1"/>
  <c r="I665" i="1"/>
  <c r="K665" i="1"/>
  <c r="R665" i="1"/>
  <c r="L665" i="1"/>
  <c r="D665" i="1"/>
  <c r="S560" i="1"/>
  <c r="I560" i="1"/>
  <c r="K560" i="1"/>
  <c r="R560" i="1"/>
  <c r="L560" i="1"/>
  <c r="D560" i="1"/>
  <c r="S559" i="1"/>
  <c r="I559" i="1"/>
  <c r="K559" i="1"/>
  <c r="R559" i="1"/>
  <c r="L559" i="1"/>
  <c r="S558" i="1"/>
  <c r="I558" i="1"/>
  <c r="R558" i="1"/>
  <c r="L558" i="1"/>
  <c r="D558" i="1"/>
  <c r="S557" i="1"/>
  <c r="I557" i="1"/>
  <c r="K557" i="1"/>
  <c r="R557" i="1"/>
  <c r="S552" i="1"/>
  <c r="I552" i="1"/>
  <c r="K552" i="1"/>
  <c r="R552" i="1"/>
  <c r="L552" i="1"/>
  <c r="D552" i="1"/>
  <c r="S550" i="1"/>
  <c r="I550" i="1"/>
  <c r="K550" i="1"/>
  <c r="R550" i="1"/>
  <c r="S547" i="1"/>
  <c r="I547" i="1"/>
  <c r="K547" i="1"/>
  <c r="R547" i="1"/>
  <c r="L547" i="1"/>
  <c r="D547" i="1"/>
  <c r="S604" i="1"/>
  <c r="I604" i="1"/>
  <c r="K604" i="1"/>
  <c r="L604" i="1"/>
  <c r="S603" i="1"/>
  <c r="I603" i="1"/>
  <c r="K603" i="1"/>
  <c r="L603" i="1"/>
  <c r="S602" i="1"/>
  <c r="I602" i="1"/>
  <c r="K602" i="1"/>
  <c r="R602" i="1"/>
  <c r="L602" i="1"/>
  <c r="S592" i="1"/>
  <c r="I592" i="1"/>
  <c r="K592" i="1"/>
  <c r="R592" i="1"/>
  <c r="L592" i="1"/>
  <c r="H591" i="1"/>
  <c r="AA591" i="1"/>
  <c r="S591" i="1"/>
  <c r="I591" i="1"/>
  <c r="K591" i="1"/>
  <c r="R591" i="1"/>
  <c r="S590" i="1"/>
  <c r="I590" i="1"/>
  <c r="K590" i="1"/>
  <c r="R590" i="1"/>
  <c r="L590" i="1"/>
  <c r="S589" i="1"/>
  <c r="I589" i="1"/>
  <c r="K589" i="1"/>
  <c r="R589" i="1"/>
  <c r="S586" i="1"/>
  <c r="I586" i="1"/>
  <c r="K586" i="1"/>
  <c r="R586" i="1"/>
  <c r="L586" i="1"/>
  <c r="H585" i="1"/>
  <c r="AA585" i="1"/>
  <c r="S585" i="1"/>
  <c r="I585" i="1"/>
  <c r="K585" i="1"/>
  <c r="R585" i="1"/>
  <c r="S584" i="1"/>
  <c r="I584" i="1"/>
  <c r="K584" i="1"/>
  <c r="R584" i="1"/>
  <c r="L584" i="1"/>
  <c r="H583" i="1"/>
  <c r="AA583" i="1"/>
  <c r="S583" i="1"/>
  <c r="I583" i="1"/>
  <c r="K583" i="1"/>
  <c r="R583" i="1"/>
  <c r="S582" i="1"/>
  <c r="I582" i="1"/>
  <c r="K582" i="1"/>
  <c r="R582" i="1"/>
  <c r="L582" i="1"/>
  <c r="H581" i="1"/>
  <c r="AA581" i="1"/>
  <c r="S581" i="1"/>
  <c r="I581" i="1"/>
  <c r="K581" i="1"/>
  <c r="R581" i="1"/>
  <c r="S580" i="1"/>
  <c r="I580" i="1"/>
  <c r="K580" i="1"/>
  <c r="R580" i="1"/>
  <c r="L580" i="1"/>
  <c r="H579" i="1"/>
  <c r="AA579" i="1"/>
  <c r="S579" i="1"/>
  <c r="I579" i="1"/>
  <c r="K579" i="1"/>
  <c r="R579" i="1"/>
  <c r="S578" i="1"/>
  <c r="I578" i="1"/>
  <c r="K578" i="1"/>
  <c r="R578" i="1"/>
  <c r="L578" i="1"/>
  <c r="H577" i="1"/>
  <c r="AA577" i="1"/>
  <c r="S577" i="1"/>
  <c r="I577" i="1"/>
  <c r="K577" i="1"/>
  <c r="R577" i="1"/>
  <c r="S574" i="1"/>
  <c r="I574" i="1"/>
  <c r="K574" i="1"/>
  <c r="R574" i="1"/>
  <c r="L574" i="1"/>
  <c r="H573" i="1"/>
  <c r="AA573" i="1"/>
  <c r="S573" i="1"/>
  <c r="I573" i="1"/>
  <c r="K573" i="1"/>
  <c r="R573" i="1"/>
  <c r="S568" i="1"/>
  <c r="I568" i="1"/>
  <c r="K568" i="1"/>
  <c r="R568" i="1"/>
  <c r="L568" i="1"/>
  <c r="S566" i="1"/>
  <c r="I566" i="1"/>
  <c r="K566" i="1"/>
  <c r="R566" i="1"/>
  <c r="S565" i="1"/>
  <c r="I565" i="1"/>
  <c r="K565" i="1"/>
  <c r="R565" i="1"/>
  <c r="L565" i="1"/>
  <c r="D565" i="1"/>
  <c r="S564" i="1"/>
  <c r="I564" i="1"/>
  <c r="K564" i="1"/>
  <c r="R564" i="1"/>
  <c r="S561" i="1"/>
  <c r="I561" i="1"/>
  <c r="K561" i="1"/>
  <c r="R561" i="1"/>
  <c r="L561" i="1"/>
  <c r="D561" i="1"/>
  <c r="S281" i="1"/>
  <c r="I281" i="1"/>
  <c r="K281" i="1"/>
  <c r="L281" i="1"/>
  <c r="D281" i="1"/>
  <c r="S277" i="1"/>
  <c r="I277" i="1"/>
  <c r="K277" i="1"/>
  <c r="N277" i="1"/>
  <c r="L277" i="1"/>
  <c r="D277" i="1"/>
  <c r="S276" i="1"/>
  <c r="I276" i="1"/>
  <c r="K276" i="1"/>
  <c r="L276" i="1"/>
  <c r="D276" i="1"/>
  <c r="S275" i="1"/>
  <c r="I275" i="1"/>
  <c r="K275" i="1"/>
  <c r="L275" i="1"/>
  <c r="D275" i="1"/>
  <c r="S274" i="1"/>
  <c r="I274" i="1"/>
  <c r="K274" i="1"/>
  <c r="L274" i="1"/>
  <c r="D274" i="1"/>
  <c r="S273" i="1"/>
  <c r="I273" i="1"/>
  <c r="K273" i="1"/>
  <c r="L273" i="1"/>
  <c r="D273" i="1"/>
  <c r="S272" i="1"/>
  <c r="I272" i="1"/>
  <c r="K272" i="1"/>
  <c r="S271" i="1"/>
  <c r="I271" i="1"/>
  <c r="K271" i="1"/>
  <c r="L271" i="1"/>
  <c r="D271" i="1"/>
  <c r="S270" i="1"/>
  <c r="I270" i="1"/>
  <c r="K270" i="1"/>
  <c r="L270" i="1"/>
  <c r="D270" i="1"/>
  <c r="S269" i="1"/>
  <c r="I269" i="1"/>
  <c r="K269" i="1"/>
  <c r="L269" i="1"/>
  <c r="D269" i="1"/>
  <c r="S268" i="1"/>
  <c r="I268" i="1"/>
  <c r="K268" i="1"/>
  <c r="Q268" i="1"/>
  <c r="R268" i="1"/>
  <c r="S267" i="1"/>
  <c r="R267" i="1"/>
  <c r="L267" i="1"/>
  <c r="D267" i="1"/>
  <c r="S533" i="1"/>
  <c r="I533" i="1"/>
  <c r="K533" i="1"/>
  <c r="L533" i="1"/>
  <c r="S532" i="1"/>
  <c r="I532" i="1"/>
  <c r="K532" i="1"/>
  <c r="N532" i="1"/>
  <c r="L532" i="1"/>
  <c r="S531" i="1"/>
  <c r="I531" i="1"/>
  <c r="K531" i="1"/>
  <c r="N531" i="1"/>
  <c r="R531" i="1"/>
  <c r="L531" i="1"/>
  <c r="D531" i="1"/>
  <c r="S530" i="1"/>
  <c r="I530" i="1"/>
  <c r="K530" i="1"/>
  <c r="R530" i="1"/>
  <c r="L530" i="1"/>
  <c r="D530" i="1"/>
  <c r="S529" i="1"/>
  <c r="I529" i="1"/>
  <c r="K529" i="1"/>
  <c r="R529" i="1"/>
  <c r="S528" i="1"/>
  <c r="I528" i="1"/>
  <c r="K528" i="1"/>
  <c r="R528" i="1"/>
  <c r="L528" i="1"/>
  <c r="D528" i="1"/>
  <c r="S526" i="1"/>
  <c r="I526" i="1"/>
  <c r="K526" i="1"/>
  <c r="R526" i="1"/>
  <c r="L526" i="1"/>
  <c r="D526" i="1"/>
  <c r="S525" i="1"/>
  <c r="I525" i="1"/>
  <c r="K525" i="1"/>
  <c r="R525" i="1"/>
  <c r="S524" i="1"/>
  <c r="I524" i="1"/>
  <c r="K524" i="1"/>
  <c r="L524" i="1"/>
  <c r="AA523" i="1"/>
  <c r="S523" i="1"/>
  <c r="I523" i="1"/>
  <c r="K523" i="1"/>
  <c r="R523" i="1"/>
  <c r="S522" i="1"/>
  <c r="I522" i="1"/>
  <c r="K522" i="1"/>
  <c r="R522" i="1"/>
  <c r="L522" i="1"/>
  <c r="D522" i="1"/>
  <c r="S521" i="1"/>
  <c r="I521" i="1"/>
  <c r="K521" i="1"/>
  <c r="L521" i="1"/>
  <c r="S520" i="1"/>
  <c r="I520" i="1"/>
  <c r="K520" i="1"/>
  <c r="L520" i="1"/>
  <c r="S519" i="1"/>
  <c r="I519" i="1"/>
  <c r="R519" i="1"/>
  <c r="L519" i="1"/>
  <c r="D519" i="1"/>
  <c r="S517" i="1"/>
  <c r="I517" i="1"/>
  <c r="R517" i="1"/>
  <c r="L517" i="1"/>
  <c r="D517" i="1"/>
  <c r="S516" i="1"/>
  <c r="I516" i="1"/>
  <c r="K516" i="1"/>
  <c r="R516" i="1"/>
  <c r="S515" i="1"/>
  <c r="I515" i="1"/>
  <c r="R515" i="1"/>
  <c r="L515" i="1"/>
  <c r="D515" i="1"/>
  <c r="S513" i="1"/>
  <c r="I513" i="1"/>
  <c r="K513" i="1"/>
  <c r="R513" i="1"/>
  <c r="S508" i="1"/>
  <c r="I508" i="1"/>
  <c r="K508" i="1"/>
  <c r="R508" i="1"/>
  <c r="L508" i="1"/>
  <c r="D508" i="1"/>
  <c r="S507" i="1"/>
  <c r="I507" i="1"/>
  <c r="K507" i="1"/>
  <c r="R507" i="1"/>
  <c r="L507" i="1"/>
  <c r="D507" i="1"/>
  <c r="S506" i="1"/>
  <c r="I506" i="1"/>
  <c r="K506" i="1"/>
  <c r="R506" i="1"/>
  <c r="L506" i="1"/>
  <c r="D506" i="1"/>
  <c r="S505" i="1"/>
  <c r="I505" i="1"/>
  <c r="R505" i="1"/>
  <c r="L505" i="1"/>
  <c r="D505" i="1"/>
  <c r="S504" i="1"/>
  <c r="I504" i="1"/>
  <c r="K504" i="1"/>
  <c r="R504" i="1"/>
  <c r="S503" i="1"/>
  <c r="I503" i="1"/>
  <c r="K503" i="1"/>
  <c r="R503" i="1"/>
  <c r="L503" i="1"/>
  <c r="D503" i="1"/>
  <c r="S502" i="1"/>
  <c r="I502" i="1"/>
  <c r="K502" i="1"/>
  <c r="R502" i="1"/>
  <c r="L502" i="1"/>
  <c r="D502" i="1"/>
  <c r="S501" i="1"/>
  <c r="I501" i="1"/>
  <c r="K501" i="1"/>
  <c r="R501" i="1"/>
  <c r="L501" i="1"/>
  <c r="D501" i="1"/>
  <c r="S500" i="1"/>
  <c r="I500" i="1"/>
  <c r="R500" i="1"/>
  <c r="L500" i="1"/>
  <c r="D500" i="1"/>
  <c r="S499" i="1"/>
  <c r="I499" i="1"/>
  <c r="K499" i="1"/>
  <c r="R499" i="1"/>
  <c r="S498" i="1"/>
  <c r="I498" i="1"/>
  <c r="R498" i="1"/>
  <c r="L498" i="1"/>
  <c r="D498" i="1"/>
  <c r="S497" i="1"/>
  <c r="I497" i="1"/>
  <c r="K497" i="1"/>
  <c r="R497" i="1"/>
  <c r="S496" i="1"/>
  <c r="I496" i="1"/>
  <c r="K496" i="1"/>
  <c r="R496" i="1"/>
  <c r="L496" i="1"/>
  <c r="D496" i="1"/>
  <c r="S495" i="1"/>
  <c r="I495" i="1"/>
  <c r="K495" i="1"/>
  <c r="R495" i="1"/>
  <c r="L495" i="1"/>
  <c r="D495" i="1"/>
  <c r="S488" i="1"/>
  <c r="I488" i="1"/>
  <c r="K488" i="1"/>
  <c r="R488" i="1"/>
  <c r="L488" i="1"/>
  <c r="D488" i="1"/>
  <c r="S487" i="1"/>
  <c r="I487" i="1"/>
  <c r="K487" i="1"/>
  <c r="R487" i="1"/>
  <c r="L487" i="1"/>
  <c r="D487" i="1"/>
  <c r="S486" i="1"/>
  <c r="I486" i="1"/>
  <c r="R486" i="1"/>
  <c r="L486" i="1"/>
  <c r="D486" i="1"/>
  <c r="S485" i="1"/>
  <c r="I485" i="1"/>
  <c r="K485" i="1"/>
  <c r="R485" i="1"/>
  <c r="L485" i="1"/>
  <c r="D485" i="1"/>
  <c r="S484" i="1"/>
  <c r="I484" i="1"/>
  <c r="K484" i="1"/>
  <c r="R484" i="1"/>
  <c r="L484" i="1"/>
  <c r="D484" i="1"/>
  <c r="S483" i="1"/>
  <c r="I483" i="1"/>
  <c r="K483" i="1"/>
  <c r="R483" i="1"/>
  <c r="S469" i="1"/>
  <c r="I469" i="1"/>
  <c r="K469" i="1"/>
  <c r="R469" i="1"/>
  <c r="L469" i="1"/>
  <c r="D469" i="1"/>
  <c r="S468" i="1"/>
  <c r="I468" i="1"/>
  <c r="K468" i="1"/>
  <c r="L468" i="1"/>
  <c r="S465" i="1"/>
  <c r="I465" i="1"/>
  <c r="K465" i="1"/>
  <c r="L465" i="1"/>
  <c r="S464" i="1"/>
  <c r="I464" i="1"/>
  <c r="K464" i="1"/>
  <c r="R464" i="1"/>
  <c r="L464" i="1"/>
  <c r="S462" i="1"/>
  <c r="I462" i="1"/>
  <c r="K462" i="1"/>
  <c r="R462" i="1"/>
  <c r="L462" i="1"/>
  <c r="D462" i="1"/>
  <c r="S461" i="1"/>
  <c r="I461" i="1"/>
  <c r="K461" i="1"/>
  <c r="R461" i="1"/>
  <c r="S460" i="1"/>
  <c r="I460" i="1"/>
  <c r="K460" i="1"/>
  <c r="L460" i="1"/>
  <c r="S253" i="1"/>
  <c r="I253" i="1"/>
  <c r="K253" i="1"/>
  <c r="R253" i="1"/>
  <c r="L253" i="1"/>
  <c r="D253" i="1"/>
  <c r="S252" i="1"/>
  <c r="I252" i="1"/>
  <c r="K252" i="1"/>
  <c r="R252" i="1"/>
  <c r="L252" i="1"/>
  <c r="D252" i="1"/>
  <c r="H232" i="1"/>
  <c r="S232" i="1"/>
  <c r="I232" i="1"/>
  <c r="K232" i="1"/>
  <c r="R232" i="1"/>
  <c r="S247" i="1"/>
  <c r="I247" i="1"/>
  <c r="K247" i="1"/>
  <c r="R247" i="1"/>
  <c r="L247" i="1"/>
  <c r="D247" i="1"/>
  <c r="B247" i="1"/>
  <c r="H246" i="1"/>
  <c r="AA246" i="1"/>
  <c r="S246" i="1"/>
  <c r="I246" i="1"/>
  <c r="K246" i="1"/>
  <c r="R246" i="1"/>
  <c r="S249" i="1"/>
  <c r="I249" i="1"/>
  <c r="K249" i="1"/>
  <c r="N249" i="1"/>
  <c r="R249" i="1"/>
  <c r="L249" i="1"/>
  <c r="D249" i="1"/>
  <c r="B249" i="1"/>
  <c r="H248" i="1"/>
  <c r="AA248" i="1"/>
  <c r="S248" i="1"/>
  <c r="I248" i="1"/>
  <c r="K248" i="1"/>
  <c r="R248" i="1"/>
  <c r="S215" i="1"/>
  <c r="I215" i="1"/>
  <c r="K215" i="1"/>
  <c r="R215" i="1"/>
  <c r="S143" i="1"/>
  <c r="I143" i="1"/>
  <c r="K143" i="1"/>
  <c r="R143" i="1"/>
  <c r="S227" i="1"/>
  <c r="I227" i="1"/>
  <c r="R227" i="1"/>
  <c r="L227" i="1"/>
  <c r="D227" i="1"/>
  <c r="S226" i="1"/>
  <c r="I226" i="1"/>
  <c r="R226" i="1"/>
  <c r="L226" i="1"/>
  <c r="D226" i="1"/>
  <c r="S225" i="1"/>
  <c r="I225" i="1"/>
  <c r="K225" i="1"/>
  <c r="R225" i="1"/>
  <c r="S222" i="1"/>
  <c r="I222" i="1"/>
  <c r="K222" i="1"/>
  <c r="N222" i="1"/>
  <c r="R222" i="1"/>
  <c r="L222" i="1"/>
  <c r="D222" i="1"/>
  <c r="B222" i="1"/>
  <c r="H221" i="1"/>
  <c r="S221" i="1"/>
  <c r="I221" i="1"/>
  <c r="K221" i="1"/>
  <c r="R221" i="1"/>
  <c r="S220" i="1"/>
  <c r="I220" i="1"/>
  <c r="K220" i="1"/>
  <c r="N220" i="1"/>
  <c r="R220" i="1"/>
  <c r="L220" i="1"/>
  <c r="D220" i="1"/>
  <c r="S219" i="1"/>
  <c r="I219" i="1"/>
  <c r="K219" i="1"/>
  <c r="R219" i="1"/>
  <c r="S218" i="1"/>
  <c r="I218" i="1"/>
  <c r="K218" i="1"/>
  <c r="R218" i="1"/>
  <c r="L218" i="1"/>
  <c r="D218" i="1"/>
  <c r="B218" i="1"/>
  <c r="H217" i="1"/>
  <c r="AA217" i="1"/>
  <c r="S217" i="1"/>
  <c r="I217" i="1"/>
  <c r="K217" i="1"/>
  <c r="R217" i="1"/>
  <c r="S214" i="1"/>
  <c r="I214" i="1"/>
  <c r="R214" i="1"/>
  <c r="L214" i="1"/>
  <c r="D214" i="1"/>
  <c r="B214" i="1"/>
  <c r="S213" i="1"/>
  <c r="I213" i="1"/>
  <c r="K213" i="1"/>
  <c r="R213" i="1"/>
  <c r="S245" i="1"/>
  <c r="I245" i="1"/>
  <c r="K245" i="1"/>
  <c r="R245" i="1"/>
  <c r="L245" i="1"/>
  <c r="D245" i="1"/>
  <c r="B245" i="1"/>
  <c r="H244" i="1"/>
  <c r="AA244" i="1"/>
  <c r="S244" i="1"/>
  <c r="I244" i="1"/>
  <c r="K244" i="1"/>
  <c r="R244" i="1"/>
  <c r="S210" i="1"/>
  <c r="I210" i="1"/>
  <c r="K210" i="1"/>
  <c r="N210" i="1"/>
  <c r="R210" i="1"/>
  <c r="L210" i="1"/>
  <c r="D210" i="1"/>
  <c r="B210" i="1"/>
  <c r="S209" i="1"/>
  <c r="I209" i="1"/>
  <c r="R209" i="1"/>
  <c r="L209" i="1"/>
  <c r="D209" i="1"/>
  <c r="B209" i="1"/>
  <c r="S208" i="1"/>
  <c r="I208" i="1"/>
  <c r="K208" i="1"/>
  <c r="R208" i="1"/>
  <c r="L208" i="1"/>
  <c r="D208" i="1"/>
  <c r="B208" i="1"/>
  <c r="S207" i="1"/>
  <c r="I207" i="1"/>
  <c r="K207" i="1"/>
  <c r="R207" i="1"/>
  <c r="S206" i="1"/>
  <c r="I206" i="1"/>
  <c r="K206" i="1"/>
  <c r="R206" i="1"/>
  <c r="L206" i="1"/>
  <c r="D206" i="1"/>
  <c r="B206" i="1"/>
  <c r="S205" i="1"/>
  <c r="I205" i="1"/>
  <c r="K205" i="1"/>
  <c r="R205" i="1"/>
  <c r="L205" i="1"/>
  <c r="D205" i="1"/>
  <c r="B205" i="1"/>
  <c r="S204" i="1"/>
  <c r="I204" i="1"/>
  <c r="K204" i="1"/>
  <c r="R204" i="1"/>
  <c r="S203" i="1"/>
  <c r="I203" i="1"/>
  <c r="R203" i="1"/>
  <c r="L203" i="1"/>
  <c r="D203" i="1"/>
  <c r="S202" i="1"/>
  <c r="I202" i="1"/>
  <c r="K202" i="1"/>
  <c r="R202" i="1"/>
  <c r="S189" i="1"/>
  <c r="I189" i="1"/>
  <c r="K189" i="1"/>
  <c r="L189" i="1"/>
  <c r="S187" i="1"/>
  <c r="I187" i="1"/>
  <c r="K187" i="1"/>
  <c r="R187" i="1"/>
  <c r="S186" i="1"/>
  <c r="I186" i="1"/>
  <c r="K186" i="1"/>
  <c r="L186" i="1"/>
  <c r="B186" i="1"/>
  <c r="H185" i="1"/>
  <c r="AA185" i="1"/>
  <c r="S185" i="1"/>
  <c r="I185" i="1"/>
  <c r="K185" i="1"/>
  <c r="R185" i="1"/>
  <c r="S184" i="1"/>
  <c r="I184" i="1"/>
  <c r="K184" i="1"/>
  <c r="L184" i="1"/>
  <c r="B184" i="1"/>
  <c r="H183" i="1"/>
  <c r="AA183" i="1"/>
  <c r="S183" i="1"/>
  <c r="I183" i="1"/>
  <c r="K183" i="1"/>
  <c r="R183" i="1"/>
  <c r="S182" i="1"/>
  <c r="I182" i="1"/>
  <c r="R182" i="1"/>
  <c r="L182" i="1"/>
  <c r="D182" i="1"/>
  <c r="B182" i="1"/>
  <c r="S181" i="1"/>
  <c r="I181" i="1"/>
  <c r="K181" i="1"/>
  <c r="R181" i="1"/>
  <c r="L181" i="1"/>
  <c r="D181" i="1"/>
  <c r="B181" i="1"/>
  <c r="S180" i="1"/>
  <c r="I180" i="1"/>
  <c r="K180" i="1"/>
  <c r="R180" i="1"/>
  <c r="H178" i="1"/>
  <c r="S178" i="1"/>
  <c r="I178" i="1"/>
  <c r="K178" i="1"/>
  <c r="R178" i="1"/>
  <c r="S175" i="1"/>
  <c r="I175" i="1"/>
  <c r="K175" i="1"/>
  <c r="N175" i="1"/>
  <c r="R175" i="1"/>
  <c r="S172" i="1"/>
  <c r="I172" i="1"/>
  <c r="K172" i="1"/>
  <c r="R172" i="1"/>
  <c r="L172" i="1"/>
  <c r="D172" i="1"/>
  <c r="B172" i="1"/>
  <c r="H170" i="1"/>
  <c r="S170" i="1"/>
  <c r="I170" i="1"/>
  <c r="K170" i="1"/>
  <c r="S166" i="1"/>
  <c r="I166" i="1"/>
  <c r="K166" i="1"/>
  <c r="R166" i="1"/>
  <c r="L166" i="1"/>
  <c r="D166" i="1"/>
  <c r="S165" i="1"/>
  <c r="I165" i="1"/>
  <c r="K165" i="1"/>
  <c r="N165" i="1"/>
  <c r="R165" i="1"/>
  <c r="L165" i="1"/>
  <c r="D165" i="1"/>
  <c r="S164" i="1"/>
  <c r="I164" i="1"/>
  <c r="K164" i="1"/>
  <c r="R164" i="1"/>
  <c r="L164" i="1"/>
  <c r="D164" i="1"/>
  <c r="S163" i="1"/>
  <c r="I163" i="1"/>
  <c r="K163" i="1"/>
  <c r="N163" i="1"/>
  <c r="R163" i="1"/>
  <c r="L163" i="1"/>
  <c r="D163" i="1"/>
  <c r="S162" i="1"/>
  <c r="I162" i="1"/>
  <c r="K162" i="1"/>
  <c r="N162" i="1"/>
  <c r="R162" i="1"/>
  <c r="L162" i="1"/>
  <c r="D162" i="1"/>
  <c r="S161" i="1"/>
  <c r="I161" i="1"/>
  <c r="K161" i="1"/>
  <c r="R161" i="1"/>
  <c r="S160" i="1"/>
  <c r="I160" i="1"/>
  <c r="R160" i="1"/>
  <c r="L160" i="1"/>
  <c r="D160" i="1"/>
  <c r="S159" i="1"/>
  <c r="I159" i="1"/>
  <c r="K159" i="1"/>
  <c r="R159" i="1"/>
  <c r="S155" i="1"/>
  <c r="I155" i="1"/>
  <c r="K155" i="1"/>
  <c r="R155" i="1"/>
  <c r="L155" i="1"/>
  <c r="D155" i="1"/>
  <c r="B155" i="1"/>
  <c r="S154" i="1"/>
  <c r="I154" i="1"/>
  <c r="K154" i="1"/>
  <c r="R154" i="1"/>
  <c r="S153" i="1"/>
  <c r="I153" i="1"/>
  <c r="K153" i="1"/>
  <c r="L153" i="1"/>
  <c r="B153" i="1"/>
  <c r="H152" i="1"/>
  <c r="AA152" i="1"/>
  <c r="S152" i="1"/>
  <c r="I152" i="1"/>
  <c r="K152" i="1"/>
  <c r="R152" i="1"/>
  <c r="S147" i="1"/>
  <c r="I147" i="1"/>
  <c r="K147" i="1"/>
  <c r="L147" i="1"/>
  <c r="H145" i="1"/>
  <c r="S145" i="1"/>
  <c r="I145" i="1"/>
  <c r="K145" i="1"/>
  <c r="R145" i="1"/>
  <c r="S142" i="1"/>
  <c r="I142" i="1"/>
  <c r="K142" i="1"/>
  <c r="R142" i="1"/>
  <c r="L142" i="1"/>
  <c r="D142" i="1"/>
  <c r="S141" i="1"/>
  <c r="I141" i="1"/>
  <c r="K141" i="1"/>
  <c r="R141" i="1"/>
  <c r="L141" i="1"/>
  <c r="D141" i="1"/>
  <c r="S138" i="1"/>
  <c r="I138" i="1"/>
  <c r="K138" i="1"/>
  <c r="R138" i="1"/>
  <c r="L138" i="1"/>
  <c r="D138" i="1"/>
  <c r="S136" i="1"/>
  <c r="I136" i="1"/>
  <c r="K136" i="1"/>
  <c r="L136" i="1"/>
  <c r="D136" i="1"/>
  <c r="S135" i="1"/>
  <c r="I135" i="1"/>
  <c r="K135" i="1"/>
  <c r="L135" i="1"/>
  <c r="D135" i="1"/>
  <c r="S134" i="1"/>
  <c r="I134" i="1"/>
  <c r="K134" i="1"/>
  <c r="L134" i="1"/>
  <c r="D134" i="1"/>
  <c r="S133" i="1"/>
  <c r="I133" i="1"/>
  <c r="K133" i="1"/>
  <c r="L133" i="1"/>
  <c r="D133" i="1"/>
  <c r="S132" i="1"/>
  <c r="I132" i="1"/>
  <c r="K132" i="1"/>
  <c r="R132" i="1"/>
  <c r="S120" i="1"/>
  <c r="I120" i="1"/>
  <c r="K120" i="1"/>
  <c r="N120" i="1"/>
  <c r="L120" i="1"/>
  <c r="B120" i="1"/>
  <c r="H117" i="1"/>
  <c r="S117" i="1"/>
  <c r="I117" i="1"/>
  <c r="K117" i="1"/>
  <c r="R117" i="1"/>
  <c r="S116" i="1"/>
  <c r="I116" i="1"/>
  <c r="K116" i="1"/>
  <c r="L116" i="1"/>
  <c r="S115" i="1"/>
  <c r="I115" i="1"/>
  <c r="K115" i="1"/>
  <c r="N115" i="1"/>
  <c r="R115" i="1"/>
  <c r="L115" i="1"/>
  <c r="D115" i="1"/>
  <c r="S114" i="1"/>
  <c r="I114" i="1"/>
  <c r="K114" i="1"/>
  <c r="R114" i="1"/>
  <c r="L114" i="1"/>
  <c r="S113" i="1"/>
  <c r="I113" i="1"/>
  <c r="K113" i="1"/>
  <c r="R113" i="1"/>
  <c r="L113" i="1"/>
  <c r="S100" i="1"/>
  <c r="I100" i="1"/>
  <c r="K100" i="1"/>
  <c r="L100" i="1"/>
  <c r="B100" i="1"/>
  <c r="S99" i="1"/>
  <c r="I99" i="1"/>
  <c r="K99" i="1"/>
  <c r="L99" i="1"/>
  <c r="B99" i="1"/>
  <c r="S98" i="1"/>
  <c r="I98" i="1"/>
  <c r="K98" i="1"/>
  <c r="R98" i="1"/>
  <c r="S129" i="1"/>
  <c r="I129" i="1"/>
  <c r="K129" i="1"/>
  <c r="L129" i="1"/>
  <c r="S128" i="1"/>
  <c r="I128" i="1"/>
  <c r="K128" i="1"/>
  <c r="L128" i="1"/>
  <c r="D128" i="1"/>
  <c r="S126" i="1"/>
  <c r="I126" i="1"/>
  <c r="K126" i="1"/>
  <c r="N126" i="1"/>
  <c r="L126" i="1"/>
  <c r="D126" i="1"/>
  <c r="S125" i="1"/>
  <c r="I125" i="1"/>
  <c r="K125" i="1"/>
  <c r="L125" i="1"/>
  <c r="D125" i="1"/>
  <c r="S124" i="1"/>
  <c r="I124" i="1"/>
  <c r="K124" i="1"/>
  <c r="N124" i="1"/>
  <c r="L124" i="1"/>
  <c r="D124" i="1"/>
  <c r="S123" i="1"/>
  <c r="I123" i="1"/>
  <c r="K123" i="1"/>
  <c r="L123" i="1"/>
  <c r="D123" i="1"/>
  <c r="S122" i="1"/>
  <c r="I122" i="1"/>
  <c r="K122" i="1"/>
  <c r="R122" i="1"/>
  <c r="L122" i="1"/>
  <c r="D122" i="1"/>
  <c r="S121" i="1"/>
  <c r="I121" i="1"/>
  <c r="K121" i="1"/>
  <c r="R121" i="1"/>
  <c r="S94" i="1"/>
  <c r="I94" i="1"/>
  <c r="K94" i="1"/>
  <c r="L94" i="1"/>
  <c r="D94" i="1"/>
  <c r="S93" i="1"/>
  <c r="I93" i="1"/>
  <c r="K93" i="1"/>
  <c r="L93" i="1"/>
  <c r="D93" i="1"/>
  <c r="S92" i="1"/>
  <c r="I92" i="1"/>
  <c r="K92" i="1"/>
  <c r="L92" i="1"/>
  <c r="S91" i="1"/>
  <c r="I91" i="1"/>
  <c r="K91" i="1"/>
  <c r="L91" i="1"/>
  <c r="S90" i="1"/>
  <c r="I90" i="1"/>
  <c r="K90" i="1"/>
  <c r="N90" i="1"/>
  <c r="L90" i="1"/>
  <c r="S89" i="1"/>
  <c r="I89" i="1"/>
  <c r="K89" i="1"/>
  <c r="R89" i="1"/>
  <c r="S97" i="1"/>
  <c r="I97" i="1"/>
  <c r="K97" i="1"/>
  <c r="R97" i="1"/>
  <c r="L97" i="1"/>
  <c r="D97" i="1"/>
  <c r="S96" i="1"/>
  <c r="I96" i="1"/>
  <c r="K96" i="1"/>
  <c r="R96" i="1"/>
  <c r="S88" i="1"/>
  <c r="I88" i="1"/>
  <c r="K88" i="1"/>
  <c r="R88" i="1"/>
  <c r="L88" i="1"/>
  <c r="S87" i="1"/>
  <c r="I87" i="1"/>
  <c r="K87" i="1"/>
  <c r="L87" i="1"/>
  <c r="S86" i="1"/>
  <c r="I86" i="1"/>
  <c r="K86" i="1"/>
  <c r="L86" i="1"/>
  <c r="S84" i="1"/>
  <c r="I84" i="1"/>
  <c r="K84" i="1"/>
  <c r="R84" i="1"/>
  <c r="S83" i="1"/>
  <c r="I83" i="1"/>
  <c r="K83" i="1"/>
  <c r="L83" i="1"/>
  <c r="D83" i="1"/>
  <c r="S82" i="1"/>
  <c r="I82" i="1"/>
  <c r="L82" i="1"/>
  <c r="S81" i="1"/>
  <c r="I81" i="1"/>
  <c r="K81" i="1"/>
  <c r="R81" i="1"/>
  <c r="S80" i="1"/>
  <c r="I80" i="1"/>
  <c r="K80" i="1"/>
  <c r="R80" i="1"/>
  <c r="L80" i="1"/>
  <c r="D80" i="1"/>
  <c r="S79" i="1"/>
  <c r="I79" i="1"/>
  <c r="K79" i="1"/>
  <c r="L79" i="1"/>
  <c r="S78" i="1"/>
  <c r="I78" i="1"/>
  <c r="K78" i="1"/>
  <c r="L78" i="1"/>
  <c r="S77" i="1"/>
  <c r="I77" i="1"/>
  <c r="K77" i="1"/>
  <c r="L77" i="1"/>
  <c r="S75" i="1"/>
  <c r="I75" i="1"/>
  <c r="K75" i="1"/>
  <c r="R75" i="1"/>
  <c r="S74" i="1"/>
  <c r="I74" i="1"/>
  <c r="K74" i="1"/>
  <c r="L74" i="1"/>
  <c r="S73" i="1"/>
  <c r="I73" i="1"/>
  <c r="K73" i="1"/>
  <c r="L73" i="1"/>
  <c r="S71" i="1"/>
  <c r="I71" i="1"/>
  <c r="L71" i="1"/>
  <c r="S70" i="1"/>
  <c r="I70" i="1"/>
  <c r="K70" i="1"/>
  <c r="R70" i="1"/>
  <c r="S69" i="1"/>
  <c r="I69" i="1"/>
  <c r="K69" i="1"/>
  <c r="R69" i="1"/>
  <c r="L69" i="1"/>
  <c r="D69" i="1"/>
  <c r="S420" i="1"/>
  <c r="I420" i="1"/>
  <c r="K420" i="1"/>
  <c r="L420" i="1"/>
  <c r="S406" i="1"/>
  <c r="I406" i="1"/>
  <c r="K406" i="1"/>
  <c r="R406" i="1"/>
  <c r="L406" i="1"/>
  <c r="S403" i="1"/>
  <c r="I403" i="1"/>
  <c r="R403" i="1"/>
  <c r="L403" i="1"/>
  <c r="D403" i="1"/>
  <c r="S402" i="1"/>
  <c r="I402" i="1"/>
  <c r="K402" i="1"/>
  <c r="N402" i="1"/>
  <c r="R402" i="1"/>
  <c r="L402" i="1"/>
  <c r="D402" i="1"/>
  <c r="S401" i="1"/>
  <c r="I401" i="1"/>
  <c r="K401" i="1"/>
  <c r="R401" i="1"/>
  <c r="L401" i="1"/>
  <c r="D401" i="1"/>
  <c r="S400" i="1"/>
  <c r="I400" i="1"/>
  <c r="K400" i="1"/>
  <c r="R400" i="1"/>
  <c r="S399" i="1"/>
  <c r="I399" i="1"/>
  <c r="K399" i="1"/>
  <c r="R399" i="1"/>
  <c r="L399" i="1"/>
  <c r="D399" i="1"/>
  <c r="AA398" i="1"/>
  <c r="S398" i="1"/>
  <c r="I398" i="1"/>
  <c r="K398" i="1"/>
  <c r="R398" i="1"/>
  <c r="S397" i="1"/>
  <c r="I397" i="1"/>
  <c r="K397" i="1"/>
  <c r="R397" i="1"/>
  <c r="L397" i="1"/>
  <c r="D397" i="1"/>
  <c r="S396" i="1"/>
  <c r="I396" i="1"/>
  <c r="K396" i="1"/>
  <c r="R396" i="1"/>
  <c r="S391" i="1"/>
  <c r="I391" i="1"/>
  <c r="K391" i="1"/>
  <c r="R391" i="1"/>
  <c r="L391" i="1"/>
  <c r="D391" i="1"/>
  <c r="S390" i="1"/>
  <c r="I390" i="1"/>
  <c r="K390" i="1"/>
  <c r="R390" i="1"/>
  <c r="S389" i="1"/>
  <c r="I389" i="1"/>
  <c r="R389" i="1"/>
  <c r="L389" i="1"/>
  <c r="D389" i="1"/>
  <c r="S388" i="1"/>
  <c r="I388" i="1"/>
  <c r="K388" i="1"/>
  <c r="R388" i="1"/>
  <c r="L388" i="1"/>
  <c r="D388" i="1"/>
  <c r="S387" i="1"/>
  <c r="I387" i="1"/>
  <c r="K387" i="1"/>
  <c r="R387" i="1"/>
  <c r="S386" i="1"/>
  <c r="I386" i="1"/>
  <c r="R386" i="1"/>
  <c r="L386" i="1"/>
  <c r="D386" i="1"/>
  <c r="S385" i="1"/>
  <c r="I385" i="1"/>
  <c r="K385" i="1"/>
  <c r="R385" i="1"/>
  <c r="S384" i="1"/>
  <c r="I384" i="1"/>
  <c r="K384" i="1"/>
  <c r="N384" i="1"/>
  <c r="R384" i="1"/>
  <c r="L384" i="1"/>
  <c r="D384" i="1"/>
  <c r="H383" i="1"/>
  <c r="AA383" i="1"/>
  <c r="S383" i="1"/>
  <c r="I383" i="1"/>
  <c r="K383" i="1"/>
  <c r="R383" i="1"/>
  <c r="S382" i="1"/>
  <c r="I382" i="1"/>
  <c r="K382" i="1"/>
  <c r="R382" i="1"/>
  <c r="L382" i="1"/>
  <c r="D382" i="1"/>
  <c r="H381" i="1"/>
  <c r="AA381" i="1"/>
  <c r="S381" i="1"/>
  <c r="I381" i="1"/>
  <c r="K381" i="1"/>
  <c r="R381" i="1"/>
  <c r="S378" i="1"/>
  <c r="I378" i="1"/>
  <c r="K378" i="1"/>
  <c r="R378" i="1"/>
  <c r="L378" i="1"/>
  <c r="D378" i="1"/>
  <c r="S377" i="1"/>
  <c r="I377" i="1"/>
  <c r="K377" i="1"/>
  <c r="R377" i="1"/>
  <c r="L377" i="1"/>
  <c r="D377" i="1"/>
  <c r="S376" i="1"/>
  <c r="I376" i="1"/>
  <c r="K376" i="1"/>
  <c r="R376" i="1"/>
  <c r="S375" i="1"/>
  <c r="I375" i="1"/>
  <c r="K375" i="1"/>
  <c r="N375" i="1"/>
  <c r="R375" i="1"/>
  <c r="L375" i="1"/>
  <c r="D375" i="1"/>
  <c r="S374" i="1"/>
  <c r="I374" i="1"/>
  <c r="K374" i="1"/>
  <c r="R374" i="1"/>
  <c r="S351" i="1"/>
  <c r="I351" i="1"/>
  <c r="K351" i="1"/>
  <c r="R351" i="1"/>
  <c r="L351" i="1"/>
  <c r="D351" i="1"/>
  <c r="S362" i="1"/>
  <c r="I362" i="1"/>
  <c r="R362" i="1"/>
  <c r="L362" i="1"/>
  <c r="D362" i="1"/>
  <c r="S361" i="1"/>
  <c r="I361" i="1"/>
  <c r="K361" i="1"/>
  <c r="R361" i="1"/>
  <c r="S417" i="1"/>
  <c r="I417" i="1"/>
  <c r="K417" i="1"/>
  <c r="R417" i="1"/>
  <c r="L417" i="1"/>
  <c r="D417" i="1"/>
  <c r="H416" i="1"/>
  <c r="AA416" i="1"/>
  <c r="S416" i="1"/>
  <c r="I416" i="1"/>
  <c r="K416" i="1"/>
  <c r="R416" i="1"/>
  <c r="S373" i="1"/>
  <c r="I373" i="1"/>
  <c r="R373" i="1"/>
  <c r="L373" i="1"/>
  <c r="D373" i="1"/>
  <c r="S371" i="1"/>
  <c r="I371" i="1"/>
  <c r="K371" i="1"/>
  <c r="R371" i="1"/>
  <c r="S370" i="1"/>
  <c r="I370" i="1"/>
  <c r="R370" i="1"/>
  <c r="L370" i="1"/>
  <c r="D370" i="1"/>
  <c r="S369" i="1"/>
  <c r="I369" i="1"/>
  <c r="K369" i="1"/>
  <c r="R369" i="1"/>
  <c r="S412" i="1"/>
  <c r="I412" i="1"/>
  <c r="K412" i="1"/>
  <c r="R412" i="1"/>
  <c r="L412" i="1"/>
  <c r="D412" i="1"/>
  <c r="H411" i="1"/>
  <c r="AA411" i="1"/>
  <c r="S411" i="1"/>
  <c r="I411" i="1"/>
  <c r="K411" i="1"/>
  <c r="R411" i="1"/>
  <c r="S353" i="1"/>
  <c r="I353" i="1"/>
  <c r="K353" i="1"/>
  <c r="R353" i="1"/>
  <c r="L353" i="1"/>
  <c r="D353" i="1"/>
  <c r="H352" i="1"/>
  <c r="AA352" i="1"/>
  <c r="S352" i="1"/>
  <c r="I352" i="1"/>
  <c r="K352" i="1"/>
  <c r="R352" i="1"/>
  <c r="S350" i="1"/>
  <c r="I350" i="1"/>
  <c r="K350" i="1"/>
  <c r="R350" i="1"/>
  <c r="L350" i="1"/>
  <c r="D350" i="1"/>
  <c r="S346" i="1"/>
  <c r="I346" i="1"/>
  <c r="K346" i="1"/>
  <c r="S337" i="1"/>
  <c r="K337" i="1"/>
  <c r="N337" i="1"/>
  <c r="R337" i="1"/>
  <c r="L337" i="1"/>
  <c r="D337" i="1"/>
  <c r="AA336" i="1"/>
  <c r="S336" i="1"/>
  <c r="I336" i="1"/>
  <c r="K336" i="1"/>
  <c r="R336" i="1"/>
  <c r="S345" i="1"/>
  <c r="I345" i="1"/>
  <c r="K345" i="1"/>
  <c r="R345" i="1"/>
  <c r="L345" i="1"/>
  <c r="D345" i="1"/>
  <c r="H344" i="1"/>
  <c r="S344" i="1"/>
  <c r="I344" i="1"/>
  <c r="K344" i="1"/>
  <c r="R344" i="1"/>
  <c r="S326" i="1"/>
  <c r="I326" i="1"/>
  <c r="K326" i="1"/>
  <c r="R326" i="1"/>
  <c r="L326" i="1"/>
  <c r="S325" i="1"/>
  <c r="I325" i="1"/>
  <c r="K325" i="1"/>
  <c r="R325" i="1"/>
  <c r="S343" i="1"/>
  <c r="I343" i="1"/>
  <c r="K343" i="1"/>
  <c r="R343" i="1"/>
  <c r="L343" i="1"/>
  <c r="D343" i="1"/>
  <c r="H342" i="1"/>
  <c r="AA342" i="1"/>
  <c r="S342" i="1"/>
  <c r="I342" i="1"/>
  <c r="K342" i="1"/>
  <c r="R342" i="1"/>
  <c r="S324" i="1"/>
  <c r="I324" i="1"/>
  <c r="K324" i="1"/>
  <c r="R324" i="1"/>
  <c r="L324" i="1"/>
  <c r="D324" i="1"/>
  <c r="AA323" i="1"/>
  <c r="S323" i="1"/>
  <c r="I323" i="1"/>
  <c r="K323" i="1"/>
  <c r="R323" i="1"/>
  <c r="S322" i="1"/>
  <c r="I322" i="1"/>
  <c r="R322" i="1"/>
  <c r="L322" i="1"/>
  <c r="D322" i="1"/>
  <c r="S321" i="1"/>
  <c r="I321" i="1"/>
  <c r="K321" i="1"/>
  <c r="R321" i="1"/>
  <c r="S341" i="1"/>
  <c r="I341" i="1"/>
  <c r="R341" i="1"/>
  <c r="L341" i="1"/>
  <c r="D341" i="1"/>
  <c r="S340" i="1"/>
  <c r="I340" i="1"/>
  <c r="R340" i="1"/>
  <c r="L340" i="1"/>
  <c r="D340" i="1"/>
  <c r="S339" i="1"/>
  <c r="I339" i="1"/>
  <c r="R339" i="1"/>
  <c r="L339" i="1"/>
  <c r="D339" i="1"/>
  <c r="S338" i="1"/>
  <c r="I338" i="1"/>
  <c r="K338" i="1"/>
  <c r="R338" i="1"/>
  <c r="S320" i="1"/>
  <c r="I320" i="1"/>
  <c r="K320" i="1"/>
  <c r="R320" i="1"/>
  <c r="L320" i="1"/>
  <c r="D320" i="1"/>
  <c r="AA319" i="1"/>
  <c r="S319" i="1"/>
  <c r="I319" i="1"/>
  <c r="K319" i="1"/>
  <c r="R319" i="1"/>
  <c r="S317" i="1"/>
  <c r="I317" i="1"/>
  <c r="K317" i="1"/>
  <c r="N317" i="1"/>
  <c r="R317" i="1"/>
  <c r="L317" i="1"/>
  <c r="D317" i="1"/>
  <c r="S316" i="1"/>
  <c r="I316" i="1"/>
  <c r="K316" i="1"/>
  <c r="R316" i="1"/>
  <c r="G316" i="1"/>
  <c r="S315" i="1"/>
  <c r="I315" i="1"/>
  <c r="K315" i="1"/>
  <c r="R315" i="1"/>
  <c r="L315" i="1"/>
  <c r="S313" i="1"/>
  <c r="I313" i="1"/>
  <c r="K313" i="1"/>
  <c r="N313" i="1"/>
  <c r="R313" i="1"/>
  <c r="L313" i="1"/>
  <c r="S312" i="1"/>
  <c r="I312" i="1"/>
  <c r="R312" i="1"/>
  <c r="S311" i="1"/>
  <c r="I311" i="1"/>
  <c r="R311" i="1"/>
  <c r="D311" i="1"/>
  <c r="S303" i="1"/>
  <c r="K303" i="1"/>
  <c r="L303" i="1"/>
  <c r="S295" i="1"/>
  <c r="I295" i="1"/>
  <c r="K295" i="1"/>
  <c r="L295" i="1"/>
  <c r="S292" i="1"/>
  <c r="I292" i="1"/>
  <c r="K292" i="1"/>
  <c r="R292" i="1"/>
  <c r="S291" i="1"/>
  <c r="I291" i="1"/>
  <c r="R291" i="1"/>
  <c r="L291" i="1"/>
  <c r="D291" i="1"/>
  <c r="S290" i="1"/>
  <c r="I290" i="1"/>
  <c r="K290" i="1"/>
  <c r="R290" i="1"/>
  <c r="S289" i="1"/>
  <c r="I289" i="1"/>
  <c r="K289" i="1"/>
  <c r="L289" i="1"/>
  <c r="S287" i="1"/>
  <c r="I287" i="1"/>
  <c r="K287" i="1"/>
  <c r="L287" i="1"/>
  <c r="S286" i="1"/>
  <c r="I286" i="1"/>
  <c r="K286" i="1"/>
  <c r="L286" i="1"/>
  <c r="S285" i="1"/>
  <c r="I285" i="1"/>
  <c r="L285" i="1"/>
  <c r="D285" i="1"/>
  <c r="S284" i="1"/>
  <c r="I284" i="1"/>
  <c r="K284" i="1"/>
  <c r="R284" i="1"/>
  <c r="L284" i="1"/>
  <c r="D284" i="1"/>
  <c r="S283" i="1"/>
  <c r="I283" i="1"/>
  <c r="K283" i="1"/>
  <c r="R283" i="1"/>
  <c r="S282" i="1"/>
  <c r="I282" i="1"/>
  <c r="K282" i="1"/>
  <c r="R282" i="1"/>
  <c r="L282" i="1"/>
  <c r="D282" i="1"/>
  <c r="S63" i="1"/>
  <c r="I63" i="1"/>
  <c r="K63" i="1"/>
  <c r="R63" i="1"/>
  <c r="L63" i="1"/>
  <c r="D63" i="1"/>
  <c r="S62" i="1"/>
  <c r="I62" i="1"/>
  <c r="K62" i="1"/>
  <c r="L62" i="1"/>
  <c r="S57" i="1"/>
  <c r="I57" i="1"/>
  <c r="K57" i="1"/>
  <c r="L57" i="1"/>
  <c r="H55" i="1"/>
  <c r="S55" i="1"/>
  <c r="I55" i="1"/>
  <c r="K55" i="1"/>
  <c r="R55" i="1"/>
  <c r="S51" i="1"/>
  <c r="I51" i="1"/>
  <c r="L51" i="1"/>
  <c r="S50" i="1"/>
  <c r="I50" i="1"/>
  <c r="K50" i="1"/>
  <c r="L50" i="1"/>
  <c r="S49" i="1"/>
  <c r="I49" i="1"/>
  <c r="K49" i="1"/>
  <c r="L49" i="1"/>
  <c r="S48" i="1"/>
  <c r="I48" i="1"/>
  <c r="L48" i="1"/>
  <c r="S47" i="1"/>
  <c r="I47" i="1"/>
  <c r="K47" i="1"/>
  <c r="L47" i="1"/>
  <c r="S46" i="1"/>
  <c r="I46" i="1"/>
  <c r="K46" i="1"/>
  <c r="L46" i="1"/>
  <c r="S45" i="1"/>
  <c r="I45" i="1"/>
  <c r="L45" i="1"/>
  <c r="S44" i="1"/>
  <c r="I44" i="1"/>
  <c r="K44" i="1"/>
  <c r="L44" i="1"/>
  <c r="S43" i="1"/>
  <c r="I43" i="1"/>
  <c r="L43" i="1"/>
  <c r="S42" i="1"/>
  <c r="I42" i="1"/>
  <c r="K42" i="1"/>
  <c r="R42" i="1"/>
  <c r="S41" i="1"/>
  <c r="I41" i="1"/>
  <c r="L41" i="1"/>
  <c r="S38" i="1"/>
  <c r="I38" i="1"/>
  <c r="K38" i="1"/>
  <c r="L38" i="1"/>
  <c r="S37" i="1"/>
  <c r="I37" i="1"/>
  <c r="K37" i="1"/>
  <c r="L37" i="1"/>
  <c r="D37" i="1"/>
  <c r="S36" i="1"/>
  <c r="I36" i="1"/>
  <c r="K36" i="1"/>
  <c r="R36" i="1"/>
  <c r="S35" i="1"/>
  <c r="I35" i="1"/>
  <c r="K35" i="1"/>
  <c r="R35" i="1"/>
  <c r="L35" i="1"/>
  <c r="D35" i="1"/>
  <c r="S34" i="1"/>
  <c r="I34" i="1"/>
  <c r="K34" i="1"/>
  <c r="R34" i="1"/>
  <c r="S25" i="1"/>
  <c r="I25" i="1"/>
  <c r="K25" i="1"/>
  <c r="L25" i="1"/>
  <c r="S24" i="1"/>
  <c r="I24" i="1"/>
  <c r="K24" i="1"/>
  <c r="L24" i="1"/>
  <c r="S23" i="1"/>
  <c r="I23" i="1"/>
  <c r="K23" i="1"/>
  <c r="R23" i="1"/>
  <c r="S21" i="1"/>
  <c r="I21" i="1"/>
  <c r="K21" i="1"/>
  <c r="L21" i="1"/>
  <c r="B21" i="1"/>
  <c r="H20" i="1"/>
  <c r="S20" i="1"/>
  <c r="I20" i="1"/>
  <c r="K20" i="1"/>
  <c r="R20" i="1"/>
  <c r="S19" i="1"/>
  <c r="I19" i="1"/>
  <c r="K19" i="1"/>
  <c r="L19" i="1"/>
  <c r="S18" i="1"/>
  <c r="I18" i="1"/>
  <c r="K18" i="1"/>
  <c r="R18" i="1"/>
  <c r="S17" i="1"/>
  <c r="I17" i="1"/>
  <c r="K17" i="1"/>
  <c r="L17" i="1"/>
  <c r="S15" i="1"/>
  <c r="I15" i="1"/>
  <c r="K15" i="1"/>
  <c r="R15" i="1"/>
  <c r="S14" i="1"/>
  <c r="I14" i="1"/>
  <c r="K14" i="1"/>
  <c r="R14" i="1"/>
  <c r="L14" i="1"/>
  <c r="D14" i="1"/>
  <c r="S13" i="1"/>
  <c r="I13" i="1"/>
  <c r="K13" i="1"/>
  <c r="L13" i="1"/>
  <c r="D13" i="1"/>
  <c r="S12" i="1"/>
  <c r="I12" i="1"/>
  <c r="K12" i="1"/>
  <c r="L12" i="1"/>
  <c r="D12" i="1"/>
  <c r="S7" i="1"/>
  <c r="I7" i="1"/>
  <c r="K7" i="1"/>
  <c r="L7" i="1"/>
  <c r="D7" i="1"/>
  <c r="S5" i="1"/>
  <c r="I5" i="1"/>
  <c r="K5" i="1"/>
  <c r="L5" i="1"/>
  <c r="D5" i="1"/>
  <c r="S4" i="1"/>
  <c r="I4" i="1"/>
  <c r="K4" i="1"/>
  <c r="Q4" i="1"/>
  <c r="R4" i="1"/>
  <c r="N3" i="1"/>
  <c r="S2" i="1"/>
  <c r="AT26" i="2"/>
  <c r="E26" i="2"/>
  <c r="AT25" i="2"/>
  <c r="E25" i="2"/>
  <c r="D25" i="2"/>
  <c r="C25" i="2"/>
  <c r="AT24" i="2"/>
  <c r="E24" i="2"/>
  <c r="D24" i="2"/>
  <c r="C24" i="2"/>
  <c r="AT23" i="2"/>
  <c r="E23" i="2"/>
  <c r="D23" i="2"/>
  <c r="C23" i="2"/>
  <c r="AT22" i="2"/>
  <c r="E22" i="2"/>
  <c r="AT21" i="2"/>
  <c r="AL17" i="2"/>
  <c r="AD17" i="2"/>
  <c r="AT19" i="2"/>
  <c r="E19" i="2"/>
  <c r="D19" i="2"/>
  <c r="C19" i="2"/>
  <c r="AT16" i="2"/>
  <c r="AL15" i="2"/>
  <c r="AG15" i="2"/>
  <c r="AD15" i="2"/>
  <c r="AE14" i="2"/>
  <c r="AT14" i="2"/>
  <c r="T13" i="2"/>
  <c r="E13" i="2"/>
  <c r="AE12" i="2"/>
  <c r="AT11" i="2"/>
  <c r="E11" i="2"/>
  <c r="D11" i="2"/>
  <c r="C11" i="2"/>
  <c r="H804" i="1"/>
  <c r="AT10" i="2"/>
  <c r="E10" i="2"/>
  <c r="D10" i="2"/>
  <c r="C10" i="2"/>
  <c r="H800" i="1"/>
  <c r="AA800" i="1"/>
  <c r="AE9" i="2"/>
  <c r="AT9" i="2"/>
  <c r="AR8" i="2"/>
  <c r="AJ8" i="2"/>
  <c r="AE6" i="2"/>
  <c r="T6" i="2"/>
  <c r="AT5" i="2"/>
  <c r="E5" i="2"/>
  <c r="D5" i="2"/>
  <c r="C5" i="2"/>
  <c r="E3" i="2"/>
  <c r="AS1" i="2"/>
  <c r="AR1" i="2"/>
  <c r="AQ1" i="2"/>
  <c r="AL1" i="2"/>
  <c r="AK1" i="2"/>
  <c r="AJ1" i="2"/>
  <c r="AH1" i="2"/>
  <c r="AG1" i="2"/>
  <c r="AF1" i="2"/>
  <c r="AE1" i="2"/>
  <c r="AD1" i="2"/>
  <c r="U1" i="2"/>
  <c r="X1" i="2"/>
  <c r="V1" i="2"/>
  <c r="T1" i="2"/>
  <c r="S1" i="2"/>
  <c r="R1" i="2"/>
  <c r="Q1" i="2"/>
  <c r="M1" i="2"/>
  <c r="L1" i="2"/>
  <c r="K1" i="2"/>
  <c r="J1" i="2"/>
  <c r="H1" i="2"/>
  <c r="G1" i="2"/>
  <c r="F1" i="2"/>
  <c r="K45" i="1"/>
  <c r="M45" i="1"/>
  <c r="H42" i="1"/>
  <c r="AA42" i="1"/>
  <c r="N823" i="1"/>
  <c r="H754" i="1"/>
  <c r="AA754" i="1"/>
  <c r="E6" i="2"/>
  <c r="H444" i="1"/>
  <c r="AA444" i="1"/>
  <c r="H396" i="1"/>
  <c r="AA396" i="1"/>
  <c r="H400" i="1"/>
  <c r="AA400" i="1"/>
  <c r="N170" i="1"/>
  <c r="K505" i="1"/>
  <c r="N505" i="1"/>
  <c r="E15" i="2"/>
  <c r="D15" i="2"/>
  <c r="C15" i="2"/>
  <c r="H798" i="1"/>
  <c r="E12" i="2"/>
  <c r="D12" i="2"/>
  <c r="C12" i="2"/>
  <c r="H805" i="1"/>
  <c r="F894" i="1"/>
  <c r="D894" i="1"/>
  <c r="K486" i="1"/>
  <c r="M486" i="1"/>
  <c r="AT13" i="2"/>
  <c r="D13" i="2"/>
  <c r="C13" i="2"/>
  <c r="H18" i="1"/>
  <c r="AA18" i="1"/>
  <c r="F346" i="1"/>
  <c r="D346" i="1"/>
  <c r="N346" i="1"/>
  <c r="M346" i="1"/>
  <c r="K82" i="1"/>
  <c r="N82" i="1"/>
  <c r="G797" i="1"/>
  <c r="G798" i="1"/>
  <c r="G801" i="1"/>
  <c r="G381" i="1"/>
  <c r="G385" i="1"/>
  <c r="G387" i="1"/>
  <c r="L413" i="1"/>
  <c r="AA511" i="1"/>
  <c r="N511" i="1"/>
  <c r="AA543" i="1"/>
  <c r="H187" i="1"/>
  <c r="AA187" i="1"/>
  <c r="K71" i="1"/>
  <c r="N71" i="1"/>
  <c r="H70" i="1"/>
  <c r="AA70" i="1"/>
  <c r="H810" i="1"/>
  <c r="N810" i="1"/>
  <c r="H785" i="1"/>
  <c r="AA785" i="1"/>
  <c r="AA170" i="1"/>
  <c r="H207" i="1"/>
  <c r="AA207" i="1"/>
  <c r="H387" i="1"/>
  <c r="AA387" i="1"/>
  <c r="G930" i="1"/>
  <c r="L930" i="1"/>
  <c r="AA804" i="1"/>
  <c r="N804" i="1"/>
  <c r="S2" i="16"/>
  <c r="D26" i="2"/>
  <c r="C26" i="2"/>
  <c r="H809" i="1"/>
  <c r="AA809" i="1"/>
  <c r="N246" i="1"/>
  <c r="I267" i="1"/>
  <c r="K267" i="1"/>
  <c r="H268" i="1"/>
  <c r="AA268" i="1"/>
  <c r="AA292" i="1"/>
  <c r="H272" i="1"/>
  <c r="AA272" i="1"/>
  <c r="AA808" i="1"/>
  <c r="N808" i="1"/>
  <c r="D22" i="2"/>
  <c r="C22" i="2"/>
  <c r="H525" i="1"/>
  <c r="AA525" i="1"/>
  <c r="H715" i="1"/>
  <c r="AA715" i="1"/>
  <c r="H361" i="1"/>
  <c r="AA361" i="1"/>
  <c r="H98" i="1"/>
  <c r="AA98" i="1"/>
  <c r="K498" i="1"/>
  <c r="N498" i="1"/>
  <c r="K373" i="1"/>
  <c r="N373" i="1"/>
  <c r="K362" i="1"/>
  <c r="N362" i="1"/>
  <c r="K750" i="1"/>
  <c r="N750" i="1"/>
  <c r="K515" i="1"/>
  <c r="N515" i="1"/>
  <c r="K751" i="1"/>
  <c r="N751" i="1"/>
  <c r="H499" i="1"/>
  <c r="AA499" i="1"/>
  <c r="K500" i="1"/>
  <c r="K684" i="1"/>
  <c r="M684" i="1"/>
  <c r="K519" i="1"/>
  <c r="M519" i="1"/>
  <c r="K370" i="1"/>
  <c r="M370" i="1"/>
  <c r="K685" i="1"/>
  <c r="M685" i="1"/>
  <c r="K755" i="1"/>
  <c r="M755" i="1"/>
  <c r="K706" i="1"/>
  <c r="M706" i="1"/>
  <c r="K723" i="1"/>
  <c r="M723" i="1"/>
  <c r="K517" i="1"/>
  <c r="N517" i="1"/>
  <c r="K756" i="1"/>
  <c r="M756" i="1"/>
  <c r="K818" i="1"/>
  <c r="N818" i="1"/>
  <c r="K821" i="1"/>
  <c r="K923" i="1"/>
  <c r="M923" i="1"/>
  <c r="K621" i="1"/>
  <c r="M621" i="1"/>
  <c r="K51" i="1"/>
  <c r="M51" i="1"/>
  <c r="K214" i="1"/>
  <c r="N214" i="1"/>
  <c r="K386" i="1"/>
  <c r="K48" i="1"/>
  <c r="M48" i="1"/>
  <c r="K651" i="1"/>
  <c r="M651" i="1"/>
  <c r="K442" i="1"/>
  <c r="M442" i="1"/>
  <c r="K160" i="1"/>
  <c r="N160" i="1"/>
  <c r="K285" i="1"/>
  <c r="M285" i="1"/>
  <c r="K339" i="1"/>
  <c r="N339" i="1"/>
  <c r="K341" i="1"/>
  <c r="N341" i="1"/>
  <c r="K182" i="1"/>
  <c r="N182" i="1"/>
  <c r="K558" i="1"/>
  <c r="M558" i="1"/>
  <c r="K439" i="1"/>
  <c r="N439" i="1"/>
  <c r="K41" i="1"/>
  <c r="M41" i="1"/>
  <c r="K443" i="1"/>
  <c r="M443" i="1"/>
  <c r="K944" i="1"/>
  <c r="M944" i="1"/>
  <c r="K954" i="1"/>
  <c r="M954" i="1"/>
  <c r="K209" i="1"/>
  <c r="N209" i="1"/>
  <c r="K291" i="1"/>
  <c r="M291" i="1"/>
  <c r="K340" i="1"/>
  <c r="N340" i="1"/>
  <c r="K447" i="1"/>
  <c r="M447" i="1"/>
  <c r="K203" i="1"/>
  <c r="M203" i="1"/>
  <c r="K227" i="1"/>
  <c r="M227" i="1"/>
  <c r="K322" i="1"/>
  <c r="N322" i="1"/>
  <c r="K389" i="1"/>
  <c r="N389" i="1"/>
  <c r="K403" i="1"/>
  <c r="N403" i="1"/>
  <c r="K440" i="1"/>
  <c r="M440" i="1"/>
  <c r="K955" i="1"/>
  <c r="M955" i="1"/>
  <c r="H516" i="1"/>
  <c r="AA516" i="1"/>
  <c r="AA145" i="1"/>
  <c r="AA20" i="1"/>
  <c r="E16" i="2"/>
  <c r="D16" i="2"/>
  <c r="C16" i="2"/>
  <c r="H795" i="1"/>
  <c r="AA795" i="1"/>
  <c r="L352" i="1"/>
  <c r="E17" i="2"/>
  <c r="D17" i="2"/>
  <c r="C17" i="2"/>
  <c r="H802" i="1"/>
  <c r="AA802" i="1"/>
  <c r="D77" i="1"/>
  <c r="M420" i="1"/>
  <c r="E9" i="2"/>
  <c r="D9" i="2"/>
  <c r="C9" i="2"/>
  <c r="H796" i="1"/>
  <c r="AA796" i="1"/>
  <c r="E14" i="2"/>
  <c r="D14" i="2"/>
  <c r="C14" i="2"/>
  <c r="M837" i="1"/>
  <c r="M50" i="1"/>
  <c r="M343" i="1"/>
  <c r="M86" i="1"/>
  <c r="M991" i="1"/>
  <c r="M610" i="1"/>
  <c r="M900" i="1"/>
  <c r="M612" i="1"/>
  <c r="M604" i="1"/>
  <c r="M950" i="1"/>
  <c r="M767" i="1"/>
  <c r="M988" i="1"/>
  <c r="M961" i="1"/>
  <c r="M654" i="1"/>
  <c r="M936" i="1"/>
  <c r="M995" i="1"/>
  <c r="M303" i="1"/>
  <c r="M99" i="1"/>
  <c r="M643" i="1"/>
  <c r="M1029" i="1"/>
  <c r="M116" i="1"/>
  <c r="M44" i="1"/>
  <c r="M933" i="1"/>
  <c r="M79" i="1"/>
  <c r="M69" i="1"/>
  <c r="M63" i="1"/>
  <c r="M21" i="1"/>
  <c r="M205" i="1"/>
  <c r="M985" i="1"/>
  <c r="M93" i="1"/>
  <c r="M100" i="1"/>
  <c r="M133" i="1"/>
  <c r="M135" i="1"/>
  <c r="M186" i="1"/>
  <c r="M833" i="1"/>
  <c r="M129" i="1"/>
  <c r="M147" i="1"/>
  <c r="M644" i="1"/>
  <c r="M264" i="1"/>
  <c r="AA369" i="1"/>
  <c r="M731" i="1"/>
  <c r="M189" i="1"/>
  <c r="M460" i="1"/>
  <c r="M295" i="1"/>
  <c r="M894" i="1"/>
  <c r="M87" i="1"/>
  <c r="M184" i="1"/>
  <c r="M88" i="1"/>
  <c r="M895" i="1"/>
  <c r="M843" i="1"/>
  <c r="M990" i="1"/>
  <c r="H1023" i="1"/>
  <c r="AA1023" i="1"/>
  <c r="H829" i="1"/>
  <c r="AA829" i="1"/>
  <c r="AA15" i="1"/>
  <c r="AA221" i="1"/>
  <c r="AA374" i="1"/>
  <c r="M20" i="10"/>
  <c r="AA117" i="1"/>
  <c r="M952" i="1"/>
  <c r="M220" i="1"/>
  <c r="M78" i="1"/>
  <c r="N78" i="1"/>
  <c r="N530" i="1"/>
  <c r="M530" i="1"/>
  <c r="M73" i="1"/>
  <c r="M650" i="1"/>
  <c r="M902" i="1"/>
  <c r="M984" i="1"/>
  <c r="M539" i="1"/>
  <c r="M5" i="1"/>
  <c r="M12" i="1"/>
  <c r="M46" i="1"/>
  <c r="M247" i="1"/>
  <c r="M274" i="1"/>
  <c r="M719" i="1"/>
  <c r="M113" i="1"/>
  <c r="M136" i="1"/>
  <c r="M831" i="1"/>
  <c r="M47" i="1"/>
  <c r="M838" i="1"/>
  <c r="M1019" i="1"/>
  <c r="M13" i="1"/>
  <c r="N69" i="1"/>
  <c r="L75" i="1"/>
  <c r="M75" i="1"/>
  <c r="M138" i="1"/>
  <c r="M468" i="1"/>
  <c r="H691" i="1"/>
  <c r="AA691" i="1"/>
  <c r="M948" i="1"/>
  <c r="M24" i="1"/>
  <c r="G823" i="1"/>
  <c r="AA967" i="1"/>
  <c r="M114" i="1"/>
  <c r="M703" i="1"/>
  <c r="M759" i="1"/>
  <c r="M962" i="1"/>
  <c r="M19" i="1"/>
  <c r="K312" i="1"/>
  <c r="M459" i="1"/>
  <c r="N987" i="1"/>
  <c r="M7" i="1"/>
  <c r="H606" i="1"/>
  <c r="AA606" i="1"/>
  <c r="M120" i="1"/>
  <c r="H290" i="1"/>
  <c r="AA290" i="1"/>
  <c r="H683" i="1"/>
  <c r="AA683" i="1"/>
  <c r="D8" i="10"/>
  <c r="AA23" i="1"/>
  <c r="N1018" i="1"/>
  <c r="AA132" i="1"/>
  <c r="AA55" i="1"/>
  <c r="N342" i="1"/>
  <c r="E20" i="10"/>
  <c r="AA96" i="1"/>
  <c r="H564" i="1"/>
  <c r="AA564" i="1"/>
  <c r="K20" i="10"/>
  <c r="F6" i="15"/>
  <c r="E2" i="15"/>
  <c r="H325" i="1"/>
  <c r="AA325" i="1"/>
  <c r="AA513" i="1"/>
  <c r="H4" i="1"/>
  <c r="AA4" i="1"/>
  <c r="H385" i="1"/>
  <c r="AA385" i="1"/>
  <c r="H159" i="1"/>
  <c r="AA159" i="1"/>
  <c r="M391" i="1"/>
  <c r="N391" i="1"/>
  <c r="M97" i="1"/>
  <c r="N97" i="1"/>
  <c r="N397" i="1"/>
  <c r="M397" i="1"/>
  <c r="L34" i="1"/>
  <c r="M34" i="1"/>
  <c r="L416" i="1"/>
  <c r="F416" i="1"/>
  <c r="D416" i="1"/>
  <c r="N343" i="1"/>
  <c r="M377" i="1"/>
  <c r="N377" i="1"/>
  <c r="M337" i="1"/>
  <c r="N128" i="1"/>
  <c r="M128" i="1"/>
  <c r="N20" i="1"/>
  <c r="F147" i="1"/>
  <c r="D147" i="1"/>
  <c r="N166" i="1"/>
  <c r="M166" i="1"/>
  <c r="AA178" i="1"/>
  <c r="N398" i="1"/>
  <c r="M153" i="1"/>
  <c r="N181" i="1"/>
  <c r="M181" i="1"/>
  <c r="N245" i="1"/>
  <c r="M245" i="1"/>
  <c r="N94" i="1"/>
  <c r="M94" i="1"/>
  <c r="N123" i="1"/>
  <c r="M123" i="1"/>
  <c r="N336" i="1"/>
  <c r="N315" i="1"/>
  <c r="M315" i="1"/>
  <c r="AA84" i="1"/>
  <c r="M126" i="1"/>
  <c r="H161" i="1"/>
  <c r="AA161" i="1"/>
  <c r="M206" i="1"/>
  <c r="M74" i="1"/>
  <c r="L411" i="1"/>
  <c r="F411" i="1"/>
  <c r="D411" i="1"/>
  <c r="M375" i="1"/>
  <c r="M163" i="1"/>
  <c r="M507" i="1"/>
  <c r="M25" i="1"/>
  <c r="M165" i="1"/>
  <c r="M531" i="1"/>
  <c r="M817" i="1"/>
  <c r="M819" i="1"/>
  <c r="N870" i="1"/>
  <c r="M870" i="1"/>
  <c r="N956" i="1"/>
  <c r="M956" i="1"/>
  <c r="H321" i="1"/>
  <c r="AA321" i="1"/>
  <c r="N93" i="1"/>
  <c r="H154" i="1"/>
  <c r="AA154" i="1"/>
  <c r="H213" i="1"/>
  <c r="AA213" i="1"/>
  <c r="M496" i="1"/>
  <c r="H390" i="1"/>
  <c r="AA390" i="1"/>
  <c r="H180" i="1"/>
  <c r="AA180" i="1"/>
  <c r="N244" i="1"/>
  <c r="AA143" i="1"/>
  <c r="M350" i="1"/>
  <c r="M382" i="1"/>
  <c r="M134" i="1"/>
  <c r="M172" i="1"/>
  <c r="H204" i="1"/>
  <c r="AA204" i="1"/>
  <c r="M469" i="1"/>
  <c r="M506" i="1"/>
  <c r="M824" i="1"/>
  <c r="M49" i="1"/>
  <c r="M313" i="1"/>
  <c r="M317" i="1"/>
  <c r="AA344" i="1"/>
  <c r="H376" i="1"/>
  <c r="AA376" i="1"/>
  <c r="M141" i="1"/>
  <c r="M253" i="1"/>
  <c r="M115" i="1"/>
  <c r="M611" i="1"/>
  <c r="M816" i="1"/>
  <c r="M620" i="1"/>
  <c r="N585" i="1"/>
  <c r="M607" i="1"/>
  <c r="H424" i="1"/>
  <c r="AA424" i="1"/>
  <c r="H942" i="1"/>
  <c r="AA942" i="1"/>
  <c r="M992" i="1"/>
  <c r="N993" i="1"/>
  <c r="M993" i="1"/>
  <c r="M832" i="1"/>
  <c r="N943" i="1"/>
  <c r="M943" i="1"/>
  <c r="M701" i="1"/>
  <c r="G820" i="1"/>
  <c r="M1024" i="1"/>
  <c r="N579" i="1"/>
  <c r="M830" i="1"/>
  <c r="M941" i="1"/>
  <c r="M659" i="1"/>
  <c r="M946" i="1"/>
  <c r="N986" i="1"/>
  <c r="M986" i="1"/>
  <c r="AA729" i="1"/>
  <c r="H749" i="1"/>
  <c r="AA749" i="1"/>
  <c r="M560" i="1"/>
  <c r="H618" i="1"/>
  <c r="AA618" i="1"/>
  <c r="H820" i="1"/>
  <c r="AA820" i="1"/>
  <c r="M1025" i="1"/>
  <c r="N1017" i="1"/>
  <c r="M1017" i="1"/>
  <c r="M619" i="1"/>
  <c r="N614" i="1"/>
  <c r="H649" i="1"/>
  <c r="AA649" i="1"/>
  <c r="M842" i="1"/>
  <c r="N945" i="1"/>
  <c r="M945" i="1"/>
  <c r="M789" i="1"/>
  <c r="H922" i="1"/>
  <c r="AA922" i="1"/>
  <c r="M972" i="1"/>
  <c r="M973" i="1"/>
  <c r="N989" i="1"/>
  <c r="N14" i="1"/>
  <c r="M14" i="1"/>
  <c r="M353" i="1"/>
  <c r="N353" i="1"/>
  <c r="N284" i="1"/>
  <c r="M284" i="1"/>
  <c r="N286" i="1"/>
  <c r="M286" i="1"/>
  <c r="N326" i="1"/>
  <c r="M326" i="1"/>
  <c r="N324" i="1"/>
  <c r="M324" i="1"/>
  <c r="N287" i="1"/>
  <c r="M287" i="1"/>
  <c r="N345" i="1"/>
  <c r="M345" i="1"/>
  <c r="N282" i="1"/>
  <c r="M282" i="1"/>
  <c r="N319" i="1"/>
  <c r="N412" i="1"/>
  <c r="M412" i="1"/>
  <c r="N289" i="1"/>
  <c r="M289" i="1"/>
  <c r="N320" i="1"/>
  <c r="M320" i="1"/>
  <c r="N323" i="1"/>
  <c r="N406" i="1"/>
  <c r="M406" i="1"/>
  <c r="H36" i="1"/>
  <c r="AA36" i="1"/>
  <c r="N352" i="1"/>
  <c r="N411" i="1"/>
  <c r="N416" i="1"/>
  <c r="M80" i="1"/>
  <c r="N80" i="1"/>
  <c r="N83" i="1"/>
  <c r="M83" i="1"/>
  <c r="N378" i="1"/>
  <c r="M378" i="1"/>
  <c r="N382" i="1"/>
  <c r="M384" i="1"/>
  <c r="N417" i="1"/>
  <c r="M417" i="1"/>
  <c r="H283" i="1"/>
  <c r="AA283" i="1"/>
  <c r="N351" i="1"/>
  <c r="M351" i="1"/>
  <c r="N401" i="1"/>
  <c r="M401" i="1"/>
  <c r="N77" i="1"/>
  <c r="M77" i="1"/>
  <c r="N122" i="1"/>
  <c r="M122" i="1"/>
  <c r="N383" i="1"/>
  <c r="N388" i="1"/>
  <c r="M388" i="1"/>
  <c r="N399" i="1"/>
  <c r="M399" i="1"/>
  <c r="L20" i="1"/>
  <c r="M57" i="1"/>
  <c r="N381" i="1"/>
  <c r="M17" i="1"/>
  <c r="M38" i="1"/>
  <c r="H338" i="1"/>
  <c r="AA338" i="1"/>
  <c r="N88" i="1"/>
  <c r="N142" i="1"/>
  <c r="M142" i="1"/>
  <c r="H121" i="1"/>
  <c r="AA121" i="1"/>
  <c r="N125" i="1"/>
  <c r="M125" i="1"/>
  <c r="N92" i="1"/>
  <c r="M92" i="1"/>
  <c r="M208" i="1"/>
  <c r="N208" i="1"/>
  <c r="M218" i="1"/>
  <c r="N218" i="1"/>
  <c r="AA89" i="1"/>
  <c r="M90" i="1"/>
  <c r="N152" i="1"/>
  <c r="N164" i="1"/>
  <c r="M164" i="1"/>
  <c r="N155" i="1"/>
  <c r="M155" i="1"/>
  <c r="M402" i="1"/>
  <c r="M124" i="1"/>
  <c r="N91" i="1"/>
  <c r="M91" i="1"/>
  <c r="M252" i="1"/>
  <c r="N252" i="1"/>
  <c r="M162" i="1"/>
  <c r="M210" i="1"/>
  <c r="M222" i="1"/>
  <c r="N508" i="1"/>
  <c r="M508" i="1"/>
  <c r="AA232" i="1"/>
  <c r="N533" i="1"/>
  <c r="M533" i="1"/>
  <c r="M249" i="1"/>
  <c r="N247" i="1"/>
  <c r="N172" i="1"/>
  <c r="H202" i="1"/>
  <c r="AA202" i="1"/>
  <c r="M532" i="1"/>
  <c r="N273" i="1"/>
  <c r="M273" i="1"/>
  <c r="N215" i="1"/>
  <c r="N276" i="1"/>
  <c r="M276" i="1"/>
  <c r="AA497" i="1"/>
  <c r="N421" i="1"/>
  <c r="M421" i="1"/>
  <c r="N274" i="1"/>
  <c r="N605" i="1"/>
  <c r="M605" i="1"/>
  <c r="F624" i="1"/>
  <c r="D624" i="1"/>
  <c r="N624" i="1"/>
  <c r="M624" i="1"/>
  <c r="N646" i="1"/>
  <c r="M646" i="1"/>
  <c r="M812" i="1"/>
  <c r="N812" i="1"/>
  <c r="N652" i="1"/>
  <c r="M652" i="1"/>
  <c r="N275" i="1"/>
  <c r="M275" i="1"/>
  <c r="N577" i="1"/>
  <c r="M277" i="1"/>
  <c r="N653" i="1"/>
  <c r="M653" i="1"/>
  <c r="N696" i="1"/>
  <c r="N765" i="1"/>
  <c r="N834" i="1"/>
  <c r="M834" i="1"/>
  <c r="M836" i="1"/>
  <c r="N836" i="1"/>
  <c r="N784" i="1"/>
  <c r="M784" i="1"/>
  <c r="H815" i="1"/>
  <c r="AA815" i="1"/>
  <c r="M822" i="1"/>
  <c r="N581" i="1"/>
  <c r="M615" i="1"/>
  <c r="H441" i="1"/>
  <c r="AA441" i="1"/>
  <c r="N700" i="1"/>
  <c r="M728" i="1"/>
  <c r="N841" i="1"/>
  <c r="M841" i="1"/>
  <c r="H702" i="1"/>
  <c r="AA702" i="1"/>
  <c r="H438" i="1"/>
  <c r="AA438" i="1"/>
  <c r="N573" i="1"/>
  <c r="M603" i="1"/>
  <c r="N786" i="1"/>
  <c r="M786" i="1"/>
  <c r="N1022" i="1"/>
  <c r="M1022" i="1"/>
  <c r="N668" i="1"/>
  <c r="N698" i="1"/>
  <c r="N625" i="1"/>
  <c r="N866" i="1"/>
  <c r="M866" i="1"/>
  <c r="N591" i="1"/>
  <c r="N583" i="1"/>
  <c r="H557" i="1"/>
  <c r="AA557" i="1"/>
  <c r="N839" i="1"/>
  <c r="M839" i="1"/>
  <c r="N918" i="1"/>
  <c r="M918" i="1"/>
  <c r="N947" i="1"/>
  <c r="N994" i="1"/>
  <c r="AT7" i="2"/>
  <c r="AT6" i="2"/>
  <c r="AT15" i="2"/>
  <c r="AT17" i="2"/>
  <c r="N34" i="1"/>
  <c r="N37" i="1"/>
  <c r="M37" i="1"/>
  <c r="N35" i="1"/>
  <c r="M35" i="1"/>
  <c r="AT12" i="2"/>
  <c r="D6" i="2"/>
  <c r="C6" i="2"/>
  <c r="N75" i="1"/>
  <c r="N790" i="1"/>
  <c r="M790" i="1"/>
  <c r="F791" i="1"/>
  <c r="D791" i="1"/>
  <c r="N791" i="1"/>
  <c r="M791" i="1"/>
  <c r="N800" i="1"/>
  <c r="N543" i="1"/>
  <c r="L543" i="1"/>
  <c r="N916" i="1"/>
  <c r="M916" i="1"/>
  <c r="N917" i="1"/>
  <c r="M917" i="1"/>
  <c r="N262" i="1"/>
  <c r="M262" i="1"/>
  <c r="N263" i="1"/>
  <c r="N901" i="1"/>
  <c r="N949" i="1"/>
  <c r="N969" i="1"/>
  <c r="M968" i="1"/>
  <c r="N968" i="1"/>
  <c r="N971" i="1"/>
  <c r="M971" i="1"/>
  <c r="N963" i="1"/>
  <c r="M963" i="1"/>
  <c r="N899" i="1"/>
  <c r="N896" i="1"/>
  <c r="M896" i="1"/>
  <c r="L928" i="1"/>
  <c r="M928" i="1"/>
  <c r="N934" i="1"/>
  <c r="M934" i="1"/>
  <c r="N935" i="1"/>
  <c r="M929" i="1"/>
  <c r="N928" i="1"/>
  <c r="F919" i="1"/>
  <c r="D919" i="1"/>
  <c r="N919" i="1"/>
  <c r="M919" i="1"/>
  <c r="M927" i="1"/>
  <c r="N927" i="1"/>
  <c r="N925" i="1"/>
  <c r="M925" i="1"/>
  <c r="N869" i="1"/>
  <c r="L869" i="1"/>
  <c r="M869" i="1"/>
  <c r="N425" i="1"/>
  <c r="M425" i="1"/>
  <c r="N431" i="1"/>
  <c r="M431" i="1"/>
  <c r="N422" i="1"/>
  <c r="N428" i="1"/>
  <c r="M428" i="1"/>
  <c r="N427" i="1"/>
  <c r="M427" i="1"/>
  <c r="N429" i="1"/>
  <c r="M429" i="1"/>
  <c r="M426" i="1"/>
  <c r="M430" i="1"/>
  <c r="N665" i="1"/>
  <c r="M665" i="1"/>
  <c r="N669" i="1"/>
  <c r="M669" i="1"/>
  <c r="N697" i="1"/>
  <c r="M697" i="1"/>
  <c r="N693" i="1"/>
  <c r="M693" i="1"/>
  <c r="N688" i="1"/>
  <c r="M688" i="1"/>
  <c r="N692" i="1"/>
  <c r="M692" i="1"/>
  <c r="N699" i="1"/>
  <c r="M699" i="1"/>
  <c r="N589" i="1"/>
  <c r="F559" i="1"/>
  <c r="D559" i="1"/>
  <c r="N559" i="1"/>
  <c r="M559" i="1"/>
  <c r="N547" i="1"/>
  <c r="M547" i="1"/>
  <c r="N552" i="1"/>
  <c r="M552" i="1"/>
  <c r="N561" i="1"/>
  <c r="M561" i="1"/>
  <c r="N592" i="1"/>
  <c r="M592" i="1"/>
  <c r="N602" i="1"/>
  <c r="M602" i="1"/>
  <c r="F602" i="1"/>
  <c r="D602" i="1"/>
  <c r="N281" i="1"/>
  <c r="M281" i="1"/>
  <c r="N586" i="1"/>
  <c r="M586" i="1"/>
  <c r="N565" i="1"/>
  <c r="M565" i="1"/>
  <c r="N574" i="1"/>
  <c r="M574" i="1"/>
  <c r="M582" i="1"/>
  <c r="N582" i="1"/>
  <c r="M568" i="1"/>
  <c r="N568" i="1"/>
  <c r="N580" i="1"/>
  <c r="M580" i="1"/>
  <c r="N584" i="1"/>
  <c r="M584" i="1"/>
  <c r="N578" i="1"/>
  <c r="M578" i="1"/>
  <c r="N590" i="1"/>
  <c r="M590" i="1"/>
  <c r="G577" i="1"/>
  <c r="G579" i="1"/>
  <c r="L573" i="1"/>
  <c r="N269" i="1"/>
  <c r="M269" i="1"/>
  <c r="N270" i="1"/>
  <c r="M270" i="1"/>
  <c r="N271" i="1"/>
  <c r="M271" i="1"/>
  <c r="N523" i="1"/>
  <c r="N526" i="1"/>
  <c r="M526" i="1"/>
  <c r="M520" i="1"/>
  <c r="N520" i="1"/>
  <c r="N529" i="1"/>
  <c r="N521" i="1"/>
  <c r="M521" i="1"/>
  <c r="N524" i="1"/>
  <c r="M524" i="1"/>
  <c r="N522" i="1"/>
  <c r="M522" i="1"/>
  <c r="N528" i="1"/>
  <c r="M528" i="1"/>
  <c r="N465" i="1"/>
  <c r="M465" i="1"/>
  <c r="N484" i="1"/>
  <c r="M484" i="1"/>
  <c r="N462" i="1"/>
  <c r="M462" i="1"/>
  <c r="N488" i="1"/>
  <c r="M488" i="1"/>
  <c r="N501" i="1"/>
  <c r="M501" i="1"/>
  <c r="N464" i="1"/>
  <c r="M464" i="1"/>
  <c r="N495" i="1"/>
  <c r="M495" i="1"/>
  <c r="N502" i="1"/>
  <c r="M502" i="1"/>
  <c r="M485" i="1"/>
  <c r="N485" i="1"/>
  <c r="N503" i="1"/>
  <c r="M503" i="1"/>
  <c r="N487" i="1"/>
  <c r="M487" i="1"/>
  <c r="N248" i="1"/>
  <c r="N217" i="1"/>
  <c r="N185" i="1"/>
  <c r="N183" i="1"/>
  <c r="H827" i="1"/>
  <c r="H840" i="1"/>
  <c r="AA840" i="1"/>
  <c r="N815" i="1"/>
  <c r="N820" i="1"/>
  <c r="M821" i="1"/>
  <c r="N821" i="1"/>
  <c r="G827" i="1"/>
  <c r="G321" i="1"/>
  <c r="G323" i="1"/>
  <c r="L323" i="1"/>
  <c r="M323" i="1"/>
  <c r="G336" i="1"/>
  <c r="AA805" i="1"/>
  <c r="N805" i="1"/>
  <c r="N18" i="1"/>
  <c r="H806" i="1"/>
  <c r="AA806" i="1"/>
  <c r="AA798" i="1"/>
  <c r="AA803" i="1"/>
  <c r="L18" i="1"/>
  <c r="M18" i="1"/>
  <c r="L319" i="1"/>
  <c r="F319" i="1"/>
  <c r="D319" i="1"/>
  <c r="L381" i="1"/>
  <c r="F381" i="1"/>
  <c r="D381" i="1"/>
  <c r="N187" i="1"/>
  <c r="H799" i="1"/>
  <c r="AA799" i="1"/>
  <c r="G390" i="1"/>
  <c r="G396" i="1"/>
  <c r="G398" i="1"/>
  <c r="G400" i="1"/>
  <c r="N785" i="1"/>
  <c r="G809" i="1"/>
  <c r="L809" i="1"/>
  <c r="M809" i="1"/>
  <c r="G802" i="1"/>
  <c r="AA810" i="1"/>
  <c r="L785" i="1"/>
  <c r="M785" i="1"/>
  <c r="M386" i="1"/>
  <c r="N386" i="1"/>
  <c r="N385" i="1"/>
  <c r="F352" i="1"/>
  <c r="D352" i="1"/>
  <c r="F930" i="1"/>
  <c r="D930" i="1"/>
  <c r="M930" i="1"/>
  <c r="O20" i="10"/>
  <c r="H926" i="1"/>
  <c r="AA926" i="1"/>
  <c r="H924" i="1"/>
  <c r="AA924" i="1"/>
  <c r="M498" i="1"/>
  <c r="M267" i="1"/>
  <c r="N267" i="1"/>
  <c r="M750" i="1"/>
  <c r="M439" i="1"/>
  <c r="L379" i="1"/>
  <c r="F379" i="1"/>
  <c r="D379" i="1"/>
  <c r="M413" i="1"/>
  <c r="F413" i="1"/>
  <c r="D413" i="1"/>
  <c r="N809" i="1"/>
  <c r="N370" i="1"/>
  <c r="N715" i="1"/>
  <c r="M818" i="1"/>
  <c r="M362" i="1"/>
  <c r="M373" i="1"/>
  <c r="M214" i="1"/>
  <c r="M751" i="1"/>
  <c r="N486" i="1"/>
  <c r="M82" i="1"/>
  <c r="M515" i="1"/>
  <c r="N519" i="1"/>
  <c r="M517" i="1"/>
  <c r="M339" i="1"/>
  <c r="N723" i="1"/>
  <c r="N285" i="1"/>
  <c r="N500" i="1"/>
  <c r="M500" i="1"/>
  <c r="M71" i="1"/>
  <c r="N923" i="1"/>
  <c r="M505" i="1"/>
  <c r="N440" i="1"/>
  <c r="N944" i="1"/>
  <c r="M340" i="1"/>
  <c r="N558" i="1"/>
  <c r="N291" i="1"/>
  <c r="N795" i="1"/>
  <c r="M182" i="1"/>
  <c r="N203" i="1"/>
  <c r="M160" i="1"/>
  <c r="M209" i="1"/>
  <c r="M389" i="1"/>
  <c r="M322" i="1"/>
  <c r="N227" i="1"/>
  <c r="N145" i="1"/>
  <c r="M403" i="1"/>
  <c r="M341" i="1"/>
  <c r="H801" i="1"/>
  <c r="AA801" i="1"/>
  <c r="M352" i="1"/>
  <c r="N802" i="1"/>
  <c r="L795" i="1"/>
  <c r="L823" i="1"/>
  <c r="F823" i="1"/>
  <c r="D823" i="1"/>
  <c r="M411" i="1"/>
  <c r="L815" i="1"/>
  <c r="F815" i="1"/>
  <c r="D815" i="1"/>
  <c r="N202" i="1"/>
  <c r="N387" i="1"/>
  <c r="L4" i="1"/>
  <c r="F4" i="1"/>
  <c r="D4" i="1"/>
  <c r="L1023" i="1"/>
  <c r="F1023" i="1"/>
  <c r="D1023" i="1"/>
  <c r="L292" i="1"/>
  <c r="M292" i="1"/>
  <c r="N441" i="1"/>
  <c r="N444" i="1"/>
  <c r="N749" i="1"/>
  <c r="N321" i="1"/>
  <c r="N55" i="1"/>
  <c r="N606" i="1"/>
  <c r="L369" i="1"/>
  <c r="F369" i="1"/>
  <c r="D369" i="1"/>
  <c r="N497" i="1"/>
  <c r="N499" i="1"/>
  <c r="N272" i="1"/>
  <c r="N729" i="1"/>
  <c r="N683" i="1"/>
  <c r="L23" i="1"/>
  <c r="M23" i="1"/>
  <c r="N338" i="1"/>
  <c r="N618" i="1"/>
  <c r="L376" i="1"/>
  <c r="F376" i="1"/>
  <c r="D376" i="1"/>
  <c r="N178" i="1"/>
  <c r="L564" i="1"/>
  <c r="F564" i="1"/>
  <c r="D564" i="1"/>
  <c r="N967" i="1"/>
  <c r="N207" i="1"/>
  <c r="N344" i="1"/>
  <c r="N180" i="1"/>
  <c r="N213" i="1"/>
  <c r="N161" i="1"/>
  <c r="N132" i="1"/>
  <c r="N691" i="1"/>
  <c r="L117" i="1"/>
  <c r="F117" i="1"/>
  <c r="D117" i="1"/>
  <c r="L283" i="1"/>
  <c r="F283" i="1"/>
  <c r="D283" i="1"/>
  <c r="N36" i="1"/>
  <c r="L84" i="1"/>
  <c r="F84" i="1"/>
  <c r="D84" i="1"/>
  <c r="L290" i="1"/>
  <c r="M290" i="1"/>
  <c r="N525" i="1"/>
  <c r="N557" i="1"/>
  <c r="L754" i="1"/>
  <c r="M754" i="1"/>
  <c r="L89" i="1"/>
  <c r="F89" i="1"/>
  <c r="D89" i="1"/>
  <c r="N361" i="1"/>
  <c r="N400" i="1"/>
  <c r="L96" i="1"/>
  <c r="M96" i="1"/>
  <c r="L374" i="1"/>
  <c r="F374" i="1"/>
  <c r="D374" i="1"/>
  <c r="N796" i="1"/>
  <c r="N516" i="1"/>
  <c r="L98" i="1"/>
  <c r="F98" i="1"/>
  <c r="D98" i="1"/>
  <c r="N204" i="1"/>
  <c r="N154" i="1"/>
  <c r="N221" i="1"/>
  <c r="N702" i="1"/>
  <c r="L70" i="1"/>
  <c r="M70" i="1"/>
  <c r="L922" i="1"/>
  <c r="F922" i="1"/>
  <c r="D922" i="1"/>
  <c r="N649" i="1"/>
  <c r="N268" i="1"/>
  <c r="N159" i="1"/>
  <c r="N513" i="1"/>
  <c r="L15" i="1"/>
  <c r="F15" i="1"/>
  <c r="D15" i="1"/>
  <c r="N143" i="1"/>
  <c r="N325" i="1"/>
  <c r="L796" i="1"/>
  <c r="M796" i="1"/>
  <c r="F75" i="1"/>
  <c r="D75" i="1"/>
  <c r="N390" i="1"/>
  <c r="N1023" i="1"/>
  <c r="N369" i="1"/>
  <c r="N922" i="1"/>
  <c r="L385" i="1"/>
  <c r="M385" i="1"/>
  <c r="N15" i="1"/>
  <c r="L55" i="1"/>
  <c r="F55" i="1"/>
  <c r="D55" i="1"/>
  <c r="N376" i="1"/>
  <c r="L820" i="1"/>
  <c r="M820" i="1"/>
  <c r="N829" i="1"/>
  <c r="L36" i="1"/>
  <c r="M36" i="1"/>
  <c r="L387" i="1"/>
  <c r="F387" i="1"/>
  <c r="D387" i="1"/>
  <c r="L42" i="1"/>
  <c r="F42" i="1"/>
  <c r="D42" i="1"/>
  <c r="F34" i="1"/>
  <c r="D34" i="1"/>
  <c r="L132" i="1"/>
  <c r="N290" i="1"/>
  <c r="N117" i="1"/>
  <c r="N283" i="1"/>
  <c r="L338" i="1"/>
  <c r="F338" i="1"/>
  <c r="D338" i="1"/>
  <c r="L321" i="1"/>
  <c r="M321" i="1"/>
  <c r="N564" i="1"/>
  <c r="M416" i="1"/>
  <c r="L361" i="1"/>
  <c r="M361" i="1"/>
  <c r="N374" i="1"/>
  <c r="N424" i="1"/>
  <c r="N4" i="1"/>
  <c r="N84" i="1"/>
  <c r="L649" i="1"/>
  <c r="M649" i="1"/>
  <c r="N23" i="1"/>
  <c r="N396" i="1"/>
  <c r="N438" i="1"/>
  <c r="N70" i="1"/>
  <c r="N754" i="1"/>
  <c r="N42" i="1"/>
  <c r="N292" i="1"/>
  <c r="N96" i="1"/>
  <c r="L342" i="1"/>
  <c r="L145" i="1"/>
  <c r="F928" i="1"/>
  <c r="D928" i="1"/>
  <c r="N232" i="1"/>
  <c r="M20" i="1"/>
  <c r="F20" i="1"/>
  <c r="D20" i="1"/>
  <c r="N121" i="1"/>
  <c r="L121" i="1"/>
  <c r="N89" i="1"/>
  <c r="N98" i="1"/>
  <c r="L808" i="1"/>
  <c r="F808" i="1"/>
  <c r="D808" i="1"/>
  <c r="M543" i="1"/>
  <c r="F543" i="1"/>
  <c r="D543" i="1"/>
  <c r="L935" i="1"/>
  <c r="F869" i="1"/>
  <c r="D869" i="1"/>
  <c r="G583" i="1"/>
  <c r="L577" i="1"/>
  <c r="F573" i="1"/>
  <c r="D573" i="1"/>
  <c r="M573" i="1"/>
  <c r="L827" i="1"/>
  <c r="F827" i="1"/>
  <c r="D827" i="1"/>
  <c r="AA827" i="1"/>
  <c r="N827" i="1"/>
  <c r="G829" i="1"/>
  <c r="L829" i="1"/>
  <c r="F829" i="1"/>
  <c r="D829" i="1"/>
  <c r="N806" i="1"/>
  <c r="G383" i="1"/>
  <c r="L383" i="1"/>
  <c r="M383" i="1"/>
  <c r="M319" i="1"/>
  <c r="N798" i="1"/>
  <c r="L798" i="1"/>
  <c r="F798" i="1"/>
  <c r="D798" i="1"/>
  <c r="N803" i="1"/>
  <c r="F18" i="1"/>
  <c r="D18" i="1"/>
  <c r="M381" i="1"/>
  <c r="G438" i="1"/>
  <c r="L400" i="1"/>
  <c r="M400" i="1"/>
  <c r="L390" i="1"/>
  <c r="F390" i="1"/>
  <c r="D390" i="1"/>
  <c r="G407" i="1"/>
  <c r="L407" i="1"/>
  <c r="M407" i="1"/>
  <c r="G394" i="1"/>
  <c r="L394" i="1"/>
  <c r="M394" i="1"/>
  <c r="N799" i="1"/>
  <c r="L396" i="1"/>
  <c r="M396" i="1"/>
  <c r="L398" i="1"/>
  <c r="F398" i="1"/>
  <c r="D398" i="1"/>
  <c r="G803" i="1"/>
  <c r="G804" i="1"/>
  <c r="G805" i="1"/>
  <c r="G806" i="1"/>
  <c r="G807" i="1"/>
  <c r="L807" i="1"/>
  <c r="F785" i="1"/>
  <c r="D785" i="1"/>
  <c r="G2" i="10"/>
  <c r="H219" i="1"/>
  <c r="AA219" i="1"/>
  <c r="H835" i="1"/>
  <c r="AA835" i="1"/>
  <c r="M808" i="1"/>
  <c r="M379" i="1"/>
  <c r="F809" i="1"/>
  <c r="D809" i="1"/>
  <c r="L325" i="1"/>
  <c r="F325" i="1"/>
  <c r="D325" i="1"/>
  <c r="F323" i="1"/>
  <c r="D323" i="1"/>
  <c r="L327" i="1"/>
  <c r="M327" i="1"/>
  <c r="N801" i="1"/>
  <c r="M283" i="1"/>
  <c r="M823" i="1"/>
  <c r="F292" i="1"/>
  <c r="D292" i="1"/>
  <c r="L336" i="1"/>
  <c r="F336" i="1"/>
  <c r="D336" i="1"/>
  <c r="L331" i="1"/>
  <c r="M564" i="1"/>
  <c r="M1023" i="1"/>
  <c r="M922" i="1"/>
  <c r="M815" i="1"/>
  <c r="M369" i="1"/>
  <c r="F795" i="1"/>
  <c r="D795" i="1"/>
  <c r="M795" i="1"/>
  <c r="M4" i="1"/>
  <c r="M117" i="1"/>
  <c r="F23" i="1"/>
  <c r="D23" i="1"/>
  <c r="M84" i="1"/>
  <c r="M98" i="1"/>
  <c r="M89" i="1"/>
  <c r="M374" i="1"/>
  <c r="F754" i="1"/>
  <c r="D754" i="1"/>
  <c r="F290" i="1"/>
  <c r="D290" i="1"/>
  <c r="F70" i="1"/>
  <c r="D70" i="1"/>
  <c r="N924" i="1"/>
  <c r="M376" i="1"/>
  <c r="F96" i="1"/>
  <c r="D96" i="1"/>
  <c r="N926" i="1"/>
  <c r="M15" i="1"/>
  <c r="F796" i="1"/>
  <c r="D796" i="1"/>
  <c r="F36" i="1"/>
  <c r="D36" i="1"/>
  <c r="F385" i="1"/>
  <c r="D385" i="1"/>
  <c r="M55" i="1"/>
  <c r="M42" i="1"/>
  <c r="L924" i="1"/>
  <c r="M924" i="1"/>
  <c r="F649" i="1"/>
  <c r="D649" i="1"/>
  <c r="F820" i="1"/>
  <c r="D820" i="1"/>
  <c r="M387" i="1"/>
  <c r="F321" i="1"/>
  <c r="D321" i="1"/>
  <c r="M338" i="1"/>
  <c r="F132" i="1"/>
  <c r="D132" i="1"/>
  <c r="M132" i="1"/>
  <c r="F361" i="1"/>
  <c r="D361" i="1"/>
  <c r="L840" i="1"/>
  <c r="N840" i="1"/>
  <c r="L926" i="1"/>
  <c r="F926" i="1"/>
  <c r="D926" i="1"/>
  <c r="F342" i="1"/>
  <c r="D342" i="1"/>
  <c r="M342" i="1"/>
  <c r="L152" i="1"/>
  <c r="L344" i="1"/>
  <c r="F145" i="1"/>
  <c r="D145" i="1"/>
  <c r="M145" i="1"/>
  <c r="M121" i="1"/>
  <c r="F121" i="1"/>
  <c r="D121" i="1"/>
  <c r="L799" i="1"/>
  <c r="G951" i="1"/>
  <c r="L947" i="1"/>
  <c r="M935" i="1"/>
  <c r="F935" i="1"/>
  <c r="D935" i="1"/>
  <c r="L579" i="1"/>
  <c r="M577" i="1"/>
  <c r="F577" i="1"/>
  <c r="D577" i="1"/>
  <c r="M827" i="1"/>
  <c r="M807" i="1"/>
  <c r="F807" i="1"/>
  <c r="D807" i="1"/>
  <c r="F383" i="1"/>
  <c r="D383" i="1"/>
  <c r="M798" i="1"/>
  <c r="F394" i="1"/>
  <c r="D394" i="1"/>
  <c r="M390" i="1"/>
  <c r="F407" i="1"/>
  <c r="D407" i="1"/>
  <c r="F400" i="1"/>
  <c r="D400" i="1"/>
  <c r="G441" i="1"/>
  <c r="L438" i="1"/>
  <c r="L424" i="1"/>
  <c r="M424" i="1"/>
  <c r="F396" i="1"/>
  <c r="D396" i="1"/>
  <c r="M398" i="1"/>
  <c r="N835" i="1"/>
  <c r="L835" i="1"/>
  <c r="F835" i="1"/>
  <c r="D835" i="1"/>
  <c r="L949" i="1"/>
  <c r="L959" i="1"/>
  <c r="M325" i="1"/>
  <c r="F327" i="1"/>
  <c r="D327" i="1"/>
  <c r="M336" i="1"/>
  <c r="F331" i="1"/>
  <c r="D331" i="1"/>
  <c r="M331" i="1"/>
  <c r="M829" i="1"/>
  <c r="N219" i="1"/>
  <c r="F924" i="1"/>
  <c r="D924" i="1"/>
  <c r="M926" i="1"/>
  <c r="M840" i="1"/>
  <c r="F840" i="1"/>
  <c r="D840" i="1"/>
  <c r="F344" i="1"/>
  <c r="D344" i="1"/>
  <c r="M344" i="1"/>
  <c r="F152" i="1"/>
  <c r="D152" i="1"/>
  <c r="M152" i="1"/>
  <c r="G159" i="1"/>
  <c r="L159" i="1"/>
  <c r="G161" i="1"/>
  <c r="L154" i="1"/>
  <c r="F799" i="1"/>
  <c r="D799" i="1"/>
  <c r="M799" i="1"/>
  <c r="L801" i="1"/>
  <c r="L800" i="1"/>
  <c r="M947" i="1"/>
  <c r="F947" i="1"/>
  <c r="D947" i="1"/>
  <c r="L942" i="1"/>
  <c r="F579" i="1"/>
  <c r="D579" i="1"/>
  <c r="M579" i="1"/>
  <c r="L581" i="1"/>
  <c r="M438" i="1"/>
  <c r="F438" i="1"/>
  <c r="D438" i="1"/>
  <c r="L441" i="1"/>
  <c r="F424" i="1"/>
  <c r="D424" i="1"/>
  <c r="M835" i="1"/>
  <c r="F959" i="1"/>
  <c r="D959" i="1"/>
  <c r="M959" i="1"/>
  <c r="L804" i="1"/>
  <c r="F154" i="1"/>
  <c r="D154" i="1"/>
  <c r="M154" i="1"/>
  <c r="G178" i="1"/>
  <c r="L161" i="1"/>
  <c r="M159" i="1"/>
  <c r="F159" i="1"/>
  <c r="D159" i="1"/>
  <c r="F949" i="1"/>
  <c r="D949" i="1"/>
  <c r="M949" i="1"/>
  <c r="L967" i="1"/>
  <c r="G969" i="1"/>
  <c r="M801" i="1"/>
  <c r="F801" i="1"/>
  <c r="D801" i="1"/>
  <c r="L802" i="1"/>
  <c r="M800" i="1"/>
  <c r="F800" i="1"/>
  <c r="D800" i="1"/>
  <c r="M581" i="1"/>
  <c r="F581" i="1"/>
  <c r="D581" i="1"/>
  <c r="G585" i="1"/>
  <c r="G587" i="1"/>
  <c r="L587" i="1"/>
  <c r="L583" i="1"/>
  <c r="L499" i="1"/>
  <c r="M587" i="1"/>
  <c r="F587" i="1"/>
  <c r="D587" i="1"/>
  <c r="L444" i="1"/>
  <c r="F441" i="1"/>
  <c r="D441" i="1"/>
  <c r="M441" i="1"/>
  <c r="G478" i="1"/>
  <c r="L472" i="1"/>
  <c r="M804" i="1"/>
  <c r="F804" i="1"/>
  <c r="D804" i="1"/>
  <c r="F161" i="1"/>
  <c r="D161" i="1"/>
  <c r="M161" i="1"/>
  <c r="L170" i="1"/>
  <c r="M967" i="1"/>
  <c r="F967" i="1"/>
  <c r="D967" i="1"/>
  <c r="L969" i="1"/>
  <c r="F802" i="1"/>
  <c r="D802" i="1"/>
  <c r="M802" i="1"/>
  <c r="L803" i="1"/>
  <c r="L585" i="1"/>
  <c r="G589" i="1"/>
  <c r="G591" i="1"/>
  <c r="F583" i="1"/>
  <c r="D583" i="1"/>
  <c r="M583" i="1"/>
  <c r="M499" i="1"/>
  <c r="F499" i="1"/>
  <c r="D499" i="1"/>
  <c r="L422" i="1"/>
  <c r="M444" i="1"/>
  <c r="F444" i="1"/>
  <c r="D444" i="1"/>
  <c r="M472" i="1"/>
  <c r="F472" i="1"/>
  <c r="D472" i="1"/>
  <c r="G497" i="1"/>
  <c r="L497" i="1"/>
  <c r="G504" i="1"/>
  <c r="F170" i="1"/>
  <c r="D170" i="1"/>
  <c r="M170" i="1"/>
  <c r="L175" i="1"/>
  <c r="M969" i="1"/>
  <c r="F969" i="1"/>
  <c r="D969" i="1"/>
  <c r="L805" i="1"/>
  <c r="F803" i="1"/>
  <c r="D803" i="1"/>
  <c r="M803" i="1"/>
  <c r="F585" i="1"/>
  <c r="D585" i="1"/>
  <c r="M585" i="1"/>
  <c r="L589" i="1"/>
  <c r="M422" i="1"/>
  <c r="F422" i="1"/>
  <c r="D422" i="1"/>
  <c r="F497" i="1"/>
  <c r="D497" i="1"/>
  <c r="M497" i="1"/>
  <c r="L806" i="1"/>
  <c r="M806" i="1"/>
  <c r="L810" i="1"/>
  <c r="L661" i="1"/>
  <c r="F661" i="1"/>
  <c r="D661" i="1"/>
  <c r="F175" i="1"/>
  <c r="D175" i="1"/>
  <c r="M175" i="1"/>
  <c r="G180" i="1"/>
  <c r="L178" i="1"/>
  <c r="L899" i="1"/>
  <c r="M805" i="1"/>
  <c r="F805" i="1"/>
  <c r="D805" i="1"/>
  <c r="L591" i="1"/>
  <c r="F589" i="1"/>
  <c r="D589" i="1"/>
  <c r="M589" i="1"/>
  <c r="L511" i="1"/>
  <c r="F806" i="1"/>
  <c r="D806" i="1"/>
  <c r="M810" i="1"/>
  <c r="F810" i="1"/>
  <c r="D810" i="1"/>
  <c r="M661" i="1"/>
  <c r="L901" i="1"/>
  <c r="F901" i="1"/>
  <c r="D901" i="1"/>
  <c r="G905" i="1"/>
  <c r="G183" i="1"/>
  <c r="L180" i="1"/>
  <c r="M178" i="1"/>
  <c r="F178" i="1"/>
  <c r="D178" i="1"/>
  <c r="M899" i="1"/>
  <c r="F899" i="1"/>
  <c r="D899" i="1"/>
  <c r="M591" i="1"/>
  <c r="F591" i="1"/>
  <c r="D591" i="1"/>
  <c r="F511" i="1"/>
  <c r="D511" i="1"/>
  <c r="M511" i="1"/>
  <c r="L513" i="1"/>
  <c r="G516" i="1"/>
  <c r="L183" i="1"/>
  <c r="F183" i="1"/>
  <c r="D183" i="1"/>
  <c r="G185" i="1"/>
  <c r="G190" i="1"/>
  <c r="L190" i="1"/>
  <c r="L909" i="1"/>
  <c r="M901" i="1"/>
  <c r="L905" i="1"/>
  <c r="M180" i="1"/>
  <c r="F180" i="1"/>
  <c r="D180" i="1"/>
  <c r="L516" i="1"/>
  <c r="F513" i="1"/>
  <c r="D513" i="1"/>
  <c r="M513" i="1"/>
  <c r="F190" i="1"/>
  <c r="D190" i="1"/>
  <c r="M190" i="1"/>
  <c r="L674" i="1"/>
  <c r="L763" i="1"/>
  <c r="M183" i="1"/>
  <c r="G187" i="1"/>
  <c r="L185" i="1"/>
  <c r="F909" i="1"/>
  <c r="D909" i="1"/>
  <c r="M909" i="1"/>
  <c r="M905" i="1"/>
  <c r="F905" i="1"/>
  <c r="D905" i="1"/>
  <c r="L263" i="1"/>
  <c r="F263" i="1"/>
  <c r="L557" i="1"/>
  <c r="L523" i="1"/>
  <c r="M516" i="1"/>
  <c r="F516" i="1"/>
  <c r="D516" i="1"/>
  <c r="G236" i="1"/>
  <c r="F763" i="1"/>
  <c r="D763" i="1"/>
  <c r="M763" i="1"/>
  <c r="F674" i="1"/>
  <c r="D674" i="1"/>
  <c r="M674" i="1"/>
  <c r="M185" i="1"/>
  <c r="F185" i="1"/>
  <c r="D185" i="1"/>
  <c r="L187" i="1"/>
  <c r="D263" i="1"/>
  <c r="M263" i="1"/>
  <c r="L987" i="1"/>
  <c r="L268" i="1"/>
  <c r="G272" i="1"/>
  <c r="L272" i="1"/>
  <c r="L668" i="1"/>
  <c r="F557" i="1"/>
  <c r="D557" i="1"/>
  <c r="M557" i="1"/>
  <c r="L525" i="1"/>
  <c r="G529" i="1"/>
  <c r="F523" i="1"/>
  <c r="D523" i="1"/>
  <c r="M523" i="1"/>
  <c r="L202" i="1"/>
  <c r="F187" i="1"/>
  <c r="D187" i="1"/>
  <c r="M187" i="1"/>
  <c r="L689" i="1"/>
  <c r="L989" i="1"/>
  <c r="F987" i="1"/>
  <c r="D987" i="1"/>
  <c r="M987" i="1"/>
  <c r="F272" i="1"/>
  <c r="D272" i="1"/>
  <c r="M272" i="1"/>
  <c r="M268" i="1"/>
  <c r="F268" i="1"/>
  <c r="D268" i="1"/>
  <c r="M668" i="1"/>
  <c r="F668" i="1"/>
  <c r="D668" i="1"/>
  <c r="L683" i="1"/>
  <c r="M525" i="1"/>
  <c r="F525" i="1"/>
  <c r="D525" i="1"/>
  <c r="L535" i="1"/>
  <c r="L529" i="1"/>
  <c r="L1004" i="1"/>
  <c r="F1004" i="1"/>
  <c r="D1004" i="1"/>
  <c r="F202" i="1"/>
  <c r="D202" i="1"/>
  <c r="M202" i="1"/>
  <c r="L196" i="1"/>
  <c r="M989" i="1"/>
  <c r="F989" i="1"/>
  <c r="D989" i="1"/>
  <c r="L994" i="1"/>
  <c r="G1018" i="1"/>
  <c r="L1018" i="1"/>
  <c r="F689" i="1"/>
  <c r="D689" i="1"/>
  <c r="M689" i="1"/>
  <c r="M683" i="1"/>
  <c r="F683" i="1"/>
  <c r="D683" i="1"/>
  <c r="F529" i="1"/>
  <c r="D529" i="1"/>
  <c r="M529" i="1"/>
  <c r="F535" i="1"/>
  <c r="D535" i="1"/>
  <c r="M535" i="1"/>
  <c r="L1009" i="1"/>
  <c r="F1009" i="1"/>
  <c r="D1009" i="1"/>
  <c r="L1013" i="1"/>
  <c r="M1004" i="1"/>
  <c r="M196" i="1"/>
  <c r="F196" i="1"/>
  <c r="D196" i="1"/>
  <c r="M994" i="1"/>
  <c r="F994" i="1"/>
  <c r="D994" i="1"/>
  <c r="M1018" i="1"/>
  <c r="F1018" i="1"/>
  <c r="D1018" i="1"/>
  <c r="M1013" i="1"/>
  <c r="F1013" i="1"/>
  <c r="D1013" i="1"/>
  <c r="M1009" i="1"/>
  <c r="G244" i="1"/>
  <c r="L691" i="1"/>
  <c r="G207" i="1"/>
  <c r="G213" i="1"/>
  <c r="L204" i="1"/>
  <c r="M691" i="1"/>
  <c r="F691" i="1"/>
  <c r="D691" i="1"/>
  <c r="L696" i="1"/>
  <c r="L772" i="1"/>
  <c r="L207" i="1"/>
  <c r="F204" i="1"/>
  <c r="D204" i="1"/>
  <c r="M204" i="1"/>
  <c r="M772" i="1"/>
  <c r="F772" i="1"/>
  <c r="D772" i="1"/>
  <c r="F696" i="1"/>
  <c r="D696" i="1"/>
  <c r="M696" i="1"/>
  <c r="L606" i="1"/>
  <c r="L698" i="1"/>
  <c r="F207" i="1"/>
  <c r="D207" i="1"/>
  <c r="M207" i="1"/>
  <c r="L244" i="1"/>
  <c r="L700" i="1"/>
  <c r="M606" i="1"/>
  <c r="F606" i="1"/>
  <c r="D606" i="1"/>
  <c r="L618" i="1"/>
  <c r="M698" i="1"/>
  <c r="F698" i="1"/>
  <c r="D698" i="1"/>
  <c r="F244" i="1"/>
  <c r="D244" i="1"/>
  <c r="M244" i="1"/>
  <c r="G217" i="1"/>
  <c r="L213" i="1"/>
  <c r="M618" i="1"/>
  <c r="F618" i="1"/>
  <c r="D618" i="1"/>
  <c r="M700" i="1"/>
  <c r="F700" i="1"/>
  <c r="D700" i="1"/>
  <c r="L702" i="1"/>
  <c r="G787" i="1"/>
  <c r="L787" i="1"/>
  <c r="M787" i="1"/>
  <c r="F787" i="1"/>
  <c r="D787" i="1"/>
  <c r="L715" i="1"/>
  <c r="F715" i="1"/>
  <c r="D715" i="1"/>
  <c r="G219" i="1"/>
  <c r="L217" i="1"/>
  <c r="M213" i="1"/>
  <c r="F213" i="1"/>
  <c r="D213" i="1"/>
  <c r="L625" i="1"/>
  <c r="M625" i="1"/>
  <c r="F702" i="1"/>
  <c r="D702" i="1"/>
  <c r="M702" i="1"/>
  <c r="M715" i="1"/>
  <c r="G765" i="1"/>
  <c r="L765" i="1"/>
  <c r="F217" i="1"/>
  <c r="D217" i="1"/>
  <c r="M217" i="1"/>
  <c r="G221" i="1"/>
  <c r="L219" i="1"/>
  <c r="F625" i="1"/>
  <c r="D625" i="1"/>
  <c r="G223" i="1"/>
  <c r="G234" i="1"/>
  <c r="L234" i="1"/>
  <c r="G228" i="1"/>
  <c r="L228" i="1"/>
  <c r="F765" i="1"/>
  <c r="D765" i="1"/>
  <c r="M765" i="1"/>
  <c r="M219" i="1"/>
  <c r="F219" i="1"/>
  <c r="D219" i="1"/>
  <c r="G225" i="1"/>
  <c r="G230" i="1"/>
  <c r="L230" i="1"/>
  <c r="L221" i="1"/>
  <c r="L223" i="1"/>
  <c r="M223" i="1"/>
  <c r="G211" i="1"/>
  <c r="L211" i="1"/>
  <c r="F211" i="1"/>
  <c r="D211" i="1"/>
  <c r="F228" i="1"/>
  <c r="D228" i="1"/>
  <c r="M228" i="1"/>
  <c r="M234" i="1"/>
  <c r="F234" i="1"/>
  <c r="D234" i="1"/>
  <c r="F230" i="1"/>
  <c r="D230" i="1"/>
  <c r="M230" i="1"/>
  <c r="L729" i="1"/>
  <c r="F729" i="1"/>
  <c r="D729" i="1"/>
  <c r="G749" i="1"/>
  <c r="L749" i="1"/>
  <c r="M221" i="1"/>
  <c r="F221" i="1"/>
  <c r="D221" i="1"/>
  <c r="S942" i="1"/>
  <c r="I942" i="1"/>
  <c r="K942" i="1"/>
  <c r="M211" i="1"/>
  <c r="F223" i="1"/>
  <c r="D223" i="1"/>
  <c r="M729" i="1"/>
  <c r="M749" i="1"/>
  <c r="F749" i="1"/>
  <c r="D749" i="1"/>
  <c r="G215" i="1"/>
  <c r="L143" i="1"/>
  <c r="M942" i="1"/>
  <c r="F942" i="1"/>
  <c r="D942" i="1"/>
  <c r="N942" i="1"/>
  <c r="L215" i="1"/>
  <c r="L238" i="1"/>
  <c r="L248" i="1"/>
  <c r="M143" i="1"/>
  <c r="F143" i="1"/>
  <c r="D143" i="1"/>
  <c r="L614" i="1"/>
  <c r="F614" i="1"/>
  <c r="D614" i="1"/>
  <c r="F238" i="1"/>
  <c r="D238" i="1"/>
  <c r="M238" i="1"/>
  <c r="L246" i="1"/>
  <c r="G232" i="1"/>
  <c r="F248" i="1"/>
  <c r="D248" i="1"/>
  <c r="M248" i="1"/>
  <c r="F215" i="1"/>
  <c r="D215" i="1"/>
  <c r="M215" i="1"/>
  <c r="M614" i="1"/>
  <c r="L232" i="1"/>
  <c r="F232" i="1"/>
  <c r="D232" i="1"/>
  <c r="L236" i="1"/>
  <c r="F246" i="1"/>
  <c r="D246" i="1"/>
  <c r="M246" i="1"/>
  <c r="M232" i="1"/>
  <c r="F236" i="1"/>
  <c r="D236" i="1"/>
  <c r="M236" i="1"/>
  <c r="H461" i="1"/>
  <c r="AA461" i="1"/>
  <c r="N461" i="1"/>
  <c r="L461" i="1"/>
  <c r="M461" i="1"/>
  <c r="F461" i="1"/>
  <c r="D461" i="1"/>
  <c r="AL8" i="2"/>
  <c r="AD8" i="2"/>
  <c r="E8" i="2"/>
  <c r="D8" i="2"/>
  <c r="C8" i="2"/>
  <c r="H797" i="1"/>
  <c r="K226" i="1"/>
  <c r="AT8" i="2"/>
  <c r="K938" i="1"/>
  <c r="H937" i="1"/>
  <c r="K953" i="1"/>
  <c r="M953" i="1"/>
  <c r="H951" i="1"/>
  <c r="H727" i="1"/>
  <c r="K726" i="1"/>
  <c r="AA951" i="1"/>
  <c r="N951" i="1"/>
  <c r="L951" i="1"/>
  <c r="AA937" i="1"/>
  <c r="L937" i="1"/>
  <c r="N937" i="1"/>
  <c r="M938" i="1"/>
  <c r="N938" i="1"/>
  <c r="K724" i="1"/>
  <c r="H722" i="1"/>
  <c r="AA797" i="1"/>
  <c r="L797" i="1"/>
  <c r="N797" i="1"/>
  <c r="M226" i="1"/>
  <c r="N226" i="1"/>
  <c r="AA727" i="1"/>
  <c r="L727" i="1"/>
  <c r="N727" i="1"/>
  <c r="M726" i="1"/>
  <c r="N726" i="1"/>
  <c r="N722" i="1"/>
  <c r="AA722" i="1"/>
  <c r="L722" i="1"/>
  <c r="N724" i="1"/>
  <c r="M724" i="1"/>
  <c r="F797" i="1"/>
  <c r="D797" i="1"/>
  <c r="M797" i="1"/>
  <c r="M951" i="1"/>
  <c r="F951" i="1"/>
  <c r="D951" i="1"/>
  <c r="M727" i="1"/>
  <c r="F727" i="1"/>
  <c r="D727" i="1"/>
  <c r="F937" i="1"/>
  <c r="D937" i="1"/>
  <c r="M937" i="1"/>
  <c r="M722" i="1"/>
  <c r="F722" i="1"/>
  <c r="D722" i="1"/>
  <c r="L867" i="1"/>
  <c r="M867" i="1"/>
  <c r="F867" i="1"/>
  <c r="D867" i="1"/>
  <c r="N867" i="1"/>
  <c r="AA867" i="1"/>
  <c r="H903" i="1"/>
  <c r="L903" i="1"/>
  <c r="M903" i="1"/>
  <c r="F903" i="1"/>
  <c r="D903" i="1"/>
  <c r="AA903" i="1"/>
  <c r="N903" i="1"/>
  <c r="H354" i="1"/>
  <c r="L354" i="1"/>
  <c r="M354" i="1"/>
  <c r="F354" i="1"/>
  <c r="D354" i="1"/>
  <c r="N354" i="1"/>
  <c r="AA354" i="1"/>
  <c r="H478" i="1"/>
  <c r="L478" i="1"/>
  <c r="M478" i="1"/>
  <c r="F478" i="1"/>
  <c r="D478" i="1"/>
  <c r="N478" i="1"/>
  <c r="AA478" i="1"/>
  <c r="H550" i="1"/>
  <c r="AA550" i="1"/>
  <c r="N550" i="1"/>
  <c r="L550" i="1"/>
  <c r="M550" i="1"/>
  <c r="F550" i="1"/>
  <c r="D550" i="1"/>
  <c r="H225" i="1"/>
  <c r="L225" i="1"/>
  <c r="M225" i="1"/>
  <c r="F225" i="1"/>
  <c r="D225" i="1"/>
  <c r="N225" i="1"/>
  <c r="AA225" i="1"/>
  <c r="L686" i="1"/>
  <c r="M686" i="1"/>
  <c r="F686" i="1"/>
  <c r="D686" i="1"/>
  <c r="N686" i="1"/>
  <c r="AA686" i="1"/>
  <c r="H483" i="1"/>
  <c r="AA483" i="1"/>
  <c r="N483" i="1"/>
  <c r="L483" i="1"/>
  <c r="M483" i="1"/>
  <c r="F483" i="1"/>
  <c r="D483" i="1"/>
  <c r="H480" i="1"/>
  <c r="L480" i="1"/>
  <c r="M480" i="1"/>
  <c r="F480" i="1"/>
  <c r="D480" i="1"/>
  <c r="AA480" i="1"/>
  <c r="N480" i="1"/>
  <c r="H81" i="1"/>
  <c r="L81" i="1"/>
  <c r="F81" i="1"/>
  <c r="D81" i="1"/>
  <c r="M81" i="1"/>
  <c r="N81" i="1"/>
  <c r="AA81" i="1"/>
  <c r="H504" i="1"/>
  <c r="AA504" i="1"/>
  <c r="N504" i="1"/>
  <c r="L504" i="1"/>
  <c r="M504" i="1"/>
  <c r="F504" i="1"/>
  <c r="D504" i="1"/>
  <c r="H371" i="1"/>
  <c r="L371" i="1"/>
  <c r="F371" i="1"/>
  <c r="D371" i="1"/>
  <c r="M371" i="1"/>
  <c r="N371" i="1"/>
  <c r="AA371" i="1"/>
  <c r="H312" i="1"/>
  <c r="AA312" i="1"/>
  <c r="L312" i="1"/>
  <c r="F312" i="1"/>
  <c r="D312" i="1"/>
  <c r="N312" i="1"/>
  <c r="M312" i="1"/>
  <c r="H845" i="1"/>
  <c r="AA845" i="1"/>
  <c r="N845" i="1"/>
  <c r="L845" i="1"/>
  <c r="M845" i="1"/>
  <c r="F845" i="1"/>
  <c r="D845" i="1"/>
  <c r="H566" i="1"/>
  <c r="L566" i="1"/>
  <c r="M566" i="1"/>
  <c r="F566" i="1"/>
  <c r="D566" i="1"/>
  <c r="H316" i="1"/>
  <c r="L316" i="1"/>
  <c r="M316" i="1"/>
  <c r="N316" i="1"/>
  <c r="N566" i="1"/>
  <c r="F316" i="1"/>
  <c r="D316" i="1"/>
  <c r="AA566" i="1"/>
  <c r="AA316" i="1"/>
  <c r="H852" i="1"/>
  <c r="L852" i="1"/>
  <c r="F852" i="1"/>
  <c r="D852" i="1"/>
  <c r="M852" i="1"/>
  <c r="N852" i="1"/>
  <c r="AA852" i="1"/>
  <c r="H634" i="1"/>
  <c r="AA634" i="1"/>
  <c r="N634" i="1"/>
  <c r="L634" i="1"/>
  <c r="M634" i="1"/>
  <c r="F634" i="1"/>
  <c r="D634" i="1"/>
  <c r="H156" i="1"/>
  <c r="L156" i="1"/>
  <c r="F156" i="1"/>
  <c r="D156" i="1"/>
  <c r="M156" i="1"/>
  <c r="N156" i="1"/>
  <c r="AA1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GFS_생산관리_02</author>
    <author>관리자</author>
    <author>Administrator</author>
    <author>GFS_품질관리_06</author>
  </authors>
  <commentList>
    <comment ref="H144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GFS_</t>
        </r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>_02: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마요네즈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H160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GFS_</t>
        </r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>_02: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마요네즈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H169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GFS_</t>
        </r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>_02: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마요네즈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H174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GFS_</t>
        </r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>_02: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마요네즈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H19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GFS_</t>
        </r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>_02: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마요네즈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H192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GFS_</t>
        </r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>_02: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마요네즈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H193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GFS_</t>
        </r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>_02: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마요네즈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H212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GFS_</t>
        </r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>_02: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마요네즈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H216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GFS_</t>
        </r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>_02: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마요네즈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H229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GFS_</t>
        </r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>_02: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마요네즈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H23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GFS_</t>
        </r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>_02: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마요네즈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H237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GFS_</t>
        </r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>_02: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마요네즈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H239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GFS_</t>
        </r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>_02: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마요네즈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H24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GFS_</t>
        </r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>_02: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마요네즈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H245" authorId="0" shapeId="0" xr:uid="{00000000-0006-0000-0400-00000F000000}">
      <text>
        <r>
          <rPr>
            <b/>
            <sz val="9"/>
            <color indexed="81"/>
            <rFont val="Tahoma"/>
            <family val="2"/>
          </rPr>
          <t>GFS_</t>
        </r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>_02: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마요네즈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H247" authorId="0" shapeId="0" xr:uid="{00000000-0006-0000-0400-000010000000}">
      <text>
        <r>
          <rPr>
            <b/>
            <sz val="9"/>
            <color indexed="81"/>
            <rFont val="Tahoma"/>
            <family val="2"/>
          </rPr>
          <t>GFS_</t>
        </r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>_02: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마요네즈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H249" authorId="0" shapeId="0" xr:uid="{00000000-0006-0000-0400-000011000000}">
      <text>
        <r>
          <rPr>
            <b/>
            <sz val="9"/>
            <color indexed="81"/>
            <rFont val="Tahoma"/>
            <family val="2"/>
          </rPr>
          <t>GFS_</t>
        </r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>_02: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마요네즈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H251" authorId="0" shapeId="0" xr:uid="{00000000-0006-0000-0400-000012000000}">
      <text>
        <r>
          <rPr>
            <b/>
            <sz val="9"/>
            <color indexed="81"/>
            <rFont val="Tahoma"/>
            <family val="2"/>
          </rPr>
          <t>GFS_</t>
        </r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>_02: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마요네즈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</text>
    </comment>
    <comment ref="H438" authorId="0" shapeId="0" xr:uid="{00000000-0006-0000-0400-000013000000}">
      <text>
        <r>
          <rPr>
            <b/>
            <sz val="9"/>
            <color indexed="81"/>
            <rFont val="Tahoma"/>
            <family val="2"/>
          </rPr>
          <t>GFS_</t>
        </r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>_02: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뭘좋아할지몰라다넣어봤어</t>
        </r>
        <r>
          <rPr>
            <sz val="9"/>
            <color indexed="81"/>
            <rFont val="Tahoma"/>
            <family val="2"/>
          </rPr>
          <t xml:space="preserve"> 2.1g
</t>
        </r>
        <r>
          <rPr>
            <sz val="9"/>
            <color indexed="81"/>
            <rFont val="돋움"/>
            <family val="3"/>
            <charset val="129"/>
          </rPr>
          <t>판돌리고싶은중화요리</t>
        </r>
        <r>
          <rPr>
            <sz val="9"/>
            <color indexed="81"/>
            <rFont val="Tahoma"/>
            <family val="2"/>
          </rPr>
          <t xml:space="preserve"> 1.42g</t>
        </r>
      </text>
    </comment>
    <comment ref="H683" authorId="0" shapeId="0" xr:uid="{00000000-0006-0000-0400-000014000000}">
      <text>
        <r>
          <rPr>
            <b/>
            <sz val="9"/>
            <color indexed="81"/>
            <rFont val="Tahoma"/>
            <family val="2"/>
          </rPr>
          <t>GFS_</t>
        </r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>_02: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빅소불고기버거
</t>
        </r>
        <r>
          <rPr>
            <sz val="9"/>
            <color indexed="81"/>
            <rFont val="Tahoma"/>
            <family val="2"/>
          </rPr>
          <t>30.30g
2000</t>
        </r>
        <r>
          <rPr>
            <sz val="9"/>
            <color indexed="81"/>
            <rFont val="돋움"/>
            <family val="3"/>
            <charset val="129"/>
          </rPr>
          <t>개기준</t>
        </r>
        <r>
          <rPr>
            <sz val="9"/>
            <color indexed="81"/>
            <rFont val="Tahoma"/>
            <family val="2"/>
          </rPr>
          <t xml:space="preserve"> 55KG</t>
        </r>
      </text>
    </comment>
    <comment ref="J791" authorId="1" shapeId="0" xr:uid="{00000000-0006-0000-0400-000015000000}">
      <text>
        <r>
          <rPr>
            <b/>
            <sz val="9"/>
            <color indexed="81"/>
            <rFont val="돋움"/>
            <family val="3"/>
            <charset val="129"/>
          </rPr>
          <t>함수뒤에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
/500-14</t>
        </r>
      </text>
    </comment>
    <comment ref="AH871" authorId="2" shapeId="0" xr:uid="{00000000-0006-0000-0400-000016000000}">
      <text>
        <r>
          <rPr>
            <b/>
            <sz val="9"/>
            <color indexed="81"/>
            <rFont val="맑은 고딕"/>
            <family val="3"/>
            <charset val="129"/>
          </rPr>
          <t>기존발주량+추가발주량=최종발주량
ex: 10박스+10박스=20박스
기존발주량-삭제발주량=최종발주량
ex: 10박스-10박스=0박스</t>
        </r>
      </text>
    </comment>
    <comment ref="H922" authorId="3" shapeId="0" xr:uid="{00000000-0006-0000-0400-000017000000}">
      <text>
        <r>
          <rPr>
            <sz val="9"/>
            <color indexed="81"/>
            <rFont val="맑은 고딕"/>
            <family val="3"/>
            <charset val="129"/>
            <scheme val="major"/>
          </rPr>
          <t>고진많 4.13g
원물대파 대체
(고진많,뭘좋아할지)</t>
        </r>
      </text>
    </comment>
  </commentList>
</comments>
</file>

<file path=xl/sharedStrings.xml><?xml version="1.0" encoding="utf-8"?>
<sst xmlns="http://schemas.openxmlformats.org/spreadsheetml/2006/main" count="1787" uniqueCount="930">
  <si>
    <t>제품수량</t>
    <phoneticPr fontId="3" type="noConversion"/>
  </si>
  <si>
    <t>품목</t>
    <phoneticPr fontId="3" type="noConversion"/>
  </si>
  <si>
    <t>발주량박스</t>
    <phoneticPr fontId="3" type="noConversion"/>
  </si>
  <si>
    <t>입수량</t>
    <phoneticPr fontId="3" type="noConversion"/>
  </si>
  <si>
    <t>발주일수</t>
    <phoneticPr fontId="3" type="noConversion"/>
  </si>
  <si>
    <t>입고량(입수)</t>
    <phoneticPr fontId="3" type="noConversion"/>
  </si>
  <si>
    <t>차이</t>
    <phoneticPr fontId="3" type="noConversion"/>
  </si>
  <si>
    <t>단가(봉)</t>
    <phoneticPr fontId="3" type="noConversion"/>
  </si>
  <si>
    <t>[냉장] 당근채(4kg*3봉 - 1박스)</t>
  </si>
  <si>
    <t>[냉장] 우엉채(3kg*3봉 - 9kg * 1box)</t>
  </si>
  <si>
    <t>[냉장] 양배추(10kg*box)</t>
  </si>
  <si>
    <t>[냉장] 깐양파(10kg*1box)</t>
  </si>
  <si>
    <t>[냉장] 깐도라지채(2kg*1봉 - 10kg*1box)</t>
  </si>
  <si>
    <t>[냉장] 당근(10kg*1box)</t>
  </si>
  <si>
    <t>[냉장] 온천콩나물(4kg*1box)</t>
  </si>
  <si>
    <t>[냉장] 깻잎(2kg*1box)</t>
  </si>
  <si>
    <t>삼각)전주비빔</t>
    <phoneticPr fontId="3" type="noConversion"/>
  </si>
  <si>
    <t>[냉장] 깍두기(10kg*box)</t>
    <phoneticPr fontId="3" type="noConversion"/>
  </si>
  <si>
    <t>삼각)전주비빔</t>
  </si>
  <si>
    <t>[냉장] 고추장불고기소스(2kg*10봉)</t>
  </si>
  <si>
    <t xml:space="preserve">[냉장] 뉴비빔밥용고추장소스(PBOX) 2KG*10개입  </t>
  </si>
  <si>
    <t>[냉동] 냉동비프불고기토핑(1kg*10봉)</t>
  </si>
  <si>
    <t>야채류 중량 산출</t>
    <phoneticPr fontId="3" type="noConversion"/>
  </si>
  <si>
    <t>금일</t>
    <phoneticPr fontId="3" type="noConversion"/>
  </si>
  <si>
    <t>세팅값</t>
    <phoneticPr fontId="3" type="noConversion"/>
  </si>
  <si>
    <t>산출</t>
    <phoneticPr fontId="3" type="noConversion"/>
  </si>
  <si>
    <t>합계 (KG)</t>
    <phoneticPr fontId="3" type="noConversion"/>
  </si>
  <si>
    <t>원물중량(g)</t>
    <phoneticPr fontId="22" type="noConversion"/>
  </si>
  <si>
    <t>원물중량(g)</t>
    <phoneticPr fontId="22" type="noConversion"/>
  </si>
  <si>
    <t>삼각</t>
    <phoneticPr fontId="3" type="noConversion"/>
  </si>
  <si>
    <t>원물중량</t>
    <phoneticPr fontId="3" type="noConversion"/>
  </si>
  <si>
    <t>예상수량</t>
    <phoneticPr fontId="3" type="noConversion"/>
  </si>
  <si>
    <t>발주고 1시</t>
    <phoneticPr fontId="3" type="noConversion"/>
  </si>
  <si>
    <t>제품명</t>
    <phoneticPr fontId="3" type="noConversion"/>
  </si>
  <si>
    <t>참치</t>
    <phoneticPr fontId="3" type="noConversion"/>
  </si>
  <si>
    <t>볶음참깨</t>
    <phoneticPr fontId="3" type="noConversion"/>
  </si>
  <si>
    <t>성형장 (유장) / 취반실 확인</t>
    <phoneticPr fontId="3" type="noConversion"/>
  </si>
  <si>
    <t>김밥류</t>
    <phoneticPr fontId="3" type="noConversion"/>
  </si>
  <si>
    <t>삼각전주</t>
    <phoneticPr fontId="3" type="noConversion"/>
  </si>
  <si>
    <t>삼각2종</t>
    <phoneticPr fontId="3" type="noConversion"/>
  </si>
  <si>
    <t>김밥삼각</t>
    <phoneticPr fontId="3" type="noConversion"/>
  </si>
  <si>
    <t>버거샌드</t>
    <phoneticPr fontId="3" type="noConversion"/>
  </si>
  <si>
    <t>[상온] 진간장(1.8L*6통)-NS유통</t>
    <phoneticPr fontId="3" type="noConversion"/>
  </si>
  <si>
    <t>[냉장] 당근채(4kg*3봉 - 1박스)</t>
    <phoneticPr fontId="3" type="noConversion"/>
  </si>
  <si>
    <t>카톡</t>
    <phoneticPr fontId="3" type="noConversion"/>
  </si>
  <si>
    <t>[냉장] 간장소스K(2kg*10봉)</t>
    <phoneticPr fontId="3" type="noConversion"/>
  </si>
  <si>
    <t>[냉동] 나트륨줄인치킨가라야게(1kg*10봉)</t>
    <phoneticPr fontId="3" type="noConversion"/>
  </si>
  <si>
    <t>[냉장] 깻잎(2kg*1box)</t>
    <phoneticPr fontId="3" type="noConversion"/>
  </si>
  <si>
    <t>[상온] 미원(1kg*20봉)</t>
    <phoneticPr fontId="3" type="noConversion"/>
  </si>
  <si>
    <t>[냉장] 부추 (4kg*1box)</t>
  </si>
  <si>
    <t>정제염</t>
    <phoneticPr fontId="3" type="noConversion"/>
  </si>
  <si>
    <t>조미식초</t>
    <phoneticPr fontId="3" type="noConversion"/>
  </si>
  <si>
    <t>[냉장] 청피망(10kg*1box)</t>
  </si>
  <si>
    <t>[냉장] 홍피망(10kg*1box)</t>
  </si>
  <si>
    <t>[냉장] 부산어묵 볼 행복한맛남 (1kg*10봉)</t>
  </si>
  <si>
    <t>[냉동] (푸른원)냉동알마늘(1kg*10봉)</t>
  </si>
  <si>
    <t>[상온] 고미트햄 (340G*24EA)-한성</t>
  </si>
  <si>
    <t>[상온] 평화햅쌀(500kg/포)</t>
  </si>
  <si>
    <t>[냉장] 풋고추(1kg*5봉)</t>
    <phoneticPr fontId="3" type="noConversion"/>
  </si>
  <si>
    <t>[상온] 유니믹스N2(5kg*4봉)</t>
  </si>
  <si>
    <t>[냉동] 고추장돼지불고기토핑 (2kg*5봉)</t>
  </si>
  <si>
    <t xml:space="preserve">[상온] 점보롤김 450매*8롤 </t>
  </si>
  <si>
    <t>[냉장] 다시마조미식초소스(PBOX) 2KG*10개입</t>
  </si>
  <si>
    <t>[냉장] 마늘쫑(7kg*1box)</t>
    <phoneticPr fontId="3" type="noConversion"/>
  </si>
  <si>
    <t>[냉동] 한돈프리미엄돈카츠 (160g*8ea*8ea)</t>
  </si>
  <si>
    <t>[상온] 맛소금 (5KG*4EA) - NS유통</t>
  </si>
  <si>
    <t>거래처명</t>
    <phoneticPr fontId="3" type="noConversion"/>
  </si>
  <si>
    <t>발주량입수</t>
    <phoneticPr fontId="3" type="noConversion"/>
  </si>
  <si>
    <t>일사용량</t>
    <phoneticPr fontId="3" type="noConversion"/>
  </si>
  <si>
    <t>총재고량</t>
    <phoneticPr fontId="3" type="noConversion"/>
  </si>
  <si>
    <t>필요 값</t>
    <phoneticPr fontId="3" type="noConversion"/>
  </si>
  <si>
    <t>재고유지일</t>
    <phoneticPr fontId="3" type="noConversion"/>
  </si>
  <si>
    <t>발주량</t>
    <phoneticPr fontId="3" type="noConversion"/>
  </si>
  <si>
    <t>금액</t>
    <phoneticPr fontId="3" type="noConversion"/>
  </si>
  <si>
    <t>+0.5</t>
    <phoneticPr fontId="3" type="noConversion"/>
  </si>
  <si>
    <t xml:space="preserve"> </t>
    <phoneticPr fontId="3" type="noConversion"/>
  </si>
  <si>
    <t>[냉장] 골드88세절K(1kg*10봉)</t>
    <phoneticPr fontId="3" type="noConversion"/>
  </si>
  <si>
    <t>이메일 12시</t>
    <phoneticPr fontId="3" type="noConversion"/>
  </si>
  <si>
    <t>삼각)전주비빔</t>
    <phoneticPr fontId="3" type="noConversion"/>
  </si>
  <si>
    <t>[냉동] 70미니등심돈까스(1.05kg*8봉)-리뉴얼</t>
    <phoneticPr fontId="3" type="noConversion"/>
  </si>
  <si>
    <t>[상온] 대두유(18L*통)</t>
    <phoneticPr fontId="3" type="noConversion"/>
  </si>
  <si>
    <t>[상온] 스팸(340g*20캔)</t>
    <phoneticPr fontId="3" type="noConversion"/>
  </si>
  <si>
    <t>[상온] 하얀설탕(3kg*6봉)</t>
    <phoneticPr fontId="3" type="noConversion"/>
  </si>
  <si>
    <t>대상 주식회사 (D-2) 월화수목금</t>
    <phoneticPr fontId="3" type="noConversion"/>
  </si>
  <si>
    <t>[냉동] 고추장돼지불고기(2kg*5봉)</t>
    <phoneticPr fontId="3" type="noConversion"/>
  </si>
  <si>
    <t>[냉동] 반숙계란후라이 (900g( 45g* 20개)*8봉)-변경</t>
    <phoneticPr fontId="3" type="noConversion"/>
  </si>
  <si>
    <t>대상 주식회사 (D-2) 월화수목금</t>
    <phoneticPr fontId="3" type="noConversion"/>
  </si>
  <si>
    <t>발주고 1시</t>
    <phoneticPr fontId="3" type="noConversion"/>
  </si>
  <si>
    <t>[상온] 쇠고기 실속다시(2kg*6EA)</t>
    <phoneticPr fontId="3" type="noConversion"/>
  </si>
  <si>
    <t>한울 (D-2) 월화수목금</t>
    <phoneticPr fontId="3" type="noConversion"/>
  </si>
  <si>
    <t>한돈후지 D-2</t>
    <phoneticPr fontId="3" type="noConversion"/>
  </si>
  <si>
    <t>삼성웰스토리 (D-2) 월화수목금</t>
    <phoneticPr fontId="3" type="noConversion"/>
  </si>
  <si>
    <t>[상온] 고운고추분 1kg*20봉</t>
    <phoneticPr fontId="3" type="noConversion"/>
  </si>
  <si>
    <t>[상온] 케찹파우치(3kg*4봉)</t>
    <phoneticPr fontId="3" type="noConversion"/>
  </si>
  <si>
    <t>발주고 1시</t>
    <phoneticPr fontId="3" type="noConversion"/>
  </si>
  <si>
    <t>[냉장] 계란구이(세절)(1020g*12봉)</t>
    <phoneticPr fontId="3" type="noConversion"/>
  </si>
  <si>
    <t>[냉장] 야채계란말이(900g*12봉)</t>
    <phoneticPr fontId="3" type="noConversion"/>
  </si>
  <si>
    <t>성경 (D-1) 월화수목금</t>
    <phoneticPr fontId="3" type="noConversion"/>
  </si>
  <si>
    <t>[상온] 성경식품)재래도시락김 2G*10ea*24봉</t>
    <phoneticPr fontId="3" type="noConversion"/>
  </si>
  <si>
    <t>더원씨푸드 (D-1) 월화수목금</t>
    <phoneticPr fontId="3" type="noConversion"/>
  </si>
  <si>
    <t>발주고 1시</t>
    <phoneticPr fontId="3" type="noConversion"/>
  </si>
  <si>
    <t>만전식품 (D-1) 월화수목금</t>
    <phoneticPr fontId="3" type="noConversion"/>
  </si>
  <si>
    <t xml:space="preserve">[상온] 김밥김 3절 300매*50개입  </t>
    <phoneticPr fontId="3" type="noConversion"/>
  </si>
  <si>
    <t>[냉장] 매콤닭강정소스(2kg*10봉)</t>
    <phoneticPr fontId="3" type="noConversion"/>
  </si>
  <si>
    <t>[냉장] 너비아니양념소스J(PBOX) 2KG*10개입</t>
    <phoneticPr fontId="3" type="noConversion"/>
  </si>
  <si>
    <t>[냉장] 돈까스소스-FS(PBOX) 2KG*10개입  </t>
    <phoneticPr fontId="3" type="noConversion"/>
  </si>
  <si>
    <t>취반실</t>
    <phoneticPr fontId="3" type="noConversion"/>
  </si>
  <si>
    <t>[냉장] 조미식초소스(2kg*10봉)</t>
    <phoneticPr fontId="3" type="noConversion"/>
  </si>
  <si>
    <t>[냉장] 버거슬라이스치즈 (1.033kg*8pk)</t>
    <phoneticPr fontId="3" type="noConversion"/>
  </si>
  <si>
    <t>[냉동] 스크램블드에그(1kg*10) 업무용</t>
    <phoneticPr fontId="3" type="noConversion"/>
  </si>
  <si>
    <t>다인소재 (D-1) 월화수목금</t>
    <phoneticPr fontId="3" type="noConversion"/>
  </si>
  <si>
    <t>[상온] 유니믹스HG(5kg*4봉)</t>
    <phoneticPr fontId="3" type="noConversion"/>
  </si>
  <si>
    <t>데침,염수용</t>
    <phoneticPr fontId="3" type="noConversion"/>
  </si>
  <si>
    <t>[상온] 중국산정제염(25kg*포)-이우유통</t>
    <phoneticPr fontId="3" type="noConversion"/>
  </si>
  <si>
    <t>[냉장] 우엉채 (3kg×5pk)-반찬단지</t>
    <phoneticPr fontId="3" type="noConversion"/>
  </si>
  <si>
    <t>참치계산기 이용</t>
    <phoneticPr fontId="3" type="noConversion"/>
  </si>
  <si>
    <t>카톡 2시</t>
    <phoneticPr fontId="3" type="noConversion"/>
  </si>
  <si>
    <t>취반실 사용량, 단무지 계산기 시트</t>
    <phoneticPr fontId="3" type="noConversion"/>
  </si>
  <si>
    <t>[상온] 청학/볶음참깨(1kg*10봉)</t>
    <phoneticPr fontId="3" type="noConversion"/>
  </si>
  <si>
    <t>단무지 계산기 시트</t>
    <phoneticPr fontId="3" type="noConversion"/>
  </si>
  <si>
    <t>[상온] 청학/청학동참기름(1.8L*6EA)</t>
    <phoneticPr fontId="3" type="noConversion"/>
  </si>
  <si>
    <t>[냉동] 냉동시금치(1kg*10봉)</t>
    <phoneticPr fontId="3" type="noConversion"/>
  </si>
  <si>
    <t>[냉동] (푸른원)냉동대파슬라이스(1kg*10봉)</t>
    <phoneticPr fontId="3" type="noConversion"/>
  </si>
  <si>
    <t>[냉동] (푸른원)다진마늘(1kg*10봉)</t>
    <phoneticPr fontId="3" type="noConversion"/>
  </si>
  <si>
    <t>삼각)전주비빔</t>
    <phoneticPr fontId="3" type="noConversion"/>
  </si>
  <si>
    <t>[냉장] 어묵볶음용소스-FS(3kg*4봉)</t>
    <phoneticPr fontId="3" type="noConversion"/>
  </si>
  <si>
    <t>SPC삼립 (D-2) 월화수목금토</t>
    <phoneticPr fontId="3" type="noConversion"/>
  </si>
  <si>
    <t>삼립전산 4시</t>
    <phoneticPr fontId="3" type="noConversion"/>
  </si>
  <si>
    <t>야채 계산기" 시트 참고</t>
    <phoneticPr fontId="3" type="noConversion"/>
  </si>
  <si>
    <t>김밥류</t>
    <phoneticPr fontId="3" type="noConversion"/>
  </si>
  <si>
    <t>버거 고진많</t>
    <phoneticPr fontId="3" type="noConversion"/>
  </si>
  <si>
    <t>[냉장] 양배추(10kg*box)</t>
    <phoneticPr fontId="3" type="noConversion"/>
  </si>
  <si>
    <t>삼각 김밥 도시락</t>
    <phoneticPr fontId="3" type="noConversion"/>
  </si>
  <si>
    <t>삼각전주</t>
    <phoneticPr fontId="3" type="noConversion"/>
  </si>
  <si>
    <t>전주비빔,커플,고진많,알찬</t>
    <phoneticPr fontId="3" type="noConversion"/>
  </si>
  <si>
    <t>[냉장] 당근(10kg*1box)</t>
    <phoneticPr fontId="3" type="noConversion"/>
  </si>
  <si>
    <t>삼각전주</t>
    <phoneticPr fontId="3" type="noConversion"/>
  </si>
  <si>
    <t>김밥 삼각</t>
    <phoneticPr fontId="3" type="noConversion"/>
  </si>
  <si>
    <t>야채 계산기" 시트 참고</t>
    <phoneticPr fontId="3" type="noConversion"/>
  </si>
  <si>
    <t>슈퍼,혜자4종도시락</t>
    <phoneticPr fontId="3" type="noConversion"/>
  </si>
  <si>
    <t>제육쌈김밥</t>
    <phoneticPr fontId="3" type="noConversion"/>
  </si>
  <si>
    <t xml:space="preserve"> </t>
    <phoneticPr fontId="3" type="noConversion"/>
  </si>
  <si>
    <t>[냉장] 깐양파(10kg*1box)</t>
    <phoneticPr fontId="3" type="noConversion"/>
  </si>
  <si>
    <t>[냉장] 콘버터G (1kg*10봉)</t>
  </si>
  <si>
    <t>[냉장] 종가)맛김치 (10kg*2ea)</t>
  </si>
  <si>
    <t>[냉장] 김치볶음밥용소스(PBOX) 2KG*10개입</t>
    <phoneticPr fontId="3" type="noConversion"/>
  </si>
  <si>
    <t>대왕비빔밥</t>
  </si>
  <si>
    <t>[냉장]청양식매운맛간장소스(PBOX) 2KG*10개입</t>
  </si>
  <si>
    <t>발주고 1시</t>
    <phoneticPr fontId="3" type="noConversion"/>
  </si>
  <si>
    <t>카톡 월수금 입고</t>
    <phoneticPr fontId="3" type="noConversion"/>
  </si>
  <si>
    <t>[냉장] 햄마카로니샐러드(1kg*10봉)</t>
    <phoneticPr fontId="3" type="noConversion"/>
  </si>
  <si>
    <t>[냉장] 애호박(6kg*1box)</t>
    <phoneticPr fontId="3" type="noConversion"/>
  </si>
  <si>
    <t>헤자)너비아니닭강정</t>
    <phoneticPr fontId="3" type="noConversion"/>
  </si>
  <si>
    <t>[상온] 채단무지(2.8kg*4ea)</t>
  </si>
  <si>
    <t>.</t>
    <phoneticPr fontId="3" type="noConversion"/>
  </si>
  <si>
    <t xml:space="preserve"> </t>
    <phoneticPr fontId="3" type="noConversion"/>
  </si>
  <si>
    <t>[상온] 리챔 (340g*24ea)</t>
  </si>
  <si>
    <t>[냉동] 간장돼지불고기(3KG*3EA)</t>
    <phoneticPr fontId="3" type="noConversion"/>
  </si>
  <si>
    <t>[냉장] 비빔밥용고추장소스 (2kg*5ea)</t>
  </si>
  <si>
    <t>[상온] 흑미 10KG*1개입</t>
  </si>
  <si>
    <t>[냉장] 깐도라지채(2kg*1봉 - 10kg*1box)</t>
    <phoneticPr fontId="3" type="noConversion"/>
  </si>
  <si>
    <t>[냉장]조청닭강정소스(2kg*10ea)</t>
  </si>
  <si>
    <t>[상온]바릴라스파게티면(종이BOX) 5KG*3EA</t>
  </si>
  <si>
    <t>[냉동]매콤한양념닭갈비(2kg*5ea)</t>
  </si>
  <si>
    <t>[냉동]청정원떡갈비(1kg*8ea)</t>
  </si>
  <si>
    <t>[냉장]델립비엔나(1kg*8ea)</t>
    <phoneticPr fontId="3" type="noConversion"/>
  </si>
  <si>
    <t>[냉장]통통쏘야소스(3kg*4ea)</t>
  </si>
  <si>
    <t>[냉동]계란옷입은동그랑땡(1kg*8ea)</t>
  </si>
  <si>
    <t>[상온] 핫도그번 ((1봉*6EA)*6봉))</t>
  </si>
  <si>
    <t>[상온] 청정원돼지불고기양념(2kg*8ea)</t>
  </si>
  <si>
    <t>[냉동] 미트볼골드(1kg*10ea)</t>
  </si>
  <si>
    <t>[냉동] 등심돈까스140((140g*10ea)8ea)</t>
  </si>
  <si>
    <t>[냉장] 경양식돈까스소스H(소포장)(50g*240ea)</t>
  </si>
  <si>
    <r>
      <t xml:space="preserve">하루 물량 입력하면
</t>
    </r>
    <r>
      <rPr>
        <b/>
        <sz val="10"/>
        <color rgb="FFFF0000"/>
        <rFont val="맑은 고딕"/>
        <family val="3"/>
        <charset val="129"/>
        <scheme val="minor"/>
      </rPr>
      <t>&lt;야채계산기, 마요네즈,참치계산기, 단무지계산기&gt;</t>
    </r>
    <r>
      <rPr>
        <b/>
        <sz val="10"/>
        <color theme="1"/>
        <rFont val="맑은 고딕"/>
        <family val="3"/>
        <charset val="129"/>
        <scheme val="minor"/>
      </rPr>
      <t>시트에
야채, (정량 반영)
마요네즈, 단무지, 참깨, 참기름 (정량) , 참치 (일별 10% 여유반영)
필요량 자동 산출됨</t>
    </r>
    <phoneticPr fontId="3" type="noConversion"/>
  </si>
  <si>
    <t>슈퍼)착한참치마요김밥</t>
  </si>
  <si>
    <t>슈퍼)착한참치마요김밥</t>
    <phoneticPr fontId="3" type="noConversion"/>
  </si>
  <si>
    <t>도시락</t>
    <phoneticPr fontId="3" type="noConversion"/>
  </si>
  <si>
    <t>풀삼각</t>
    <phoneticPr fontId="3" type="noConversion"/>
  </si>
  <si>
    <t>필요량</t>
    <phoneticPr fontId="3" type="noConversion"/>
  </si>
  <si>
    <t>총 필요량</t>
    <phoneticPr fontId="3" type="noConversion"/>
  </si>
  <si>
    <t>마요네즈</t>
    <phoneticPr fontId="3" type="noConversion"/>
  </si>
  <si>
    <t>참기름(1.8L)</t>
    <phoneticPr fontId="3" type="noConversion"/>
  </si>
  <si>
    <t>[냉장] 진미채견과볶음(1kg*10ea)</t>
  </si>
  <si>
    <t>갯수토핑</t>
    <phoneticPr fontId="3" type="noConversion"/>
  </si>
  <si>
    <t>금일재고(봉)</t>
    <phoneticPr fontId="3" type="noConversion"/>
  </si>
  <si>
    <t>[상온] 신슈단무지(꼬들단무지) (1kg*10pk )</t>
    <phoneticPr fontId="3" type="noConversion"/>
  </si>
  <si>
    <t>[냉장]후천)파프리카소스(2kg*8ea)</t>
  </si>
  <si>
    <t>[상온] 카라멜소스(2.4KG*5EA)</t>
  </si>
  <si>
    <t>[냉장] 숯불구이맛김밥햄(200g*30ea)</t>
  </si>
  <si>
    <t>슈퍼)착한김치김밥</t>
  </si>
  <si>
    <t>슈퍼)착한김치김밥</t>
    <phoneticPr fontId="3" type="noConversion"/>
  </si>
  <si>
    <t>┌무스비 3절김 1/2컷팅 사용( 300매 * 2 해야함)</t>
    <phoneticPr fontId="3" type="noConversion"/>
  </si>
  <si>
    <t>성경)돌자반(500g*6ea)</t>
  </si>
  <si>
    <t>[냉장] 삼각치킨조미소스(PBOX) 2KG*10개입 </t>
  </si>
  <si>
    <t>[냉동] 우유튀김(1kg*10ea)</t>
    <phoneticPr fontId="3" type="noConversion"/>
  </si>
  <si>
    <t>[상온] 오도리가쓰오부시(500g*4ea)</t>
  </si>
  <si>
    <t>[상온] 치킨파우더(1KG*12EA)</t>
  </si>
  <si>
    <t>양편냉장고:4박스에 까놓음</t>
    <phoneticPr fontId="3" type="noConversion"/>
  </si>
  <si>
    <t>[냉동] 세블락후랑크 CVS(1kg*10ea)</t>
  </si>
  <si>
    <t>혜자)
돌아온
명불허전</t>
  </si>
  <si>
    <t>[냉동] 크레잇꼬마돈카츠(1kg(90ea)*8봉)</t>
  </si>
  <si>
    <t>[냉동] 더 잘군 불향가득 츠쿠네 (2kg*5ea)</t>
  </si>
  <si>
    <t>[냉장] 츠쿠네소스 (2kg*10ea)</t>
  </si>
  <si>
    <t>[냉장] 매운돈까스소스 (2kg*10ea)</t>
  </si>
  <si>
    <t>[냉동] 매콤고추장제육불고기 (3kg*6ea)</t>
  </si>
  <si>
    <t>[냉장]토마토파스타소스(2kg*6ea)</t>
    <phoneticPr fontId="3" type="noConversion"/>
  </si>
  <si>
    <t>[냉동] 혜자토네이도소시지 [(55g*14ea) *12봉]</t>
  </si>
  <si>
    <t>[상온] 오쉐프_허니마스타드 드레싱 (2kg*6ea)</t>
  </si>
  <si>
    <t>슈퍼)착한핫도그(사라다)</t>
  </si>
  <si>
    <t>슈퍼)착한핫도그(사라다)</t>
    <phoneticPr fontId="3" type="noConversion"/>
  </si>
  <si>
    <t>슈퍼)착한핫도그(오리지널)</t>
  </si>
  <si>
    <t>슈퍼)착한핫도그(오리지널)</t>
    <phoneticPr fontId="3" type="noConversion"/>
  </si>
  <si>
    <t>[상온] 고추맛기름(1.5L*9통)-NS유통</t>
  </si>
  <si>
    <t>카톡 13시</t>
    <phoneticPr fontId="3" type="noConversion"/>
  </si>
  <si>
    <t>[상온] 청정원_매운갈비양념(2kg*8ea)</t>
  </si>
  <si>
    <t>[상온] 참치(2kg*5봉)-사조대림</t>
  </si>
  <si>
    <r>
      <t xml:space="preserve">055-582-2600  </t>
    </r>
    <r>
      <rPr>
        <b/>
        <i/>
        <u/>
        <sz val="9"/>
        <rFont val="맑은 고딕"/>
        <family val="3"/>
        <charset val="129"/>
        <scheme val="minor"/>
      </rPr>
      <t>이경진 주임</t>
    </r>
    <phoneticPr fontId="3" type="noConversion"/>
  </si>
  <si>
    <t>[상온] 들기름 (1.8L*6ea)</t>
  </si>
  <si>
    <t>[냉장] 미니백볶음김치(3kg*8ea)</t>
  </si>
  <si>
    <t>[냉장] 청상추(2kg*1box)</t>
  </si>
  <si>
    <t>[냉장] 청상추(2kg*1box)</t>
    <phoneticPr fontId="3" type="noConversion"/>
  </si>
  <si>
    <t>[냉동] 찌개용어슷후랑크(1kg*10ea)</t>
  </si>
  <si>
    <t>사조오양)하이비엔나(1kg*10ea)</t>
  </si>
  <si>
    <t>현대그린푸드 (D-2) 월화수목금</t>
    <phoneticPr fontId="3" type="noConversion"/>
  </si>
  <si>
    <t>[냉동] 열무나물(1KG*6봉) - 현대그린</t>
  </si>
  <si>
    <t>[냉동] 건새우마늘쫑볶음(1kg*6ea)</t>
  </si>
  <si>
    <t>[냉장] 돈까스소스(소포장) 30g*420개입</t>
  </si>
  <si>
    <t>[냉장] 쏘야볶음소스H (2kg*10ea)</t>
  </si>
  <si>
    <t>[상온] 농가참기름(소포장) (3ml*2000ea)-이우유통</t>
  </si>
  <si>
    <t>[상온] 그래도푸드)노란단무지13mm (2.5kg*4ea)</t>
  </si>
  <si>
    <t>[상온] 청학/청학동참기름(16.5kg/통)</t>
  </si>
  <si>
    <t>[상온] 검은깨(1kg*10ea)</t>
  </si>
  <si>
    <t>[냉장] 게맛살(1.2kg*10봉)</t>
  </si>
  <si>
    <t>[냉동] 미니사각어묵 (1kg*10ea)</t>
  </si>
  <si>
    <t>[냉동] 치킨스테이크 행복한맛남 (1.2kg*8ea)</t>
  </si>
  <si>
    <t>[냉동] 연탄구이맛 간장제육불고기(3kg*3ea)</t>
  </si>
  <si>
    <t>[냉동] 선진매콤제육 (2kg*6ea)</t>
  </si>
  <si>
    <t>[냉동] 선진매콤오징어 (2kg*6ea)</t>
  </si>
  <si>
    <t>[냉장] 우엉볶음용간장소스(저염)(2kg*10ea)</t>
  </si>
  <si>
    <t>[냉동] (푸른원)냉동 혼합야채 4종(1kg*10ea)</t>
  </si>
  <si>
    <t>후레쉬미트 (D-1) 월화수목금</t>
    <phoneticPr fontId="3" type="noConversion"/>
  </si>
  <si>
    <t>카톡 11시</t>
    <phoneticPr fontId="3" type="noConversion"/>
  </si>
  <si>
    <t>[상온] 이온물엿 (8L*1통)</t>
    <phoneticPr fontId="3" type="noConversion"/>
  </si>
  <si>
    <t>[상온] 혼다시(1kg*12통)</t>
    <phoneticPr fontId="3" type="noConversion"/>
  </si>
  <si>
    <t>즉석스모크햄세절(1kg*10ea)</t>
  </si>
  <si>
    <t>[냉장]닭갈비소스-J (3kg*5ea)</t>
  </si>
  <si>
    <t>[냉동] 두부두루치기용다짐육(2kg*6ea)</t>
  </si>
  <si>
    <t>[상온] 화풍표고버섯채(종이BOX) 2.84KG*6캔</t>
  </si>
  <si>
    <t>슈퍼)착한핫도그(사라다)</t>
    <phoneticPr fontId="3" type="noConversion"/>
  </si>
  <si>
    <t>[냉장] 깐쪽파 (1kg*2ea)</t>
  </si>
  <si>
    <t>[냉장] 깐대파(2kg/box)</t>
  </si>
  <si>
    <t>[냉장] 대파크림소스(PBOX) 2KG*9개입</t>
  </si>
  <si>
    <t>[냉동] 전지베이컨(1kg*10봉)</t>
  </si>
  <si>
    <t>[상온] 단풍당시럽(1kg*13ea)</t>
  </si>
  <si>
    <t>고추장불고기A 대체중</t>
    <phoneticPr fontId="3" type="noConversion"/>
  </si>
  <si>
    <t>후레쉬미트 사용중</t>
    <phoneticPr fontId="3" type="noConversion"/>
  </si>
  <si>
    <t>THE근본김밥</t>
    <phoneticPr fontId="3" type="noConversion"/>
  </si>
  <si>
    <t>THE근본김밥</t>
    <phoneticPr fontId="3" type="noConversion"/>
  </si>
  <si>
    <t>[냉장] 김밥용조미에센스소스(PBOX) 2KG*10개입</t>
  </si>
  <si>
    <t>[냉장] 김밥용어묵슬라이스(1kg*6ea)</t>
  </si>
  <si>
    <t>[냉장] 더커진계란구이(1.02kg*12ea)</t>
  </si>
  <si>
    <t>더블치즈소시지김밥</t>
    <phoneticPr fontId="3" type="noConversion"/>
  </si>
  <si>
    <t>더블치즈소시지김밥</t>
    <phoneticPr fontId="3" type="noConversion"/>
  </si>
  <si>
    <t>[냉장] 할라피뇨칠리소스(3kg*5ea)</t>
  </si>
  <si>
    <t>[상온] 늘푸른할라피뇨랠리쉬 (3kg*6캔)</t>
  </si>
  <si>
    <t>[냉장] 치즈콕콕소시지(1.4kg*8ea) (1봉=100g*14ea)</t>
  </si>
  <si>
    <t>유장용</t>
    <phoneticPr fontId="3" type="noConversion"/>
  </si>
  <si>
    <t>더블치즈소시지김밥</t>
  </si>
  <si>
    <t>왕돈까스김밥</t>
    <phoneticPr fontId="3" type="noConversion"/>
  </si>
  <si>
    <t>불고기치즈김밥</t>
    <phoneticPr fontId="3" type="noConversion"/>
  </si>
  <si>
    <t>왕돈까스김밥</t>
    <phoneticPr fontId="3" type="noConversion"/>
  </si>
  <si>
    <t>불고기치즈김밥</t>
    <phoneticPr fontId="3" type="noConversion"/>
  </si>
  <si>
    <t>[냉동] 대파불고기양념육(2kg*6ea)</t>
    <phoneticPr fontId="3" type="noConversion"/>
  </si>
  <si>
    <t>믹싱용</t>
    <phoneticPr fontId="3" type="noConversion"/>
  </si>
  <si>
    <t>후레쉬서브 천안 (D-1) 월화수목금</t>
    <phoneticPr fontId="3" type="noConversion"/>
  </si>
  <si>
    <t>[냉장] 김밥용돈까스소스(PBOX) 2KG*10개입</t>
  </si>
  <si>
    <t>착한마파두부덮밥</t>
    <phoneticPr fontId="3" type="noConversion"/>
  </si>
  <si>
    <t>착한마파두부덮밥</t>
    <phoneticPr fontId="3" type="noConversion"/>
  </si>
  <si>
    <t>[냉장] 조리편한조각두부(3kg*3ea)</t>
  </si>
  <si>
    <t>[냉장] 마파두부소스(3kg*5ea)</t>
  </si>
  <si>
    <t>[상온] 서원)K2순후추(200g*50ea)</t>
  </si>
  <si>
    <t>[냉장] 마라상궈소스(2kg*5ea)</t>
  </si>
  <si>
    <t>[냉장] 송송오이피클(1kg*6ea)</t>
    <phoneticPr fontId="3" type="noConversion"/>
  </si>
  <si>
    <t xml:space="preserve">[냉장] 삼각용다시마취반소스(PBOX) 2KG*10개입	</t>
  </si>
  <si>
    <t>참기름(16.5KG/통)</t>
    <phoneticPr fontId="3" type="noConversion"/>
  </si>
  <si>
    <t>취반용</t>
    <phoneticPr fontId="3" type="noConversion"/>
  </si>
  <si>
    <t>취반염수</t>
    <phoneticPr fontId="3" type="noConversion"/>
  </si>
  <si>
    <t>[상온] 동원)참치다시(1kg*10ea)</t>
  </si>
  <si>
    <t>[상온] 점보삼각김(투명패턴) 100매*32개입</t>
  </si>
  <si>
    <t>오뚜기</t>
    <phoneticPr fontId="3" type="noConversion"/>
  </si>
  <si>
    <t>[냉동] (토핑용)부드러운고추장제육불고기(2kg*5ea)</t>
  </si>
  <si>
    <t>[냉장] 볶음김치소스Y(PBOX) 2KG*10개입</t>
  </si>
  <si>
    <t>종가)김치제육김밥</t>
    <phoneticPr fontId="3" type="noConversion"/>
  </si>
  <si>
    <t>[냉동] (토핑용)김치제육용불고기(2kg*5ea)</t>
  </si>
  <si>
    <t>데침용</t>
    <phoneticPr fontId="3" type="noConversion"/>
  </si>
  <si>
    <t>계량용</t>
    <phoneticPr fontId="3" type="noConversion"/>
  </si>
  <si>
    <t>[냉장] 불맛향미유 (2kg*5ea)</t>
    <phoneticPr fontId="3" type="noConversion"/>
  </si>
  <si>
    <t>더큰)스팸계란볶음밥</t>
    <phoneticPr fontId="3" type="noConversion"/>
  </si>
  <si>
    <t>더큰)스팸계란볶음밥</t>
    <phoneticPr fontId="3" type="noConversion"/>
  </si>
  <si>
    <t>착한제육덮밥</t>
    <phoneticPr fontId="3" type="noConversion"/>
  </si>
  <si>
    <t>착한제육덮밥</t>
    <phoneticPr fontId="3" type="noConversion"/>
  </si>
  <si>
    <t>[냉동] 크레잇)고추장돼지불고기(3KG*3EA)</t>
    <phoneticPr fontId="3" type="noConversion"/>
  </si>
  <si>
    <t>더큰)스팸김치볶음밥</t>
  </si>
  <si>
    <t>더큰)리챔참치마요</t>
  </si>
  <si>
    <t>[상온] 오뚜기GS마요네즈 (10kg*1ea)</t>
  </si>
  <si>
    <t>더큰)스팸계란볶음밥</t>
  </si>
  <si>
    <t>삼각)저당전주비빔</t>
    <phoneticPr fontId="3" type="noConversion"/>
  </si>
  <si>
    <t>[냉장] 비빔밥용고추장소스H(PBOX) 2KG*10개입</t>
  </si>
  <si>
    <t>삼각)저당전주비빔</t>
    <phoneticPr fontId="3" type="noConversion"/>
  </si>
  <si>
    <t>[냉장] 고추장불고기소스H(PBOX) 2KG*10개입</t>
  </si>
  <si>
    <t>볶음용</t>
    <phoneticPr fontId="3" type="noConversion"/>
  </si>
  <si>
    <t>로터리용</t>
    <phoneticPr fontId="3" type="noConversion"/>
  </si>
  <si>
    <t>통합구매 14시</t>
    <phoneticPr fontId="3" type="noConversion"/>
  </si>
  <si>
    <t>통합구매 13시</t>
    <phoneticPr fontId="3" type="noConversion"/>
  </si>
  <si>
    <t>[냉장] 세천팜)김밥단무지 (2.5kg*4ea)</t>
  </si>
  <si>
    <t>[냉장]칼집두툼비엔나(1KG*10봉)</t>
    <phoneticPr fontId="3" type="noConversion"/>
  </si>
  <si>
    <t>[상온] CJ백설 돼지갈비양념(10KG*1EA)</t>
    <phoneticPr fontId="3" type="noConversion"/>
  </si>
  <si>
    <t>슈퍼)착한참치마요김밥</t>
    <phoneticPr fontId="3" type="noConversion"/>
  </si>
  <si>
    <t>더큰)스팸김치볶음밥</t>
    <phoneticPr fontId="3" type="noConversion"/>
  </si>
  <si>
    <t>매일유업 (D-2) 월수금</t>
    <phoneticPr fontId="3" type="noConversion"/>
  </si>
  <si>
    <t>[냉장] 쌈장마요소스(3KG*5EA)</t>
  </si>
  <si>
    <t>[냉장] 쉐프원 불맛베이스(캡파우치)(2kg*5ea)</t>
  </si>
  <si>
    <t>[냉장] 마일드체다SOS치즈(960g*16ea)</t>
    <phoneticPr fontId="3" type="noConversion"/>
  </si>
  <si>
    <t>[냉동] 양파슬라이스(2kg*5ea)</t>
  </si>
  <si>
    <t>직화)한돈제육쌈김밥</t>
    <phoneticPr fontId="3" type="noConversion"/>
  </si>
  <si>
    <t>직화)한돈제육쌈김밥</t>
  </si>
  <si>
    <t>직화)한돈제육쌈김밥</t>
    <phoneticPr fontId="3" type="noConversion"/>
  </si>
  <si>
    <t>유장용</t>
    <phoneticPr fontId="3" type="noConversion"/>
  </si>
  <si>
    <t>취반용</t>
    <phoneticPr fontId="3" type="noConversion"/>
  </si>
  <si>
    <t>[상온] 살코기참치(3kg*5팩)-S&amp;P</t>
  </si>
  <si>
    <t>취반염수,데침</t>
    <phoneticPr fontId="3" type="noConversion"/>
  </si>
  <si>
    <t>취반염수</t>
    <phoneticPr fontId="3" type="noConversion"/>
  </si>
  <si>
    <t>로터리용</t>
    <phoneticPr fontId="3" type="noConversion"/>
  </si>
  <si>
    <t>[상온] 삼각김(투명_들기름) 100매*32개입</t>
    <phoneticPr fontId="3" type="noConversion"/>
  </si>
  <si>
    <t>이달의도시락6월(미식편)</t>
    <phoneticPr fontId="3" type="noConversion"/>
  </si>
  <si>
    <t>[상온] 쉐프원 두번자른화영당면 (1kg*10ea)</t>
  </si>
  <si>
    <t>[냉동] 불향가득떡고기말이(구이) (2kg*5pk)</t>
  </si>
  <si>
    <t>[냉장] 조리편한조각두부(부침용) (3kg(88ea)*3pk)</t>
  </si>
  <si>
    <t>[냉장] 명란마요용소스 (3kg*5ea)</t>
  </si>
  <si>
    <t>[냉동] 마일드순살치킨 (95g(10ea)*12pk)</t>
  </si>
  <si>
    <t>[냉동] 무색명란분란 (1kg*10pk)</t>
  </si>
  <si>
    <t>일사용량(박스)</t>
    <phoneticPr fontId="3" type="noConversion"/>
  </si>
  <si>
    <t>진주전산 13시</t>
    <phoneticPr fontId="3" type="noConversion"/>
  </si>
  <si>
    <t>CJ전산 11시</t>
    <phoneticPr fontId="3" type="noConversion"/>
  </si>
  <si>
    <t>CJ전산 16시</t>
    <phoneticPr fontId="3" type="noConversion"/>
  </si>
  <si>
    <t>일사용량+튀김실+취반실</t>
    <phoneticPr fontId="3" type="noConversion"/>
  </si>
  <si>
    <t>[냉장] 마당놀이2(사각어묵)(1kg*10ea)</t>
    <phoneticPr fontId="3" type="noConversion"/>
  </si>
  <si>
    <t>[냉장] 알뜰어묵볼대림 (1kg*10봉)</t>
    <phoneticPr fontId="3" type="noConversion"/>
  </si>
  <si>
    <t>GS통합구매 14시</t>
    <phoneticPr fontId="3" type="noConversion"/>
  </si>
  <si>
    <t>선진FS (D-2) 월수금</t>
    <phoneticPr fontId="3" type="noConversion"/>
  </si>
  <si>
    <t>반찬단지 (D-2) 월수금</t>
    <phoneticPr fontId="3" type="noConversion"/>
  </si>
  <si>
    <t>그래도푸드 (D-2) 월수금</t>
    <phoneticPr fontId="3" type="noConversion"/>
  </si>
  <si>
    <t>와이디에스 (D-2) 월수금</t>
    <phoneticPr fontId="3" type="noConversion"/>
  </si>
  <si>
    <t>카톡 15시</t>
    <phoneticPr fontId="3" type="noConversion"/>
  </si>
  <si>
    <t>NS유통 (D-2) 화금</t>
    <phoneticPr fontId="3" type="noConversion"/>
  </si>
  <si>
    <t>사조대림 (D-2) 목</t>
    <phoneticPr fontId="3" type="noConversion"/>
  </si>
  <si>
    <t>카톡 14시</t>
    <phoneticPr fontId="3" type="noConversion"/>
  </si>
  <si>
    <t>주1회 발주</t>
    <phoneticPr fontId="3" type="noConversion"/>
  </si>
  <si>
    <t>주 1회 발주 (화,수 중 입고)</t>
    <phoneticPr fontId="3" type="noConversion"/>
  </si>
  <si>
    <t>에스엔피인터내셔널 (D-2) 화수목금</t>
    <phoneticPr fontId="3" type="noConversion"/>
  </si>
  <si>
    <t>사조오양 (D-2) 월수금</t>
    <phoneticPr fontId="3" type="noConversion"/>
  </si>
  <si>
    <t>풍림푸드 (D-1) 화목토</t>
    <phoneticPr fontId="3" type="noConversion"/>
  </si>
  <si>
    <t>진주햄 (D-1) 월화수목금토</t>
    <phoneticPr fontId="3" type="noConversion"/>
  </si>
  <si>
    <t>씨제이제일제당 (D-1) 월화수목금토</t>
    <phoneticPr fontId="3" type="noConversion"/>
  </si>
  <si>
    <t>한성기업 (D-2) 월화수목금토</t>
    <phoneticPr fontId="3" type="noConversion"/>
  </si>
  <si>
    <t>아워홈 (D-2) 월화수목금토</t>
    <phoneticPr fontId="3" type="noConversion"/>
  </si>
  <si>
    <t>지앤원 (D-2) 월수금</t>
    <phoneticPr fontId="3" type="noConversion"/>
  </si>
  <si>
    <t>엠디에스코리아 (D-2) 월수금</t>
    <phoneticPr fontId="3" type="noConversion"/>
  </si>
  <si>
    <t>전산등록 14시</t>
    <phoneticPr fontId="3" type="noConversion"/>
  </si>
  <si>
    <t>GS통합구매 11시</t>
    <phoneticPr fontId="3" type="noConversion"/>
  </si>
  <si>
    <t>이우유통 (D-2) 월수금</t>
    <phoneticPr fontId="3" type="noConversion"/>
  </si>
  <si>
    <t>제니코 (D-1) 월수금</t>
    <phoneticPr fontId="3" type="noConversion"/>
  </si>
  <si>
    <t>카톡13시</t>
    <phoneticPr fontId="3" type="noConversion"/>
  </si>
  <si>
    <t>동원산업 (D-2) 화목토</t>
    <phoneticPr fontId="3" type="noConversion"/>
  </si>
  <si>
    <t>에프와이지 (D-2) 화목토</t>
    <phoneticPr fontId="3" type="noConversion"/>
  </si>
  <si>
    <t>부림 (D-2) 월수금</t>
    <phoneticPr fontId="3" type="noConversion"/>
  </si>
  <si>
    <t>평화 (D-2) 월수금</t>
    <phoneticPr fontId="3" type="noConversion"/>
  </si>
  <si>
    <t>금행물류/ 청학 (D-2) 화목토</t>
    <phoneticPr fontId="3" type="noConversion"/>
  </si>
  <si>
    <t>금행물류/ 푸른원 (D-2) 화목토</t>
    <phoneticPr fontId="3" type="noConversion"/>
  </si>
  <si>
    <t>농심태경 (D-2) 화목토</t>
    <phoneticPr fontId="3" type="noConversion"/>
  </si>
  <si>
    <t>일미농수산 (D-2) 화목토</t>
    <phoneticPr fontId="3" type="noConversion"/>
  </si>
  <si>
    <t>태원식품 (D-2) 화목토</t>
    <phoneticPr fontId="3" type="noConversion"/>
  </si>
  <si>
    <t>동방푸드마스타 (D-2) 화목토</t>
    <phoneticPr fontId="3" type="noConversion"/>
  </si>
  <si>
    <t>다미푸드텍 (D-2) 화목토</t>
    <phoneticPr fontId="3" type="noConversion"/>
  </si>
  <si>
    <t>이메일 13시</t>
    <phoneticPr fontId="3" type="noConversion"/>
  </si>
  <si>
    <t>발주고 13시</t>
    <phoneticPr fontId="3" type="noConversion"/>
  </si>
  <si>
    <t>광주식품 (D-1) 월화수목금토</t>
    <phoneticPr fontId="3" type="noConversion"/>
  </si>
  <si>
    <t>이너피스 (D-1) 월화수목금토</t>
    <phoneticPr fontId="3" type="noConversion"/>
  </si>
  <si>
    <t>푸드머스 (D-1) 월화수목금토</t>
    <phoneticPr fontId="3" type="noConversion"/>
  </si>
  <si>
    <t>글로벌코리아 (D-2) 수금</t>
    <phoneticPr fontId="3" type="noConversion"/>
  </si>
  <si>
    <t>삼각전체물량 x 45%</t>
    <phoneticPr fontId="3" type="noConversion"/>
  </si>
  <si>
    <t>더큰)리챔참치마요</t>
    <phoneticPr fontId="3" type="noConversion"/>
  </si>
  <si>
    <t>수량(매수)</t>
    <phoneticPr fontId="3" type="noConversion"/>
  </si>
  <si>
    <t>삼각전체물량 x 55%</t>
    <phoneticPr fontId="3" type="noConversion"/>
  </si>
  <si>
    <t>김밥전체물량 x 45%</t>
    <phoneticPr fontId="3" type="noConversion"/>
  </si>
  <si>
    <t>김밥전체물량 x 55%</t>
    <phoneticPr fontId="3" type="noConversion"/>
  </si>
  <si>
    <t>왕돈까스김밥</t>
  </si>
  <si>
    <t>불고기치즈김밥</t>
  </si>
  <si>
    <t>THE근본김밥</t>
  </si>
  <si>
    <t>김밥바코드</t>
    <phoneticPr fontId="3" type="noConversion"/>
  </si>
  <si>
    <t>삼각바코드</t>
    <phoneticPr fontId="3" type="noConversion"/>
  </si>
  <si>
    <t>도시락&amp;무스비전체물량 x 45%</t>
    <phoneticPr fontId="3" type="noConversion"/>
  </si>
  <si>
    <t>도시락&amp;무스비전체물량 x 55%</t>
    <phoneticPr fontId="3" type="noConversion"/>
  </si>
  <si>
    <t>착한제육덮밥</t>
  </si>
  <si>
    <t>도시락 바코드</t>
    <phoneticPr fontId="3" type="noConversion"/>
  </si>
  <si>
    <t>부자재</t>
    <phoneticPr fontId="3" type="noConversion"/>
  </si>
  <si>
    <t>지엠알오 (D-2) 수금</t>
    <phoneticPr fontId="3" type="noConversion"/>
  </si>
  <si>
    <t>도시락 작업량</t>
    <phoneticPr fontId="3" type="noConversion"/>
  </si>
  <si>
    <t>전처리실 사용</t>
    <phoneticPr fontId="3" type="noConversion"/>
  </si>
  <si>
    <t>취반 밥비닐</t>
    <phoneticPr fontId="3" type="noConversion"/>
  </si>
  <si>
    <t>전체 밥비닐</t>
    <phoneticPr fontId="3" type="noConversion"/>
  </si>
  <si>
    <t>한국아사히소교 (D-2) 수금</t>
    <phoneticPr fontId="3" type="noConversion"/>
  </si>
  <si>
    <t>카톡/ 메일 13시</t>
    <phoneticPr fontId="3" type="noConversion"/>
  </si>
  <si>
    <t>&lt;cipskrcvs@itc-ps.co.kr&gt;, &lt;seoul3@asahi-so.co.jp&gt;</t>
    <phoneticPr fontId="3" type="noConversion"/>
  </si>
  <si>
    <t>종가)김치제육김밥 500매*12봉</t>
  </si>
  <si>
    <t>왕돈까스김밥 500매*12봉</t>
  </si>
  <si>
    <t>골드필름 (D-2) 수금</t>
    <phoneticPr fontId="3" type="noConversion"/>
  </si>
  <si>
    <t>골드)GFS/퍼스트]착한핫도그오리지널 3700매*1롤</t>
  </si>
  <si>
    <t>골드)GFS/퍼스트]착한핫도그양배추사라다 3700매*1롤</t>
  </si>
  <si>
    <t>골드)GFS]간지 9*9 1,000매*1봉</t>
  </si>
  <si>
    <t>골드)델리캡/퍼스트/가온/GFS/제이비/삼영]간지 4.5*15 1,000매*1봉</t>
  </si>
  <si>
    <t>거성테크 (D-2) 수금</t>
    <phoneticPr fontId="3" type="noConversion"/>
  </si>
  <si>
    <t>아이프린팅 (D-2) 수금</t>
    <phoneticPr fontId="3" type="noConversion"/>
  </si>
  <si>
    <t>에스지앤피 (D-1) 월화수목금토</t>
    <phoneticPr fontId="3" type="noConversion"/>
  </si>
  <si>
    <t>에스지앤피)핫도그지함 1,000개입 (100ea*10pk)</t>
  </si>
  <si>
    <t>아이투알 (D-1) 월화수목금토</t>
    <phoneticPr fontId="3" type="noConversion"/>
  </si>
  <si>
    <t>두레 (D-2) 월화수목금토</t>
    <phoneticPr fontId="3" type="noConversion"/>
  </si>
  <si>
    <t>두레)바란小(1곽-1000장)/74*57mm 1,000개입*60줄</t>
  </si>
  <si>
    <t>두레)종이컵-900ml 용기(크라프트무지(SKF)) 50개입*6줄</t>
  </si>
  <si>
    <t>두레)DRX-160￠ 용기(원색)/원형/덮밥 50개입*6줄</t>
  </si>
  <si>
    <t>두레)DRX-160￠반돔 뚜껑(투명)/덮밥 50개입*6줄</t>
  </si>
  <si>
    <t>두레)DR-PACK-22-3호 용기(검정) 50개입*8줄</t>
  </si>
  <si>
    <t>두레)DR-PACK-22-3호 내피2 100개입*4줄</t>
  </si>
  <si>
    <t>두레)DR-PACK-22-3호 뚜껑소스(투명) 100개입*4줄</t>
  </si>
  <si>
    <t>상지 (D-2) 화수금</t>
    <phoneticPr fontId="3" type="noConversion"/>
  </si>
  <si>
    <t>혜자)명불허전용기 (150ea*4pk/box)</t>
  </si>
  <si>
    <t>혜자)오징어제육용기 (150ea*4pk/box)</t>
  </si>
  <si>
    <t>혜자)등심돈까스용기 (150ea*4pk/box)</t>
  </si>
  <si>
    <t>혜자)6칸공용용기 (100ea*4pk/box)</t>
  </si>
  <si>
    <t>[1탄]가성비용기 (100ea*4pk/box)</t>
  </si>
  <si>
    <t>62파이소스컵(상) (100개*30봉/박스)</t>
  </si>
  <si>
    <t>62파이소스컵(하) (100개*30봉/박스)</t>
  </si>
  <si>
    <t>[냉동] 코주부사각어묵 (5kg*2ea)</t>
    <phoneticPr fontId="3" type="noConversion"/>
  </si>
  <si>
    <t>스팸계란치즈김밥</t>
    <phoneticPr fontId="3" type="noConversion"/>
  </si>
  <si>
    <t xml:space="preserve">[상온] 구운롤김 600매*8롤 </t>
  </si>
  <si>
    <t>[냉장] 알뜰주부진주줄줄이(1kg*10봉)</t>
    <phoneticPr fontId="3" type="noConversion"/>
  </si>
  <si>
    <t>[냉동] 광주식품)삼대가순살통족발(종이BOX) 1KG*10개입</t>
  </si>
  <si>
    <t>54*45 적색(삼각) 3500장 (20롤*1박스)</t>
  </si>
  <si>
    <t>54*45 청색(삼각) 3500장 (20롤*1박스)</t>
  </si>
  <si>
    <t>56*45 적색(김밥) 3500장 (20롤*1박스)</t>
  </si>
  <si>
    <t>56*45 청색(김밥) 3500장 (20롤*1박스)</t>
  </si>
  <si>
    <t>60*35 적색(도시락) 4000장 (20롤*1박스)</t>
  </si>
  <si>
    <t>60*35 청색(도시락) 4000장 (20롤*1박스)</t>
  </si>
  <si>
    <t>에코피드수축필름 (12mic*16inch*1500m) (1롤*1박스)</t>
  </si>
  <si>
    <t>QCS 감열지(흰색) 400장 (40롤*1박스)</t>
  </si>
  <si>
    <t>윗트임(청색)[76(10)*110] 900매 (19KG*1박스)</t>
  </si>
  <si>
    <t>윗트임(적색)[76(10)*110] 900매 (18KG*1박스)</t>
  </si>
  <si>
    <t>옆트임(청색)[110(10)*70] 900매 (19KG*1박스)</t>
  </si>
  <si>
    <t>옆트임(적색)[110(10)*70] 900매 (18KG*1박스)</t>
  </si>
  <si>
    <t>발주시 보통 윗트임 5~10박스, 옆트임 15~20박스</t>
    <phoneticPr fontId="3" type="noConversion"/>
  </si>
  <si>
    <t>골드)GFS/서브]직화)한돈제육쌈김밥 500매*20봉</t>
  </si>
  <si>
    <t>골드)퍼스트/GFS]착한참치마요김밥 500매*20봉</t>
  </si>
  <si>
    <t>골드)퍼스트/GFS]착한김치김밥 500매*20봉</t>
  </si>
  <si>
    <t>골드)한국/GFS]THE근본김밥 500매*20봉</t>
  </si>
  <si>
    <t>골드)델리/퍼스트/우리/GFS]더블치즈소시지김밥 500매*20봉</t>
  </si>
  <si>
    <t>골드)퍼스트/델리/GFS]불고기치즈김밥 500매*20봉</t>
  </si>
  <si>
    <t>골드)GFS]NEW스팸무스비 5000매*1롤</t>
  </si>
  <si>
    <t>NEW혜자)돈까스고추장제육 (1000장*1롤)</t>
  </si>
  <si>
    <t>삼각)전주비빔 (4000)</t>
  </si>
  <si>
    <t>종가)들기름묵은지참치 (3000)</t>
  </si>
  <si>
    <t>더큰)리챔참치마요 (3000)</t>
  </si>
  <si>
    <t>더큰)스팸김치볶음밥 (3000)</t>
  </si>
  <si>
    <t>더큰)스팸계란볶음밥 (3000)</t>
  </si>
  <si>
    <t>프렌치파파)베이컨리조또 (3000)</t>
  </si>
  <si>
    <t>착한제육비빔밥 (1500)</t>
  </si>
  <si>
    <t>착한)마파두부덮밥(3,900원) (1500)</t>
  </si>
  <si>
    <t>착한)제육덮밥(3,900원) (1500)</t>
  </si>
  <si>
    <t>혜자)돌아온등심돈까스 (1500)</t>
  </si>
  <si>
    <t>N혜자)불고기오징어제육 (1000)</t>
  </si>
  <si>
    <t>뭘좋아할지몰라다넣어 (1500)</t>
  </si>
  <si>
    <t>혜자)백설갈비양념제육 (1000)</t>
  </si>
  <si>
    <t>삼각)저당전주비빔 (4000)</t>
  </si>
  <si>
    <t>이달의도시락6월(미식편) (1500)</t>
  </si>
  <si>
    <t>아이투알)혜자)순창/제육 뚜껑 100EA*6PK [PP]</t>
  </si>
  <si>
    <t>아이투알)혜자)등심돈까스 뚜껑 100EA*6PK [PP]</t>
  </si>
  <si>
    <t>가성비뚜껑 (100ea*4pk/box) [PP]</t>
  </si>
  <si>
    <t>대동전산폼 (D-7) 미리발주</t>
    <phoneticPr fontId="3" type="noConversion"/>
  </si>
  <si>
    <t>대영하이텍 (D-2) 목</t>
    <phoneticPr fontId="3" type="noConversion"/>
  </si>
  <si>
    <t>정우 (D-1) 월화수목금토</t>
    <phoneticPr fontId="3" type="noConversion"/>
  </si>
  <si>
    <t>NEW스팸무스비</t>
  </si>
  <si>
    <t>NEW스팸무스비</t>
    <phoneticPr fontId="3" type="noConversion"/>
  </si>
  <si>
    <t>종가)들기름묵은지참치</t>
  </si>
  <si>
    <t>슈퍼)착한제육비빔밥</t>
  </si>
  <si>
    <t>NEW혜자)돈까스고추장제육</t>
  </si>
  <si>
    <t>혜자)돌아온등심돈까스</t>
  </si>
  <si>
    <t>N혜자)불고기오징어제육</t>
  </si>
  <si>
    <t>뭘좋아할지몰라다넣어봤어</t>
  </si>
  <si>
    <t>취반염수,데침</t>
    <phoneticPr fontId="3" type="noConversion"/>
  </si>
  <si>
    <t>취반용</t>
    <phoneticPr fontId="3" type="noConversion"/>
  </si>
  <si>
    <t>[냉장] 데리야끼마요소스-FS (3kg*4ea)</t>
  </si>
  <si>
    <t>스팸계란치즈김밥</t>
    <phoneticPr fontId="3" type="noConversion"/>
  </si>
  <si>
    <t>골드)퍼스트/델리/GFS]스팸계란치즈김밥 500매*20봉</t>
    <phoneticPr fontId="3" type="noConversion"/>
  </si>
  <si>
    <t>.</t>
    <phoneticPr fontId="3" type="noConversion"/>
  </si>
  <si>
    <t>NEW혜자)반반제육</t>
    <phoneticPr fontId="3" type="noConversion"/>
  </si>
  <si>
    <t>종가)열무김치말이국수</t>
    <phoneticPr fontId="3" type="noConversion"/>
  </si>
  <si>
    <t>[상온] 수연소면(400g*20ea)</t>
  </si>
  <si>
    <t>[냉장] 오이 10kg*1box</t>
  </si>
  <si>
    <t>[냉장] 느타리버섯 2kg*1box</t>
  </si>
  <si>
    <t>최소발주량 5박스 (200롤) = 재고 40개 남았을때</t>
    <phoneticPr fontId="3" type="noConversion"/>
  </si>
  <si>
    <t>종가)열무김치말이국수</t>
    <phoneticPr fontId="3" type="noConversion"/>
  </si>
  <si>
    <t>[냉장] 후천)김치말이육수(PBOX) 250G*60개입</t>
  </si>
  <si>
    <t>엠아이 (D-1) 월화수목금</t>
    <phoneticPr fontId="3" type="noConversion"/>
  </si>
  <si>
    <t>[냉동] 엠아이)불제육두루치기(종이BOX) 2KG*7팩</t>
  </si>
  <si>
    <t>[냉동] 엠아이)간장두루치기(종이BOX) 2KG*7팩</t>
  </si>
  <si>
    <t>[냉장] 종가 열무김치 80g*20ea</t>
  </si>
  <si>
    <t>[상온] 냉면용흰김치 2.8kg*4ea</t>
  </si>
  <si>
    <t>[냉장] 팽이버섯 150g*34ea</t>
  </si>
  <si>
    <t>[냉장] 조미깐계란반숙 3kg*3ea</t>
  </si>
  <si>
    <t>[상온] 피제거들깨가루 1kg*10ea</t>
  </si>
  <si>
    <t>볶음용</t>
    <phoneticPr fontId="3" type="noConversion"/>
  </si>
  <si>
    <t>볶음용,토핑용</t>
    <phoneticPr fontId="3" type="noConversion"/>
  </si>
  <si>
    <t>NEW혜자)반반제육 (1000장*1롤)</t>
  </si>
  <si>
    <t>종가)열무김치말이국수 (1000)</t>
  </si>
  <si>
    <t>케미코)5찬도시락용기 400개입 (100ea*4pk)</t>
  </si>
  <si>
    <t>하절기면(대)용기 (100EA*4봉)</t>
  </si>
  <si>
    <t>하절기면(대)뚜껑 (100EA*4봉)</t>
  </si>
  <si>
    <t>하절기면(대)내피/김치말이 (200EA*4봉)</t>
  </si>
  <si>
    <t>1회 발주시 70박스 +- (차 공간으로 인한)</t>
    <phoneticPr fontId="3" type="noConversion"/>
  </si>
  <si>
    <t>이달의도시락7월(복날편)</t>
    <phoneticPr fontId="3" type="noConversion"/>
  </si>
  <si>
    <t>이달의도시락7월(복날편)</t>
    <phoneticPr fontId="3" type="noConversion"/>
  </si>
  <si>
    <t>통오이김밥</t>
    <phoneticPr fontId="3" type="noConversion"/>
  </si>
  <si>
    <t>더큰)오리고추장불고기</t>
    <phoneticPr fontId="3" type="noConversion"/>
  </si>
  <si>
    <t>미트뱅크 (D-2) 월화수목금</t>
    <phoneticPr fontId="3" type="noConversion"/>
  </si>
  <si>
    <t>더큰)오리고추장불고기</t>
    <phoneticPr fontId="3" type="noConversion"/>
  </si>
  <si>
    <t>[냉장] 복분자데리야끼소스(PBOX) 2KG*10개입</t>
  </si>
  <si>
    <t>[냉장] 머스타드소스-1(PBOX) 2KG*10개입</t>
  </si>
  <si>
    <t>[냉장] 백오이(다다기오이) (10kg/box)</t>
  </si>
  <si>
    <t>[냉장] 오리주물럭볶음밥용소스(PBOX) 2KG*10개입</t>
  </si>
  <si>
    <t>[냉장] 고추장오리양념육(KCPBOX) 5KG*2개입</t>
  </si>
  <si>
    <t>프렌치파파)베이컨리조또 7/7삭제</t>
  </si>
  <si>
    <t>더큰)오리고추장불고기</t>
    <phoneticPr fontId="3" type="noConversion"/>
  </si>
  <si>
    <t>[냉동] 냉동혼합야채4종(한식용)(1kg*10ea)</t>
  </si>
  <si>
    <t>이달의도시락7월(복날편)</t>
    <phoneticPr fontId="3" type="noConversion"/>
  </si>
  <si>
    <t>[냉동] 들깨열무나물1KG(냉동)BOX(1kg*10ea)</t>
  </si>
  <si>
    <t>[냉장] 씨앗젓갈1KG(냉장)BOX(1kg*10ea)</t>
  </si>
  <si>
    <t>[냉동] 민물장어(10미*10팩/박스)</t>
  </si>
  <si>
    <t>[냉동] 위드메이)훈제오리슬라이스 (800g*10pk)</t>
  </si>
  <si>
    <t>[상온] 움트리쌈장(소포장)(25g*300ea)</t>
  </si>
  <si>
    <t>정원식품 (D-2) 화목토</t>
    <phoneticPr fontId="3" type="noConversion"/>
  </si>
  <si>
    <t>[상온] 메추리알장조림(1.7kg*10ea)</t>
  </si>
  <si>
    <t>두레)DRG-1호 뚜껑(투명) 50개입*4줄</t>
  </si>
  <si>
    <t>두레)DRG-1호 용기 100개입*2줄</t>
  </si>
  <si>
    <t>두레)MS-25-1호 내피(반투명) 200개입*10줄</t>
  </si>
  <si>
    <t>이달의도시락7월(복날편) (1500)</t>
  </si>
  <si>
    <t>통오이김밥)지함 800매*1박스</t>
  </si>
  <si>
    <t>여름보양)매콤양념오리 (3000)</t>
  </si>
  <si>
    <t>케미코 (D-1) 월화수목금토</t>
    <phoneticPr fontId="3" type="noConversion"/>
  </si>
  <si>
    <t>종가)열무비빔국수</t>
    <phoneticPr fontId="3" type="noConversion"/>
  </si>
  <si>
    <t>종가)묵은지김치제육 7/14삭제</t>
  </si>
  <si>
    <t>종가)열무비빔국수 (1000)</t>
    <phoneticPr fontId="3" type="noConversion"/>
  </si>
  <si>
    <t>통오이김밥)투명필름 8000매*1박스 (400장*20봉)</t>
  </si>
  <si>
    <t>디와이후레쉬 (D-2) 월화수목금</t>
    <phoneticPr fontId="3" type="noConversion"/>
  </si>
  <si>
    <t>더큰)닭갈비깻잎쌈밥 7/21삭제</t>
    <phoneticPr fontId="3" type="noConversion"/>
  </si>
  <si>
    <t>참치김치볶음김밥</t>
    <phoneticPr fontId="3" type="noConversion"/>
  </si>
  <si>
    <t>참치김치볶음김밥</t>
    <phoneticPr fontId="3" type="noConversion"/>
  </si>
  <si>
    <t>[냉동] 얇은고명지단H700G</t>
    <phoneticPr fontId="3" type="noConversion"/>
  </si>
  <si>
    <t>7/20기준</t>
    <phoneticPr fontId="3" type="noConversion"/>
  </si>
  <si>
    <t>참치김치볶음김밥 500매*12봉</t>
    <phoneticPr fontId="3" type="noConversion"/>
  </si>
  <si>
    <t>참치김치볶음김밥</t>
    <phoneticPr fontId="3" type="noConversion"/>
  </si>
  <si>
    <t>혜자)백설갈비양념제육7/28삭제</t>
  </si>
  <si>
    <t>NEW혜자)백설갈비양념제육</t>
  </si>
  <si>
    <t>NEW혜자)백설갈비양념제육</t>
    <phoneticPr fontId="3" type="noConversion"/>
  </si>
  <si>
    <t>야미푸드 (D-2) 월수금</t>
    <phoneticPr fontId="3" type="noConversion"/>
  </si>
  <si>
    <t>슈퍼)착한제육비빔밥</t>
    <phoneticPr fontId="3" type="noConversion"/>
  </si>
  <si>
    <t>통오이김밥 7/28삭제</t>
    <phoneticPr fontId="3" type="noConversion"/>
  </si>
  <si>
    <t>무스비)햄&amp;참치김치볶음밥</t>
    <phoneticPr fontId="3" type="noConversion"/>
  </si>
  <si>
    <t>더큰)오징어&amp;제육깻잎쌈밥</t>
    <phoneticPr fontId="3" type="noConversion"/>
  </si>
  <si>
    <t>더큰)오징어&amp;제육깻잎쌈밥</t>
    <phoneticPr fontId="3" type="noConversion"/>
  </si>
  <si>
    <t>NEW혜자)백설갈비양념제육</t>
    <phoneticPr fontId="3" type="noConversion"/>
  </si>
  <si>
    <t>[냉동] 선진)선진오징어제육 PK(2,000g*6PK)</t>
  </si>
  <si>
    <t>[냉장] 오삼불고기소스(PBOX) 2KG*10개입</t>
  </si>
  <si>
    <t>더큰)오징어&amp;제육깻잎쌈밥</t>
  </si>
  <si>
    <t>더큰)오징어&amp;제육깻잎쌈밥</t>
    <phoneticPr fontId="3" type="noConversion"/>
  </si>
  <si>
    <t>NEW혜자)백설갈비양념제육</t>
    <phoneticPr fontId="3" type="noConversion"/>
  </si>
  <si>
    <t>통오이김밥 7/28삭제</t>
  </si>
  <si>
    <t>골드)GFS]무스비)햄&amp;참치김치볶음밥 5000매*1롤</t>
    <phoneticPr fontId="3" type="noConversion"/>
  </si>
  <si>
    <t>무스비)햄&amp;참치김치볶음밥</t>
  </si>
  <si>
    <t>사조대림 (D-2) 월수금</t>
    <phoneticPr fontId="3" type="noConversion"/>
  </si>
  <si>
    <t>사조대림)어묵슬라이스(1kg*10ea)</t>
    <phoneticPr fontId="3" type="noConversion"/>
  </si>
  <si>
    <t xml:space="preserve">[상온] 더원씨푸드)1/2절김 200매*30개입 </t>
    <phoneticPr fontId="3" type="noConversion"/>
  </si>
  <si>
    <t>NEW혜자)백설갈비양념제육</t>
    <phoneticPr fontId="3" type="noConversion"/>
  </si>
  <si>
    <t>더큰)오징어&amp;제육깻잎쌈밥</t>
    <phoneticPr fontId="3" type="noConversion"/>
  </si>
  <si>
    <t>[냉동] 삼양플러스함박스테이크(60g(16ea)*10pk)</t>
    <phoneticPr fontId="3" type="noConversion"/>
  </si>
  <si>
    <t>[냉동] 계란옷입은소시지전 (1kg*10pk)</t>
  </si>
  <si>
    <t>NEW혜자)백설갈비양념제육</t>
    <phoneticPr fontId="3" type="noConversion"/>
  </si>
  <si>
    <t>[냉장] 통통한칼집소시지 PK(990g)</t>
    <phoneticPr fontId="3" type="noConversion"/>
  </si>
  <si>
    <t>이달의도시락8월(혜자편) (1500)</t>
    <phoneticPr fontId="3" type="noConversion"/>
  </si>
  <si>
    <t>이달의도시락8월(혜자편)</t>
    <phoneticPr fontId="3" type="noConversion"/>
  </si>
  <si>
    <t>골드)GFS]무스비) 햄&amp;청양불고기 5000매*1롤</t>
    <phoneticPr fontId="3" type="noConversion"/>
  </si>
  <si>
    <t>무스비)햄&amp;청양불고기</t>
    <phoneticPr fontId="3" type="noConversion"/>
  </si>
  <si>
    <t>[냉장] 가쓰오치킨데리소스(PBOX) 2KG*10개입</t>
    <phoneticPr fontId="3" type="noConversion"/>
  </si>
  <si>
    <t>[냉장] 잡채용소스_JH (3kg*5ea)</t>
    <phoneticPr fontId="3" type="noConversion"/>
  </si>
  <si>
    <t>[냉장] 찜닭용소스 (3kg*5ea)</t>
    <phoneticPr fontId="3" type="noConversion"/>
  </si>
  <si>
    <t>[냉장] 청양고추(1kg*5ea)</t>
  </si>
  <si>
    <t>NEW혜자)백설갈비양념제육</t>
    <phoneticPr fontId="3" type="noConversion"/>
  </si>
  <si>
    <t>[상온]치킨난방용마요BOX(2kg*5ea)</t>
    <phoneticPr fontId="3" type="noConversion"/>
  </si>
  <si>
    <t>이달의도시락8월(혜자편)</t>
  </si>
  <si>
    <t>[냉동]뉴_안동식찜닭2kgPK(2kg)</t>
    <phoneticPr fontId="3" type="noConversion"/>
  </si>
  <si>
    <t>[냉동]동인동식갈비맛불고기2kgPK</t>
    <phoneticPr fontId="3" type="noConversion"/>
  </si>
  <si>
    <t>[냉동]요리가편한쵸핑햄1kgPK </t>
    <phoneticPr fontId="3" type="noConversion"/>
  </si>
  <si>
    <t/>
  </si>
  <si>
    <t>[상온]도시락용재래김2g*10ea</t>
    <phoneticPr fontId="3" type="noConversion"/>
  </si>
  <si>
    <t>[냉장]꿀마늘겨자소스(PBOX) 2KG*10개입</t>
    <phoneticPr fontId="3" type="noConversion"/>
  </si>
  <si>
    <t>[냉장]땡초간장소스(PBOX) 2KG*10개입</t>
  </si>
  <si>
    <t>두레)ET-302308호(C)PET/에코젠 50개입*2줄</t>
    <phoneticPr fontId="3" type="noConversion"/>
  </si>
  <si>
    <t>삼양냉동</t>
    <phoneticPr fontId="3" type="noConversion"/>
  </si>
  <si>
    <t>[상온] 스위트콘 (3kg*6ea)</t>
    <phoneticPr fontId="3" type="noConversion"/>
  </si>
  <si>
    <t>정우)5찬도시락뚜껑C(김O) 320개입 (80ea*4pk) [PP]</t>
    <phoneticPr fontId="3" type="noConversion"/>
  </si>
  <si>
    <t>[냉동]슈레드치즈(알파플러스7F) 2.5KG*4개입</t>
    <phoneticPr fontId="3" type="noConversion"/>
  </si>
  <si>
    <t>정우)PP]5찬도시락뚜껑A(김X) 80개입*4줄</t>
    <phoneticPr fontId="3" type="noConversion"/>
  </si>
  <si>
    <t>[냉장] 살사후실리샐러드(1kg*10봉)</t>
    <phoneticPr fontId="3" type="noConversion"/>
  </si>
  <si>
    <t>[냉장] 청양고추(1kg*5ea)</t>
    <phoneticPr fontId="3" type="noConversion"/>
  </si>
  <si>
    <t>뭘좋아할지몰라다넣어봤어8/11삭제</t>
    <phoneticPr fontId="3" type="noConversion"/>
  </si>
  <si>
    <t>뭘좋아할지몰라다넣어봤어</t>
    <phoneticPr fontId="3" type="noConversion"/>
  </si>
  <si>
    <t>혜자)반반제육</t>
    <phoneticPr fontId="3" type="noConversion"/>
  </si>
  <si>
    <t>혜자)반반제육</t>
    <phoneticPr fontId="3" type="noConversion"/>
  </si>
  <si>
    <t>[냉장]숯불갈비맛소스_2kg 행복한맛남</t>
  </si>
  <si>
    <t>[냉동]도톰한멘츠카츠S50 PK(50g*20ea)</t>
    <phoneticPr fontId="3" type="noConversion"/>
  </si>
  <si>
    <t>NEW혜자)반반제육 8/13삭제</t>
    <phoneticPr fontId="3" type="noConversion"/>
  </si>
  <si>
    <t>비빔참치우동</t>
    <phoneticPr fontId="3" type="noConversion"/>
  </si>
  <si>
    <t>[냉동]우동면 1.25KG*8개입</t>
  </si>
  <si>
    <t>[상온]구운김 김가루 500G*5개입</t>
  </si>
  <si>
    <t>비빔참치우동</t>
    <phoneticPr fontId="3" type="noConversion"/>
  </si>
  <si>
    <t>D-3</t>
    <phoneticPr fontId="3" type="noConversion"/>
  </si>
  <si>
    <t>84봉</t>
    <phoneticPr fontId="3" type="noConversion"/>
  </si>
  <si>
    <t>비빔참치우동(1000)</t>
    <phoneticPr fontId="3" type="noConversion"/>
  </si>
  <si>
    <t>두레)★GS-89-1호 뚜껑 공용/비빔밥 조리정사각(중) 100개입*4줄</t>
  </si>
  <si>
    <t>두레)GS-89호 용기(검정) 100개입*4줄 </t>
  </si>
  <si>
    <t>두부김치제육</t>
    <phoneticPr fontId="3" type="noConversion"/>
  </si>
  <si>
    <t>사옹원 (D-1) 월수금 화목토</t>
    <phoneticPr fontId="3" type="noConversion"/>
  </si>
  <si>
    <t>[냉동] 알찬소시지전 (1kg(20g*50ea) * 6pk)</t>
    <phoneticPr fontId="3" type="noConversion"/>
  </si>
  <si>
    <t>혜자)반반제육도시락</t>
  </si>
  <si>
    <t>[냉동] 알찬해물부추전 (1kg(30g*33ea) * 5pk)</t>
  </si>
  <si>
    <t>[냉동]한입직화 떡갈비(20g*50ea)*10봉</t>
  </si>
  <si>
    <t>[냉장]쯔유소스H(PBOX) 10G*150개입*8개입</t>
    <phoneticPr fontId="3" type="noConversion"/>
  </si>
  <si>
    <t>[냉장] 비빔국수소스(PBOX) 70G*180개입</t>
    <phoneticPr fontId="3" type="noConversion"/>
  </si>
  <si>
    <t>두부김치제육용기 (100ea*4pk/box)</t>
    <phoneticPr fontId="3" type="noConversion"/>
  </si>
  <si>
    <t>두부김치제육뚜껑 (100ea*4pk/box)</t>
    <phoneticPr fontId="3" type="noConversion"/>
  </si>
  <si>
    <t>대체</t>
    <phoneticPr fontId="3" type="noConversion"/>
  </si>
  <si>
    <t>필름)진미채치즈김밥</t>
    <phoneticPr fontId="3" type="noConversion"/>
  </si>
  <si>
    <t>필름)진미채치즈김밥 500매*12봉</t>
    <phoneticPr fontId="3" type="noConversion"/>
  </si>
  <si>
    <t>실제 사용량 25박스(수요일기준)</t>
    <phoneticPr fontId="3" type="noConversion"/>
  </si>
  <si>
    <t>[상온] 큐원백설탕(15kg)</t>
    <phoneticPr fontId="3" type="noConversion"/>
  </si>
  <si>
    <t>[냉장]김밥용진미채무침(PBOX) 1KG*15봉</t>
    <phoneticPr fontId="3" type="noConversion"/>
  </si>
  <si>
    <t>쯔양)매콤흑당치킨&amp;골뱅이</t>
  </si>
  <si>
    <t>[냉장] 프릴아이스</t>
    <phoneticPr fontId="3" type="noConversion"/>
  </si>
  <si>
    <t>[상온] 진골뱅이(300g*24ea)</t>
  </si>
  <si>
    <t>맘스터치 (D-1) 월화수목금토</t>
    <phoneticPr fontId="3" type="noConversion"/>
  </si>
  <si>
    <t>쯔양닭강정용기 (50ea*4pk/box)</t>
    <phoneticPr fontId="3" type="noConversion"/>
  </si>
  <si>
    <t>쯔양닭강정뚜껑 (50ea*4pk/box)</t>
    <phoneticPr fontId="3" type="noConversion"/>
  </si>
  <si>
    <t>쯔양닭강정내피 (400ea*3pk/box)</t>
    <phoneticPr fontId="3" type="noConversion"/>
  </si>
  <si>
    <t>[냉장]매콤흑당갈비치킨소스(PBOX) 2KG*10개입</t>
  </si>
  <si>
    <t>[냉동]계란옷입은고기완자(1kg*6ea)</t>
    <phoneticPr fontId="3" type="noConversion"/>
  </si>
  <si>
    <t>[냉동]실속 소세지전(1kg*6ea) (1봉=43ea)</t>
    <phoneticPr fontId="3" type="noConversion"/>
  </si>
  <si>
    <t>1봉=60개(1/2컷팅사용)</t>
    <phoneticPr fontId="3" type="noConversion"/>
  </si>
  <si>
    <t>[냉동]크리스피 순살치킨 1kg(저온)BOX(1kg*10ea)</t>
    <phoneticPr fontId="3" type="noConversion"/>
  </si>
  <si>
    <t>[냉장]프릴아이스 4KG</t>
    <phoneticPr fontId="3" type="noConversion"/>
  </si>
  <si>
    <t>쯔양)매콤흑당치킨&amp;골뱅이</t>
    <phoneticPr fontId="3" type="noConversion"/>
  </si>
  <si>
    <t>[상온]옛날국수_수연소면(GS) 4KG(상온) PK(4KG)★ (D-2)</t>
    <phoneticPr fontId="3" type="noConversion"/>
  </si>
  <si>
    <t>어그레이트 (D-2) 월화수목금</t>
    <phoneticPr fontId="3" type="noConversion"/>
  </si>
  <si>
    <t>[냉동]고추장돼지불고기A(파우치)(냉동) PK(2kg)</t>
    <phoneticPr fontId="3" type="noConversion"/>
  </si>
  <si>
    <t>이달의도시락9월(한가위편)</t>
    <phoneticPr fontId="3" type="noConversion"/>
  </si>
  <si>
    <t>[상온] 비빔소스[30g*400ea(소포장)]</t>
    <phoneticPr fontId="3" type="noConversion"/>
  </si>
  <si>
    <t>[상온] 청정원)진간장골드(13L)</t>
  </si>
  <si>
    <t>무스비)햄&amp;청양불고기</t>
  </si>
  <si>
    <t>[냉동] 한입오미산적(1kg*4봉)(24*46개)</t>
  </si>
  <si>
    <t>[냉동] 옥수수전(1kg*5봉)(30g*33개)</t>
  </si>
  <si>
    <t>[냉장]계란말이G900gBOX(900g*10pk)</t>
  </si>
  <si>
    <t>[냉동]냉동누드은행(900g*10ea)</t>
  </si>
  <si>
    <t>[냉동]양념닭갈비(4kg*2p)</t>
  </si>
  <si>
    <t>[냉동]미니너비아니70(냉동) PK(70g*20ea)*8p</t>
  </si>
  <si>
    <t>하늘푸드(D-1)</t>
    <phoneticPr fontId="3" type="noConversion"/>
  </si>
  <si>
    <t>[냉동]떡강정(1kg*10봉)(1봉=150ea)</t>
  </si>
  <si>
    <t>26추석9월 뚜껑 (100ea*4pk/box)</t>
    <phoneticPr fontId="3" type="noConversion"/>
  </si>
  <si>
    <t>26추석9월 용기(9칸) (100ea*4pk/box)</t>
    <phoneticPr fontId="3" type="noConversion"/>
  </si>
  <si>
    <t>26추석9월 외피 (100ea*4pk/box)</t>
    <phoneticPr fontId="3" type="noConversion"/>
  </si>
  <si>
    <t>[냉장]스윗닭강정소스(PBOX) 2KG*10개입</t>
    <phoneticPr fontId="3" type="noConversion"/>
  </si>
  <si>
    <t>카톡 오후4시전</t>
    <phoneticPr fontId="3" type="noConversion"/>
  </si>
  <si>
    <t>[냉동]백미송편(2kg*4p)</t>
    <phoneticPr fontId="3" type="noConversion"/>
  </si>
  <si>
    <t>[냉동]흑미송편(2kg*4p)</t>
    <phoneticPr fontId="3" type="noConversion"/>
  </si>
  <si>
    <t>[상온]이금기_팬더굴소스(PE) 2.4KG</t>
    <phoneticPr fontId="3" type="noConversion"/>
  </si>
  <si>
    <t>쯔양)매콤흑당치킨&amp;골뱅이</t>
    <phoneticPr fontId="3" type="noConversion"/>
  </si>
  <si>
    <t>[냉동]유채나물무침(PBOX) 1KG*10개입</t>
    <phoneticPr fontId="3" type="noConversion"/>
  </si>
  <si>
    <t>[상온]동원참치(2kg*5ea)</t>
    <phoneticPr fontId="3" type="noConversion"/>
  </si>
  <si>
    <t>통합구매 13시</t>
  </si>
  <si>
    <t>2kg*5</t>
    <phoneticPr fontId="3" type="noConversion"/>
  </si>
  <si>
    <t>[냉동]990떡갈비 PK(50g*20ea)</t>
    <phoneticPr fontId="3" type="noConversion"/>
  </si>
  <si>
    <t>근본김밥&amp;순살닭강정</t>
    <phoneticPr fontId="3" type="noConversion"/>
  </si>
  <si>
    <t>송원기공)베이킹컵 400개입*50줄</t>
  </si>
  <si>
    <t>두부김치제육 (1000)</t>
    <phoneticPr fontId="3" type="noConversion"/>
  </si>
  <si>
    <t>송원기공 (D-1) 월화수목금토</t>
    <phoneticPr fontId="3" type="noConversion"/>
  </si>
  <si>
    <t>근본김밥&amp;순살닭강정(1500장*1롤)</t>
    <phoneticPr fontId="3" type="noConversion"/>
  </si>
  <si>
    <t>정우)근본김밥용기 120개입*8줄 </t>
    <phoneticPr fontId="3" type="noConversion"/>
  </si>
  <si>
    <t xml:space="preserve">정우)근본김밥뚜껑 </t>
    <phoneticPr fontId="3" type="noConversion"/>
  </si>
  <si>
    <t>[냉동]간장돼지불고기A(파우치) PK(2kg)★(D-2)</t>
    <phoneticPr fontId="3" type="noConversion"/>
  </si>
  <si>
    <t>[냉동] 핫도그번 ((1봉*6EA)*6봉))</t>
    <phoneticPr fontId="3" type="noConversion"/>
  </si>
  <si>
    <t>이달의도시락9월(한가위)(1000)</t>
    <phoneticPr fontId="3" type="noConversion"/>
  </si>
  <si>
    <t>혜자)7칸공용용기(100ea*4pk/box)</t>
    <phoneticPr fontId="3" type="noConversion"/>
  </si>
  <si>
    <t>혜자)7칸공용뚜껑(100ea*4pk/box)</t>
    <phoneticPr fontId="3" type="noConversion"/>
  </si>
  <si>
    <t>혜자)두툼돈까스&amp;순창제육도시락</t>
  </si>
  <si>
    <t>[냉장]경양식돈까스소스B(PBOX) 30G*420개입</t>
  </si>
  <si>
    <t>혜자)두툼돈까스&amp;순창제육도시락</t>
    <phoneticPr fontId="3" type="noConversion"/>
  </si>
  <si>
    <t>혜자)두툼돈까스&amp;순창제육도시락</t>
    <phoneticPr fontId="3" type="noConversion"/>
  </si>
  <si>
    <t>[냉동]더진한고추장돼지불고기2kg</t>
    <phoneticPr fontId="3" type="noConversion"/>
  </si>
  <si>
    <t>혜자)두툼돈까스&amp;순창제육도시락</t>
    <phoneticPr fontId="3" type="noConversion"/>
  </si>
  <si>
    <t>혜자)두툼돈까스&amp;순창제육도시락</t>
    <phoneticPr fontId="3" type="noConversion"/>
  </si>
  <si>
    <t>[냉장] 치킨바베큐양념소스 (2kg*10ea)</t>
    <phoneticPr fontId="3" type="noConversion"/>
  </si>
  <si>
    <t>혜자)명불허전뚜껑 (100ea*6pk/box) [PP]</t>
    <phoneticPr fontId="3" type="noConversion"/>
  </si>
  <si>
    <t>근본김밥&amp;닭강정뚜껑(100ea*8pk/box)</t>
    <phoneticPr fontId="3" type="noConversion"/>
  </si>
  <si>
    <t>[냉동]갈비함박40 PK(40g*25ea)</t>
    <phoneticPr fontId="3" type="noConversion"/>
  </si>
  <si>
    <t>혜자)돌아온명불허전 (1500)</t>
    <phoneticPr fontId="3" type="noConversion"/>
  </si>
  <si>
    <t>더큰)추석맥적구이한상</t>
  </si>
  <si>
    <t>더큰)추석맥적구이한상</t>
    <phoneticPr fontId="3" type="noConversion"/>
  </si>
  <si>
    <t>[냉동] 맥적구이용양념육(종이BOX) 2KG*7팩</t>
    <phoneticPr fontId="3" type="noConversion"/>
  </si>
  <si>
    <t>[상온]혜자도시락김(소포장)</t>
  </si>
  <si>
    <t>혜자)두툼돈까스&amp;순창제육도시락</t>
    <phoneticPr fontId="3" type="noConversion"/>
  </si>
  <si>
    <t>혜자)두툼돈까스&amp;순창제육도시락</t>
    <phoneticPr fontId="3" type="noConversion"/>
  </si>
  <si>
    <t>혜자)통등심돈까스&amp;치킨까스도시락</t>
    <phoneticPr fontId="3" type="noConversion"/>
  </si>
  <si>
    <t>혜자)통등심돈까스&amp;치킨까스도시락</t>
    <phoneticPr fontId="3" type="noConversion"/>
  </si>
  <si>
    <t>더큰)맥적구이한상(3000)</t>
    <phoneticPr fontId="3" type="noConversion"/>
  </si>
  <si>
    <t>더큰)추석맥적구이한상</t>
    <phoneticPr fontId="3" type="noConversion"/>
  </si>
  <si>
    <t>혜자)통등심돈까스&amp;치킨까스도시락</t>
  </si>
  <si>
    <t>혜자)통등심돈까스&amp;치킨까스도시락</t>
    <phoneticPr fontId="3" type="noConversion"/>
  </si>
  <si>
    <t>[냉장] 카츠도시락용소스 (3kg*5ea)</t>
    <phoneticPr fontId="3" type="noConversion"/>
  </si>
  <si>
    <t>혜자)통등심돈까스&amp;치킨까스도시락</t>
    <phoneticPr fontId="3" type="noConversion"/>
  </si>
  <si>
    <t>[상온] 샘표금F3진간장 (1.7L*6ea)</t>
    <phoneticPr fontId="3" type="noConversion"/>
  </si>
  <si>
    <t>혜자)통등심돈까스&amp;치킨까스도시락</t>
    <phoneticPr fontId="3" type="noConversion"/>
  </si>
  <si>
    <t>[상온] 매원(1.5L*8ea)</t>
    <phoneticPr fontId="3" type="noConversion"/>
  </si>
  <si>
    <t>제이아이(D-2)화목토</t>
    <phoneticPr fontId="3" type="noConversion"/>
  </si>
  <si>
    <t>카톡발주</t>
    <phoneticPr fontId="3" type="noConversion"/>
  </si>
  <si>
    <t>[냉동]순살치킨까스J(20ea*8pk)</t>
  </si>
  <si>
    <t>[냉동]통등심돈까스J(10ea*10pk)</t>
  </si>
  <si>
    <t>[냉동]후지(3kg*4pk)</t>
  </si>
  <si>
    <t>[상온] 미향(1.8L*6ea)</t>
    <phoneticPr fontId="3" type="noConversion"/>
  </si>
  <si>
    <t>혜자)통등심돈까스&amp;치킨까스도시락</t>
    <phoneticPr fontId="3" type="noConversion"/>
  </si>
  <si>
    <t>[냉장]빨간어묵볶이소스(PBOX) 2KG*10개입 </t>
    <phoneticPr fontId="3" type="noConversion"/>
  </si>
  <si>
    <t>[냉장]건새우복음(냉장)BOX(1KG*10EA)</t>
    <phoneticPr fontId="3" type="noConversion"/>
  </si>
  <si>
    <t>[냉장]볶음김치G(냉장)BOX(5KG*3EA)</t>
    <phoneticPr fontId="3" type="noConversion"/>
  </si>
  <si>
    <t>[냉장] 만능마카로니샐러드(1kg*10봉)</t>
    <phoneticPr fontId="3" type="noConversion"/>
  </si>
  <si>
    <t>혜자)통등심돈까스&amp;치킨까스도시락</t>
    <phoneticPr fontId="3" type="noConversion"/>
  </si>
  <si>
    <t>[냉동]목살스테이크양념육(2kg*6ea)</t>
  </si>
  <si>
    <t>발주고 1시</t>
    <phoneticPr fontId="3" type="noConversion"/>
  </si>
  <si>
    <t>롯데웰푸드(D-1)월화수목금</t>
    <phoneticPr fontId="3" type="noConversion"/>
  </si>
  <si>
    <t>혜자)통등심돈까스&amp;치킨까스도시락</t>
    <phoneticPr fontId="3" type="noConversion"/>
  </si>
  <si>
    <t xml:space="preserve"> </t>
    <phoneticPr fontId="3" type="noConversion"/>
  </si>
  <si>
    <t>혜자)통등심돈까스&amp;치킨까스도시락</t>
    <phoneticPr fontId="3" type="noConversion"/>
  </si>
  <si>
    <t>골드)GFS]간지 6*6 1,000매*1봉</t>
    <phoneticPr fontId="3" type="noConversion"/>
  </si>
  <si>
    <t>혜자)돌아온명불허전</t>
  </si>
  <si>
    <t>혜자)돌아온명불허전</t>
    <phoneticPr fontId="3" type="noConversion"/>
  </si>
  <si>
    <t>혜자)돌아온명불허전</t>
    <phoneticPr fontId="3" type="noConversion"/>
  </si>
  <si>
    <t>혜자)돌아온명불허전</t>
    <phoneticPr fontId="3" type="noConversion"/>
  </si>
  <si>
    <t>혜자)돌아온명불허전</t>
    <phoneticPr fontId="3" type="noConversion"/>
  </si>
  <si>
    <t>혜자)돌아온명불허전</t>
    <phoneticPr fontId="3" type="noConversion"/>
  </si>
  <si>
    <t>혜자)돌아온명불허전</t>
    <phoneticPr fontId="3" type="noConversion"/>
  </si>
  <si>
    <t>[냉동]통살새우볼(15g*60)*10pk</t>
    <phoneticPr fontId="3" type="noConversion"/>
  </si>
  <si>
    <t>제이제이(D-1)월화수목금토</t>
    <phoneticPr fontId="3" type="noConversion"/>
  </si>
  <si>
    <t>아이투알)혜자)제육 난반 용기 400EA</t>
  </si>
  <si>
    <t>아이투알)★혜자)한상가득 한식,중식 뚜껑 400EA</t>
  </si>
  <si>
    <t>혜자)통등심돈까스&amp;치킨까스도시락</t>
    <phoneticPr fontId="3" type="noConversion"/>
  </si>
  <si>
    <t>[상온]데리야끼소스 2KG*6개입</t>
    <phoneticPr fontId="3" type="noConversion"/>
  </si>
  <si>
    <t>갯수토핑</t>
    <phoneticPr fontId="3" type="noConversion"/>
  </si>
  <si>
    <t>혜자)통등심돈까스&amp;치킨까스도시락</t>
    <phoneticPr fontId="3" type="noConversion"/>
  </si>
  <si>
    <t>종가)들기름묵은지참치</t>
    <phoneticPr fontId="3" type="noConversion"/>
  </si>
  <si>
    <t>[상온] 국내산들기름1.8L*6</t>
    <phoneticPr fontId="3" type="noConversion"/>
  </si>
  <si>
    <t>[상온] 오이피클랠리쉬(3kg*6)</t>
    <phoneticPr fontId="3" type="noConversion"/>
  </si>
  <si>
    <t>두레)DR-종이칼라베이킹컵1호</t>
  </si>
  <si>
    <t>이달의도시락10월</t>
    <phoneticPr fontId="3" type="noConversion"/>
  </si>
  <si>
    <t>이달의도시락10월</t>
    <phoneticPr fontId="3" type="noConversion"/>
  </si>
  <si>
    <t>이달의도시락10월</t>
    <phoneticPr fontId="3" type="noConversion"/>
  </si>
  <si>
    <t>이달의도시락10월</t>
  </si>
  <si>
    <t>이달의도시락10월</t>
    <phoneticPr fontId="3" type="noConversion"/>
  </si>
  <si>
    <t>이달의도시락10월</t>
    <phoneticPr fontId="3" type="noConversion"/>
  </si>
  <si>
    <t>이달의도시락10월</t>
    <phoneticPr fontId="3" type="noConversion"/>
  </si>
  <si>
    <t>이달의도시락10월</t>
    <phoneticPr fontId="3" type="noConversion"/>
  </si>
  <si>
    <t>이달의도시락10월</t>
    <phoneticPr fontId="3" type="noConversion"/>
  </si>
  <si>
    <t>이달의도시락10월</t>
    <phoneticPr fontId="3" type="noConversion"/>
  </si>
  <si>
    <t>이달의도시락10월</t>
    <phoneticPr fontId="3" type="noConversion"/>
  </si>
  <si>
    <t>[냉장]실비오그락지1KG(냉장)BOX(1kg*12ea)</t>
    <phoneticPr fontId="3" type="noConversion"/>
  </si>
  <si>
    <t>두레)DRG-2-1호(B)PP/진한우드 100개입*2줄 </t>
  </si>
  <si>
    <t>[냉동]뚝배기용돼지불고기 (2kg*5봉)</t>
    <phoneticPr fontId="3" type="noConversion"/>
  </si>
  <si>
    <t>이달의도시락10월</t>
    <phoneticPr fontId="3" type="noConversion"/>
  </si>
  <si>
    <t>[냉동]사조오양)굿픽한입물만두</t>
    <phoneticPr fontId="3" type="noConversion"/>
  </si>
  <si>
    <t>[냉장]마카로니샐러드(1kg*10봉)</t>
    <phoneticPr fontId="3" type="noConversion"/>
  </si>
  <si>
    <t>넷플)K스타일떡갈비김밥</t>
  </si>
  <si>
    <t>골드)GFS/서브]직화)골드)K스타일떡갈비김밥 500매*20봉</t>
    <phoneticPr fontId="3" type="noConversion"/>
  </si>
  <si>
    <t>[냉장]새콤한코울슬로우(1kg*12pk)</t>
    <phoneticPr fontId="3" type="noConversion"/>
  </si>
  <si>
    <t>용기)광장시장꼬마김밥</t>
  </si>
  <si>
    <t>넷플)K스타일떡갈비김밥</t>
    <phoneticPr fontId="3" type="noConversion"/>
  </si>
  <si>
    <t>혜자)통등심돈까스&amp;치킨까스도시락</t>
    <phoneticPr fontId="3" type="noConversion"/>
  </si>
  <si>
    <t>더큰)추석맥적구이한상</t>
    <phoneticPr fontId="3" type="noConversion"/>
  </si>
  <si>
    <t>용기)광장시장꼬마김밥</t>
    <phoneticPr fontId="3" type="noConversion"/>
  </si>
  <si>
    <t>[상온]1/2김(100*190mm)(실온)PK(200EA)*50pk</t>
    <phoneticPr fontId="3" type="noConversion"/>
  </si>
  <si>
    <t>[냉장]8mm김밥단무지2.5kg(냉장)BOX(2.5KG*4EA)</t>
    <phoneticPr fontId="3" type="noConversion"/>
  </si>
  <si>
    <t>용기)광장시장꼬마김밥</t>
    <phoneticPr fontId="3" type="noConversion"/>
  </si>
  <si>
    <t>슈퍼)착한김치김밥</t>
    <phoneticPr fontId="3" type="noConversion"/>
  </si>
  <si>
    <t>무스비)햄&amp;참치김치볶음밥</t>
    <phoneticPr fontId="3" type="noConversion"/>
  </si>
  <si>
    <t>참치김치볶음김밥</t>
    <phoneticPr fontId="3" type="noConversion"/>
  </si>
  <si>
    <t>필름)진미채치즈김밥</t>
    <phoneticPr fontId="3" type="noConversion"/>
  </si>
  <si>
    <t>혜자)통등심돈까스&amp;치킨까스도시락</t>
    <phoneticPr fontId="3" type="noConversion"/>
  </si>
  <si>
    <t>이달의도시락10월</t>
    <phoneticPr fontId="3" type="noConversion"/>
  </si>
  <si>
    <t>[냉장]겨자소스(PBOX) 15G*800개입</t>
    <phoneticPr fontId="3" type="noConversion"/>
  </si>
  <si>
    <t>[냉장]광장김밥조미액FS(PBOX) 2KG*10개입</t>
    <phoneticPr fontId="3" type="noConversion"/>
  </si>
  <si>
    <t>용기)광장시장꼬마김밥</t>
    <phoneticPr fontId="3" type="noConversion"/>
  </si>
  <si>
    <t>용기)광장시장꼬마김밥</t>
    <phoneticPr fontId="3" type="noConversion"/>
  </si>
  <si>
    <t>[상온]다담/강된장찌개양념(2kg*6ea)</t>
    <phoneticPr fontId="3" type="noConversion"/>
  </si>
  <si>
    <t>[상온]해찬들고추장</t>
    <phoneticPr fontId="3" type="noConversion"/>
  </si>
  <si>
    <t>더큰)추석맥적구이한상</t>
    <phoneticPr fontId="3" type="noConversion"/>
  </si>
  <si>
    <t>혜자)통등심돈까스&amp;치킨까스도시락</t>
    <phoneticPr fontId="3" type="noConversion"/>
  </si>
  <si>
    <t>[냉장]소세지야채볶음용소스(PBOX) 2KG*10개입</t>
    <phoneticPr fontId="3" type="noConversion"/>
  </si>
  <si>
    <t>더큰)추석맥적구이한상</t>
    <phoneticPr fontId="3" type="noConversion"/>
  </si>
  <si>
    <t>이달의도시락10월</t>
    <phoneticPr fontId="3" type="noConversion"/>
  </si>
  <si>
    <t>[냉장]부산어묵 볼 행복한맛남 PK.(1kg)</t>
    <phoneticPr fontId="3" type="noConversion"/>
  </si>
  <si>
    <t>[냉동] 매운마늘맛불고기(2kg*5ea)</t>
    <phoneticPr fontId="3" type="noConversion"/>
  </si>
  <si>
    <t>이달의도시락10월</t>
    <phoneticPr fontId="3" type="noConversion"/>
  </si>
  <si>
    <t>슈퍼)착한제육비빔밥</t>
    <phoneticPr fontId="3" type="noConversion"/>
  </si>
  <si>
    <t>뭘좋아할지몰라다넣어봤어</t>
    <phoneticPr fontId="3" type="noConversion"/>
  </si>
  <si>
    <t>두부김치제육</t>
    <phoneticPr fontId="3" type="noConversion"/>
  </si>
  <si>
    <t>슈퍼)착한핫도그(사라다)</t>
    <phoneticPr fontId="3" type="noConversion"/>
  </si>
  <si>
    <t>슈퍼)착한핫도그(오리지널)</t>
    <phoneticPr fontId="3" type="noConversion"/>
  </si>
  <si>
    <t>종가)묵은지김치제육 7/14삭제</t>
    <phoneticPr fontId="3" type="noConversion"/>
  </si>
  <si>
    <t>스팸계란치즈김밥</t>
    <phoneticPr fontId="3" type="noConversion"/>
  </si>
  <si>
    <t>참치김치볶음김밥</t>
    <phoneticPr fontId="3" type="noConversion"/>
  </si>
  <si>
    <t>넷플)K스타일떡갈비김밥</t>
    <phoneticPr fontId="3" type="noConversion"/>
  </si>
  <si>
    <t>혜자)돌아온명불허전</t>
    <phoneticPr fontId="3" type="noConversion"/>
  </si>
  <si>
    <t>N혜자)불고기오징어제육</t>
    <phoneticPr fontId="3" type="noConversion"/>
  </si>
  <si>
    <t>혜자)돌아온명불허전</t>
    <phoneticPr fontId="3" type="noConversion"/>
  </si>
  <si>
    <t>슈퍼)착한핫도그(오리지널)</t>
    <phoneticPr fontId="3" type="noConversion"/>
  </si>
  <si>
    <t>[냉동]곤드레나물(PBOX) 1KG*10개입 </t>
    <phoneticPr fontId="3" type="noConversion"/>
  </si>
  <si>
    <t>[냉동]깻잎순들깨나물(PBOX) 1KG*10개입</t>
    <phoneticPr fontId="3" type="noConversion"/>
  </si>
  <si>
    <t>[냉동]궁채느타리들깨볶음(PBOX) 1KG*10개입 </t>
    <phoneticPr fontId="3" type="noConversion"/>
  </si>
  <si>
    <t>[냉동]무나물볶음(PBOX) 1KG*10봉 </t>
    <phoneticPr fontId="3" type="noConversion"/>
  </si>
  <si>
    <t>[냉장] 다진맛김치(PBOX) 10KG*2개입</t>
    <phoneticPr fontId="3" type="noConversion"/>
  </si>
  <si>
    <t>[냉장] 볶음김치골드(5kg)*3</t>
    <phoneticPr fontId="3" type="noConversion"/>
  </si>
  <si>
    <t>참치김치볶음김밥</t>
    <phoneticPr fontId="3" type="noConversion"/>
  </si>
  <si>
    <t>뭘좋아할지몰라다넣어봤어</t>
    <phoneticPr fontId="3" type="noConversion"/>
  </si>
  <si>
    <t>[냉장]양념깻잎찜(PBOX) 1KG*15봉</t>
    <phoneticPr fontId="3" type="noConversion"/>
  </si>
  <si>
    <t>삼각)전주비빔</t>
    <phoneticPr fontId="3" type="noConversion"/>
  </si>
  <si>
    <t>이달의도시락9월(한가위편)</t>
    <phoneticPr fontId="3" type="noConversion"/>
  </si>
  <si>
    <t>혜자)돌아온등심돈까스</t>
    <phoneticPr fontId="3" type="noConversion"/>
  </si>
  <si>
    <t>프렌치파파)베이컨리조또 7/7삭제</t>
    <phoneticPr fontId="3" type="noConversion"/>
  </si>
  <si>
    <t>두부김치제육</t>
    <phoneticPr fontId="3" type="noConversion"/>
  </si>
  <si>
    <t>뭘좋아할지몰라다넣어봤어</t>
    <phoneticPr fontId="3" type="noConversion"/>
  </si>
  <si>
    <t>슈퍼)착한참치마요김밥</t>
    <phoneticPr fontId="3" type="noConversion"/>
  </si>
  <si>
    <t>직화)한돈제육쌈김밥</t>
    <phoneticPr fontId="3" type="noConversion"/>
  </si>
  <si>
    <t>슈퍼)착한김치김밥</t>
    <phoneticPr fontId="3" type="noConversion"/>
  </si>
  <si>
    <t>THE근본김밥</t>
    <phoneticPr fontId="3" type="noConversion"/>
  </si>
  <si>
    <t>필름)진미채치즈김밥</t>
    <phoneticPr fontId="3" type="noConversion"/>
  </si>
  <si>
    <t>필름)진미채치즈김밥</t>
    <phoneticPr fontId="3" type="noConversion"/>
  </si>
  <si>
    <t>슈퍼)착한참치마요김밥</t>
    <phoneticPr fontId="3" type="noConversion"/>
  </si>
  <si>
    <t>슈퍼)착한김치김밥</t>
    <phoneticPr fontId="3" type="noConversion"/>
  </si>
  <si>
    <t>이달의도시락10월</t>
    <phoneticPr fontId="3" type="noConversion"/>
  </si>
  <si>
    <t>슈퍼)착한핫도그(사라다)</t>
    <phoneticPr fontId="3" type="noConversion"/>
  </si>
  <si>
    <t>착한마파두부덮밥</t>
    <phoneticPr fontId="3" type="noConversion"/>
  </si>
  <si>
    <t>더큰)리챔참치마요</t>
    <phoneticPr fontId="3" type="noConversion"/>
  </si>
  <si>
    <t>[냉동] 코주부채어묵 (5kg*2ea)</t>
    <phoneticPr fontId="3" type="noConversion"/>
  </si>
  <si>
    <t>슈퍼)착한제육비빔밥</t>
    <phoneticPr fontId="3" type="noConversion"/>
  </si>
  <si>
    <t>혜자)통등심돈까스&amp;치킨까스도시락</t>
    <phoneticPr fontId="3" type="noConversion"/>
  </si>
  <si>
    <t>이달의도시락10월</t>
    <phoneticPr fontId="3" type="noConversion"/>
  </si>
  <si>
    <t>카톡발주</t>
    <phoneticPr fontId="3" type="noConversion"/>
  </si>
  <si>
    <t>아이투알)2.8파이 꼬마김밥 용기 90EA*9개입</t>
  </si>
  <si>
    <t>두부김치제육</t>
    <phoneticPr fontId="3" type="noConversion"/>
  </si>
  <si>
    <t>NEW혜자)백설갈비양념제육</t>
    <phoneticPr fontId="3" type="noConversion"/>
  </si>
  <si>
    <t>발주고</t>
    <phoneticPr fontId="3" type="noConversion"/>
  </si>
  <si>
    <t>[상온] 모아하우스머스타드(3.628kg*4ea)</t>
    <phoneticPr fontId="3" type="noConversion"/>
  </si>
  <si>
    <t>월(26)</t>
    <phoneticPr fontId="3" type="noConversion"/>
  </si>
  <si>
    <t>화(27)</t>
    <phoneticPr fontId="3" type="noConversion"/>
  </si>
  <si>
    <t>[상온]빵가루(상온)PK(10kg)</t>
    <phoneticPr fontId="3" type="noConversion"/>
  </si>
  <si>
    <t>용기)에그햄꼬마김밥</t>
    <phoneticPr fontId="3" type="noConversion"/>
  </si>
  <si>
    <t>커플)곱창김참치마요&amp;전주비빔</t>
  </si>
  <si>
    <t>용기)에그햄꼬마김밥</t>
    <phoneticPr fontId="3" type="noConversion"/>
  </si>
  <si>
    <t>커플)곱창김참치마요&amp;전주비빔</t>
    <phoneticPr fontId="3" type="noConversion"/>
  </si>
  <si>
    <t>용기)광장시장꼬마김밥</t>
    <phoneticPr fontId="3" type="noConversion"/>
  </si>
  <si>
    <t>용기)에그햄꼬마김밥</t>
    <phoneticPr fontId="3" type="noConversion"/>
  </si>
  <si>
    <t>아이투알)2.8파이 꼬마김밥 뚜껑 60EA*9개</t>
    <phoneticPr fontId="3" type="noConversion"/>
  </si>
  <si>
    <t>용기)에그햄꼬마김밥</t>
    <phoneticPr fontId="3" type="noConversion"/>
  </si>
  <si>
    <t>넷플)K스타일떡갈비김밥</t>
    <phoneticPr fontId="3" type="noConversion"/>
  </si>
  <si>
    <t>[냉동]김밥용남도떡갈비140 PK(140g*10ea)★ </t>
    <phoneticPr fontId="3" type="noConversion"/>
  </si>
  <si>
    <t>넷플)K스타일떡갈비김밥</t>
    <phoneticPr fontId="3" type="noConversion"/>
  </si>
  <si>
    <t>넷플)K스타일떡갈비김밥</t>
    <phoneticPr fontId="3" type="noConversion"/>
  </si>
  <si>
    <t>`</t>
    <phoneticPr fontId="3" type="noConversion"/>
  </si>
  <si>
    <t>[냉장]숯불갈비맛스모크햄세절48(1KG*10)</t>
  </si>
  <si>
    <t>용기)에그햄꼬마김밥</t>
    <phoneticPr fontId="3" type="noConversion"/>
  </si>
  <si>
    <t>용기)에그햄꼬마김밥</t>
    <phoneticPr fontId="3" type="noConversion"/>
  </si>
  <si>
    <t>용기)에그햄꼬마김밥</t>
    <phoneticPr fontId="3" type="noConversion"/>
  </si>
  <si>
    <t>오뚜기 (D-2) 월화수목금토</t>
    <phoneticPr fontId="3" type="noConversion"/>
  </si>
  <si>
    <t>흥선(D-1) 월화수목금토</t>
    <phoneticPr fontId="3" type="noConversion"/>
  </si>
  <si>
    <t>.</t>
    <phoneticPr fontId="3" type="noConversion"/>
  </si>
  <si>
    <t>발주 수정요청서</t>
    <phoneticPr fontId="41" type="noConversion"/>
  </si>
  <si>
    <t>FF공장명</t>
    <phoneticPr fontId="41" type="noConversion"/>
  </si>
  <si>
    <t>GFS</t>
    <phoneticPr fontId="41" type="noConversion"/>
  </si>
  <si>
    <t>입고 
예정수량 합계</t>
  </si>
  <si>
    <t>상품입고
요청일</t>
    <phoneticPr fontId="41" type="noConversion"/>
  </si>
  <si>
    <t>(단위: 박스)</t>
    <phoneticPr fontId="41" type="noConversion"/>
  </si>
  <si>
    <t>No.</t>
    <phoneticPr fontId="41" type="noConversion"/>
  </si>
  <si>
    <t>상품코드</t>
    <phoneticPr fontId="41" type="noConversion"/>
  </si>
  <si>
    <t>상품명</t>
    <phoneticPr fontId="41" type="noConversion"/>
  </si>
  <si>
    <t>기존
발주량</t>
    <phoneticPr fontId="41" type="noConversion"/>
  </si>
  <si>
    <t>추가
발주량</t>
    <phoneticPr fontId="41" type="noConversion"/>
  </si>
  <si>
    <t>삭제
발주량</t>
    <phoneticPr fontId="41" type="noConversion"/>
  </si>
  <si>
    <t>최종 발주량</t>
    <phoneticPr fontId="41" type="noConversion"/>
  </si>
  <si>
    <t>비고</t>
    <phoneticPr fontId="41" type="noConversion"/>
  </si>
  <si>
    <t>3001000010 </t>
  </si>
  <si>
    <t>시간경과</t>
    <phoneticPr fontId="41" type="noConversion"/>
  </si>
  <si>
    <t>[냉장]W갈릭마요소스(PBOX) 25G*480개입</t>
    <phoneticPr fontId="3" type="noConversion"/>
  </si>
  <si>
    <t>용기)에그햄꼬마김밥</t>
    <phoneticPr fontId="3" type="noConversion"/>
  </si>
  <si>
    <t>커플)곱창김참치마요&amp;전주비빔</t>
    <phoneticPr fontId="3" type="noConversion"/>
  </si>
  <si>
    <t>용기)에그햄꼬마김밥</t>
    <phoneticPr fontId="3" type="noConversion"/>
  </si>
  <si>
    <t>용기)에그햄꼬마김밥</t>
    <phoneticPr fontId="3" type="noConversion"/>
  </si>
  <si>
    <t>[상온]곱창삼각김밥김소프트PK(125g)</t>
    <phoneticPr fontId="3" type="noConversion"/>
  </si>
  <si>
    <t>수(28)</t>
    <phoneticPr fontId="3" type="noConversion"/>
  </si>
  <si>
    <t>목(29)</t>
    <phoneticPr fontId="3" type="noConversion"/>
  </si>
  <si>
    <t>금(30)</t>
    <phoneticPr fontId="3" type="noConversion"/>
  </si>
  <si>
    <t>토(31)</t>
    <phoneticPr fontId="3" type="noConversion"/>
  </si>
  <si>
    <t>일(01)</t>
    <phoneticPr fontId="3" type="noConversion"/>
  </si>
  <si>
    <t>용기)에그햄꼬마김밥</t>
  </si>
  <si>
    <t>용기)에그햄꼬마김밥</t>
    <phoneticPr fontId="3" type="noConversion"/>
  </si>
  <si>
    <t>커플)곱창김참치마요&amp;전주비빔</t>
    <phoneticPr fontId="3" type="noConversion"/>
  </si>
  <si>
    <t>[상온] 건국연유(5kg*2봉)</t>
  </si>
  <si>
    <t>[냉장] 신슈단무지 찹핑 (1kg*10pk )</t>
    <phoneticPr fontId="3" type="noConversion"/>
  </si>
  <si>
    <t>\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</si>
</sst>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-&quot;₩&quot;* #,##0.00_-;\-&quot;₩&quot;* #,##0.00_-;_-&quot;₩&quot;* &quot;-&quot;??_-;_-@_-"/>
    <numFmt numFmtId="176" formatCode="0_ ;[Red]\-0\ "/>
    <numFmt numFmtId="177" formatCode="0.0000_);[Red]\(0.0000\)"/>
    <numFmt numFmtId="178" formatCode="_(* #,##0_);_(* \(#,##0\);_(* &quot;-&quot;_);_(@_)"/>
    <numFmt numFmtId="179" formatCode="#,##0.00;\-#,##0.00;;@"/>
    <numFmt numFmtId="180" formatCode="0.0"/>
    <numFmt numFmtId="181" formatCode="General&quot; K&quot;&quot;G&quot;"/>
    <numFmt numFmtId="182" formatCode="General\ &quot; K&quot;&quot;G&quot;"/>
    <numFmt numFmtId="183" formatCode="0.000"/>
    <numFmt numFmtId="184" formatCode="0.00_);[Red]\(0.00\)"/>
    <numFmt numFmtId="185" formatCode="0.0&quot;포&quot;"/>
    <numFmt numFmtId="186" formatCode="0,000&quot;g&quot;"/>
    <numFmt numFmtId="187" formatCode="0.0_ ;[Red]\-0.0\ "/>
    <numFmt numFmtId="188" formatCode="_-&quot;₩&quot;* #,##0.0_-;\-&quot;₩&quot;* #,##0.0_-;_-&quot;₩&quot;* &quot;-&quot;?_-;_-@_-"/>
    <numFmt numFmtId="189" formatCode="0,000&quot;장&quot;"/>
    <numFmt numFmtId="190" formatCode="0_ "/>
  </numFmts>
  <fonts count="4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i/>
      <u/>
      <sz val="9"/>
      <name val="맑은 고딕"/>
      <family val="3"/>
      <charset val="129"/>
      <scheme val="minor"/>
    </font>
    <font>
      <b/>
      <i/>
      <u/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i/>
      <u/>
      <sz val="8"/>
      <name val="맑은 고딕"/>
      <family val="3"/>
      <charset val="129"/>
      <scheme val="minor"/>
    </font>
    <font>
      <b/>
      <i/>
      <u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name val="굴림체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9"/>
      <color indexed="81"/>
      <name val="맑은 고딕"/>
      <family val="3"/>
      <charset val="129"/>
      <scheme val="major"/>
    </font>
    <font>
      <b/>
      <sz val="1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i/>
      <u/>
      <sz val="10"/>
      <color rgb="FFFF0000"/>
      <name val="맑은 고딕"/>
      <family val="3"/>
      <charset val="129"/>
      <scheme val="minor"/>
    </font>
    <font>
      <b/>
      <u/>
      <sz val="10"/>
      <name val="맑은 고딕"/>
      <family val="3"/>
      <charset val="129"/>
      <scheme val="minor"/>
    </font>
    <font>
      <b/>
      <i/>
      <u/>
      <sz val="9"/>
      <color rgb="FFFF0000"/>
      <name val="맑은 고딕"/>
      <family val="3"/>
      <charset val="129"/>
      <scheme val="minor"/>
    </font>
    <font>
      <b/>
      <i/>
      <u/>
      <sz val="9"/>
      <color rgb="FF00B0F0"/>
      <name val="맑은 고딕"/>
      <family val="3"/>
      <charset val="129"/>
      <scheme val="minor"/>
    </font>
    <font>
      <b/>
      <i/>
      <sz val="11"/>
      <name val="맑은 고딕"/>
      <family val="3"/>
      <charset val="129"/>
      <scheme val="minor"/>
    </font>
    <font>
      <b/>
      <u/>
      <sz val="12"/>
      <color rgb="FFFF0000"/>
      <name val="맑은 고딕"/>
      <family val="3"/>
      <charset val="129"/>
      <scheme val="minor"/>
    </font>
    <font>
      <b/>
      <u/>
      <sz val="10"/>
      <color rgb="FFFF0000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i/>
      <u/>
      <sz val="9"/>
      <color theme="1"/>
      <name val="맑은 고딕"/>
      <family val="3"/>
      <charset val="129"/>
      <scheme val="minor"/>
    </font>
    <font>
      <b/>
      <u/>
      <sz val="2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9"/>
      <color indexed="81"/>
      <name val="맑은 고딕"/>
      <family val="3"/>
      <charset val="129"/>
    </font>
  </fonts>
  <fills count="2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533BE"/>
        <bgColor indexed="64"/>
      </patternFill>
    </fill>
    <fill>
      <patternFill patternType="solid">
        <fgColor rgb="FF71B86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E8D9F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000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178" fontId="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3" fillId="0" borderId="0"/>
    <xf numFmtId="178" fontId="23" fillId="0" borderId="0" applyFont="0" applyFill="0" applyBorder="0" applyAlignment="0" applyProtection="0">
      <alignment vertical="center"/>
    </xf>
    <xf numFmtId="0" fontId="23" fillId="0" borderId="0">
      <alignment vertical="center"/>
    </xf>
  </cellStyleXfs>
  <cellXfs count="357">
    <xf numFmtId="0" fontId="0" fillId="0" borderId="0" xfId="0">
      <alignment vertical="center"/>
    </xf>
    <xf numFmtId="0" fontId="5" fillId="0" borderId="0" xfId="0" applyFont="1" applyProtection="1">
      <alignment vertical="center"/>
      <protection locked="0"/>
    </xf>
    <xf numFmtId="0" fontId="6" fillId="0" borderId="1" xfId="0" applyFont="1" applyBorder="1" applyAlignment="1" applyProtection="1">
      <alignment horizontal="left" vertical="top"/>
      <protection locked="0"/>
    </xf>
    <xf numFmtId="176" fontId="6" fillId="0" borderId="1" xfId="0" applyNumberFormat="1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Protection="1">
      <alignment vertical="center"/>
      <protection locked="0"/>
    </xf>
    <xf numFmtId="0" fontId="5" fillId="0" borderId="2" xfId="0" applyFont="1" applyBorder="1">
      <alignment vertical="center"/>
    </xf>
    <xf numFmtId="0" fontId="5" fillId="4" borderId="1" xfId="0" applyFont="1" applyFill="1" applyBorder="1">
      <alignment vertical="center"/>
    </xf>
    <xf numFmtId="176" fontId="5" fillId="4" borderId="1" xfId="0" applyNumberFormat="1" applyFont="1" applyFill="1" applyBorder="1">
      <alignment vertical="center"/>
    </xf>
    <xf numFmtId="0" fontId="6" fillId="5" borderId="1" xfId="0" applyFont="1" applyFill="1" applyBorder="1" applyProtection="1">
      <alignment vertical="center"/>
      <protection locked="0"/>
    </xf>
    <xf numFmtId="178" fontId="5" fillId="5" borderId="1" xfId="1" applyFont="1" applyFill="1" applyBorder="1" applyProtection="1">
      <alignment vertical="center"/>
      <protection locked="0"/>
    </xf>
    <xf numFmtId="0" fontId="8" fillId="0" borderId="1" xfId="0" applyFont="1" applyBorder="1" applyAlignment="1" applyProtection="1">
      <alignment horizontal="right" vertical="center"/>
      <protection locked="0"/>
    </xf>
    <xf numFmtId="0" fontId="11" fillId="0" borderId="1" xfId="0" applyFont="1" applyBorder="1" applyAlignment="1" applyProtection="1">
      <alignment horizontal="right" vertical="center"/>
      <protection locked="0"/>
    </xf>
    <xf numFmtId="0" fontId="12" fillId="0" borderId="1" xfId="0" applyFont="1" applyBorder="1" applyAlignment="1" applyProtection="1">
      <alignment horizontal="right" vertical="center"/>
      <protection locked="0"/>
    </xf>
    <xf numFmtId="0" fontId="9" fillId="3" borderId="1" xfId="0" applyFont="1" applyFill="1" applyBorder="1" applyProtection="1">
      <alignment vertical="center"/>
      <protection locked="0"/>
    </xf>
    <xf numFmtId="0" fontId="8" fillId="0" borderId="1" xfId="0" applyFont="1" applyBorder="1" applyAlignment="1" applyProtection="1">
      <alignment horizontal="right" vertical="top"/>
      <protection locked="0"/>
    </xf>
    <xf numFmtId="0" fontId="12" fillId="0" borderId="1" xfId="0" applyFont="1" applyBorder="1" applyAlignment="1" applyProtection="1">
      <alignment horizontal="right" vertical="top"/>
      <protection locked="0"/>
    </xf>
    <xf numFmtId="176" fontId="5" fillId="0" borderId="1" xfId="0" applyNumberFormat="1" applyFont="1" applyBorder="1">
      <alignment vertical="center"/>
    </xf>
    <xf numFmtId="0" fontId="6" fillId="0" borderId="0" xfId="0" applyFont="1" applyProtection="1">
      <alignment vertical="center"/>
      <protection locked="0"/>
    </xf>
    <xf numFmtId="176" fontId="6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177" fontId="5" fillId="0" borderId="0" xfId="0" applyNumberFormat="1" applyFont="1">
      <alignment vertical="center"/>
    </xf>
    <xf numFmtId="178" fontId="5" fillId="0" borderId="0" xfId="1" applyFont="1" applyBorder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178" fontId="20" fillId="0" borderId="0" xfId="1" applyFont="1" applyAlignment="1">
      <alignment horizontal="center" vertical="center"/>
    </xf>
    <xf numFmtId="178" fontId="13" fillId="0" borderId="0" xfId="1" applyFont="1" applyAlignment="1">
      <alignment horizontal="center" vertical="center"/>
    </xf>
    <xf numFmtId="178" fontId="0" fillId="0" borderId="0" xfId="1" applyFont="1">
      <alignment vertical="center"/>
    </xf>
    <xf numFmtId="179" fontId="6" fillId="0" borderId="4" xfId="3" applyNumberFormat="1" applyFont="1" applyBorder="1" applyAlignment="1">
      <alignment horizontal="left" vertical="center"/>
    </xf>
    <xf numFmtId="179" fontId="6" fillId="0" borderId="4" xfId="3" applyNumberFormat="1" applyFont="1" applyBorder="1" applyAlignment="1">
      <alignment horizontal="right" vertical="center"/>
    </xf>
    <xf numFmtId="179" fontId="6" fillId="0" borderId="1" xfId="4" applyNumberFormat="1" applyFont="1" applyFill="1" applyBorder="1" applyAlignment="1">
      <alignment horizontal="right" vertical="center"/>
    </xf>
    <xf numFmtId="2" fontId="6" fillId="0" borderId="1" xfId="0" applyNumberFormat="1" applyFont="1" applyBorder="1" applyAlignment="1">
      <alignment horizontal="right" vertical="center"/>
    </xf>
    <xf numFmtId="2" fontId="6" fillId="0" borderId="2" xfId="0" applyNumberFormat="1" applyFont="1" applyBorder="1" applyAlignment="1">
      <alignment horizontal="right" vertical="center"/>
    </xf>
    <xf numFmtId="2" fontId="14" fillId="0" borderId="1" xfId="0" applyNumberFormat="1" applyFont="1" applyBorder="1" applyAlignment="1">
      <alignment horizontal="right" vertical="center"/>
    </xf>
    <xf numFmtId="0" fontId="5" fillId="3" borderId="3" xfId="0" applyFont="1" applyFill="1" applyBorder="1" applyAlignment="1" applyProtection="1">
      <alignment horizontal="right" vertical="center"/>
      <protection locked="0"/>
    </xf>
    <xf numFmtId="178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2" fontId="5" fillId="0" borderId="2" xfId="0" applyNumberFormat="1" applyFont="1" applyBorder="1">
      <alignment vertical="center"/>
    </xf>
    <xf numFmtId="180" fontId="5" fillId="0" borderId="2" xfId="0" applyNumberFormat="1" applyFont="1" applyBorder="1">
      <alignment vertical="center"/>
    </xf>
    <xf numFmtId="178" fontId="5" fillId="5" borderId="2" xfId="1" applyFont="1" applyFill="1" applyBorder="1" applyProtection="1">
      <alignment vertical="center"/>
      <protection locked="0"/>
    </xf>
    <xf numFmtId="178" fontId="5" fillId="0" borderId="0" xfId="1" applyFont="1" applyFill="1" applyBorder="1" applyProtection="1">
      <alignment vertical="center"/>
      <protection locked="0"/>
    </xf>
    <xf numFmtId="178" fontId="5" fillId="0" borderId="0" xfId="1" applyFont="1" applyProtection="1">
      <alignment vertical="center"/>
      <protection locked="0"/>
    </xf>
    <xf numFmtId="0" fontId="7" fillId="0" borderId="1" xfId="0" quotePrefix="1" applyFont="1" applyBorder="1" applyAlignment="1" applyProtection="1">
      <alignment horizontal="right" vertical="top"/>
      <protection locked="0"/>
    </xf>
    <xf numFmtId="0" fontId="10" fillId="0" borderId="0" xfId="0" applyFont="1">
      <alignment vertical="center"/>
    </xf>
    <xf numFmtId="182" fontId="5" fillId="0" borderId="2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178" fontId="5" fillId="0" borderId="2" xfId="1" applyFont="1" applyBorder="1">
      <alignment vertical="center"/>
    </xf>
    <xf numFmtId="0" fontId="6" fillId="0" borderId="1" xfId="0" applyFont="1" applyBorder="1" applyProtection="1">
      <alignment vertical="center"/>
      <protection locked="0"/>
    </xf>
    <xf numFmtId="178" fontId="5" fillId="0" borderId="1" xfId="1" applyFont="1" applyFill="1" applyBorder="1" applyProtection="1">
      <alignment vertical="center"/>
      <protection locked="0"/>
    </xf>
    <xf numFmtId="179" fontId="6" fillId="0" borderId="2" xfId="4" applyNumberFormat="1" applyFont="1" applyFill="1" applyBorder="1" applyAlignment="1">
      <alignment horizontal="right" vertical="center"/>
    </xf>
    <xf numFmtId="179" fontId="6" fillId="0" borderId="13" xfId="3" applyNumberFormat="1" applyFont="1" applyBorder="1" applyAlignment="1">
      <alignment horizontal="left" vertical="center"/>
    </xf>
    <xf numFmtId="179" fontId="6" fillId="0" borderId="1" xfId="3" applyNumberFormat="1" applyFont="1" applyBorder="1" applyAlignment="1">
      <alignment horizontal="left" vertical="center"/>
    </xf>
    <xf numFmtId="179" fontId="6" fillId="0" borderId="1" xfId="3" applyNumberFormat="1" applyFont="1" applyBorder="1" applyAlignment="1">
      <alignment horizontal="right" vertical="center"/>
    </xf>
    <xf numFmtId="179" fontId="6" fillId="0" borderId="13" xfId="3" applyNumberFormat="1" applyFont="1" applyBorder="1" applyAlignment="1">
      <alignment horizontal="right" vertical="center"/>
    </xf>
    <xf numFmtId="0" fontId="5" fillId="3" borderId="1" xfId="0" applyFont="1" applyFill="1" applyBorder="1">
      <alignment vertical="center"/>
    </xf>
    <xf numFmtId="0" fontId="5" fillId="5" borderId="1" xfId="0" applyFont="1" applyFill="1" applyBorder="1" applyProtection="1">
      <alignment vertical="center"/>
      <protection locked="0"/>
    </xf>
    <xf numFmtId="184" fontId="6" fillId="0" borderId="1" xfId="0" applyNumberFormat="1" applyFont="1" applyBorder="1">
      <alignment vertical="center"/>
    </xf>
    <xf numFmtId="0" fontId="6" fillId="12" borderId="1" xfId="0" applyFont="1" applyFill="1" applyBorder="1" applyAlignment="1" applyProtection="1">
      <alignment horizontal="left" vertical="top"/>
      <protection locked="0"/>
    </xf>
    <xf numFmtId="0" fontId="8" fillId="12" borderId="1" xfId="0" applyFont="1" applyFill="1" applyBorder="1" applyAlignment="1" applyProtection="1">
      <alignment horizontal="right" vertical="center"/>
      <protection locked="0"/>
    </xf>
    <xf numFmtId="0" fontId="12" fillId="12" borderId="1" xfId="0" applyFont="1" applyFill="1" applyBorder="1" applyAlignment="1" applyProtection="1">
      <alignment horizontal="right" vertical="center"/>
      <protection locked="0"/>
    </xf>
    <xf numFmtId="0" fontId="12" fillId="12" borderId="1" xfId="0" applyFont="1" applyFill="1" applyBorder="1" applyAlignment="1" applyProtection="1">
      <alignment horizontal="right" vertical="top"/>
      <protection locked="0"/>
    </xf>
    <xf numFmtId="0" fontId="13" fillId="12" borderId="1" xfId="0" applyFont="1" applyFill="1" applyBorder="1" applyAlignment="1">
      <alignment horizontal="left" vertical="top"/>
    </xf>
    <xf numFmtId="0" fontId="8" fillId="12" borderId="1" xfId="0" applyFont="1" applyFill="1" applyBorder="1" applyAlignment="1" applyProtection="1">
      <alignment horizontal="right" vertical="top"/>
      <protection locked="0"/>
    </xf>
    <xf numFmtId="179" fontId="6" fillId="12" borderId="9" xfId="3" applyNumberFormat="1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center" vertical="center" wrapText="1"/>
    </xf>
    <xf numFmtId="0" fontId="11" fillId="0" borderId="17" xfId="0" applyFont="1" applyBorder="1" applyAlignment="1" applyProtection="1">
      <alignment horizontal="right" vertical="center"/>
      <protection locked="0"/>
    </xf>
    <xf numFmtId="0" fontId="5" fillId="0" borderId="17" xfId="0" applyFont="1" applyBorder="1" applyAlignment="1">
      <alignment horizontal="center" vertical="center"/>
    </xf>
    <xf numFmtId="176" fontId="6" fillId="0" borderId="17" xfId="0" applyNumberFormat="1" applyFont="1" applyBorder="1">
      <alignment vertical="center"/>
    </xf>
    <xf numFmtId="0" fontId="5" fillId="3" borderId="17" xfId="0" applyFont="1" applyFill="1" applyBorder="1" applyProtection="1">
      <alignment vertical="center"/>
      <protection locked="0"/>
    </xf>
    <xf numFmtId="0" fontId="5" fillId="0" borderId="22" xfId="0" applyFont="1" applyBorder="1">
      <alignment vertical="center"/>
    </xf>
    <xf numFmtId="0" fontId="5" fillId="3" borderId="23" xfId="0" applyFont="1" applyFill="1" applyBorder="1" applyAlignment="1" applyProtection="1">
      <alignment horizontal="right" vertical="center"/>
      <protection locked="0"/>
    </xf>
    <xf numFmtId="0" fontId="5" fillId="4" borderId="17" xfId="0" applyFont="1" applyFill="1" applyBorder="1">
      <alignment vertical="center"/>
    </xf>
    <xf numFmtId="176" fontId="5" fillId="4" borderId="17" xfId="0" applyNumberFormat="1" applyFont="1" applyFill="1" applyBorder="1">
      <alignment vertical="center"/>
    </xf>
    <xf numFmtId="184" fontId="6" fillId="0" borderId="17" xfId="0" applyNumberFormat="1" applyFont="1" applyBorder="1">
      <alignment vertical="center"/>
    </xf>
    <xf numFmtId="0" fontId="6" fillId="5" borderId="17" xfId="0" applyFont="1" applyFill="1" applyBorder="1" applyProtection="1">
      <alignment vertical="center"/>
      <protection locked="0"/>
    </xf>
    <xf numFmtId="178" fontId="5" fillId="5" borderId="17" xfId="1" applyFont="1" applyFill="1" applyBorder="1" applyProtection="1">
      <alignment vertical="center"/>
      <protection locked="0"/>
    </xf>
    <xf numFmtId="178" fontId="6" fillId="13" borderId="6" xfId="1" applyFont="1" applyFill="1" applyBorder="1" applyAlignment="1" applyProtection="1">
      <alignment horizontal="center" vertical="center"/>
    </xf>
    <xf numFmtId="0" fontId="5" fillId="14" borderId="14" xfId="0" applyFont="1" applyFill="1" applyBorder="1">
      <alignment vertical="center"/>
    </xf>
    <xf numFmtId="0" fontId="5" fillId="13" borderId="11" xfId="0" applyFont="1" applyFill="1" applyBorder="1">
      <alignment vertical="center"/>
    </xf>
    <xf numFmtId="0" fontId="5" fillId="13" borderId="4" xfId="0" applyFont="1" applyFill="1" applyBorder="1">
      <alignment vertical="center"/>
    </xf>
    <xf numFmtId="176" fontId="5" fillId="0" borderId="0" xfId="0" applyNumberFormat="1" applyFont="1">
      <alignment vertical="center"/>
    </xf>
    <xf numFmtId="177" fontId="6" fillId="13" borderId="24" xfId="0" applyNumberFormat="1" applyFont="1" applyFill="1" applyBorder="1" applyAlignment="1">
      <alignment horizontal="center" vertical="center"/>
    </xf>
    <xf numFmtId="0" fontId="6" fillId="13" borderId="15" xfId="0" applyFont="1" applyFill="1" applyBorder="1" applyAlignment="1" applyProtection="1">
      <alignment horizontal="center" vertical="center"/>
      <protection locked="0"/>
    </xf>
    <xf numFmtId="0" fontId="6" fillId="13" borderId="25" xfId="0" applyFont="1" applyFill="1" applyBorder="1" applyAlignment="1" applyProtection="1">
      <alignment horizontal="center" vertical="center"/>
      <protection locked="0"/>
    </xf>
    <xf numFmtId="176" fontId="6" fillId="13" borderId="25" xfId="0" applyNumberFormat="1" applyFont="1" applyFill="1" applyBorder="1" applyAlignment="1">
      <alignment horizontal="center" vertical="center"/>
    </xf>
    <xf numFmtId="0" fontId="6" fillId="13" borderId="25" xfId="0" applyFont="1" applyFill="1" applyBorder="1" applyAlignment="1">
      <alignment horizontal="center" vertical="center"/>
    </xf>
    <xf numFmtId="176" fontId="14" fillId="13" borderId="25" xfId="0" applyNumberFormat="1" applyFont="1" applyFill="1" applyBorder="1" applyAlignment="1">
      <alignment horizontal="center" vertical="center"/>
    </xf>
    <xf numFmtId="177" fontId="6" fillId="13" borderId="16" xfId="0" applyNumberFormat="1" applyFont="1" applyFill="1" applyBorder="1" applyAlignment="1">
      <alignment horizontal="center" vertical="center"/>
    </xf>
    <xf numFmtId="178" fontId="6" fillId="0" borderId="26" xfId="1" applyFont="1" applyFill="1" applyBorder="1" applyAlignment="1" applyProtection="1">
      <alignment horizontal="center" vertical="center"/>
    </xf>
    <xf numFmtId="0" fontId="8" fillId="13" borderId="1" xfId="0" applyFont="1" applyFill="1" applyBorder="1" applyAlignment="1" applyProtection="1">
      <alignment horizontal="right" vertical="center"/>
      <protection locked="0"/>
    </xf>
    <xf numFmtId="0" fontId="13" fillId="0" borderId="1" xfId="0" applyFont="1" applyBorder="1" applyAlignment="1" applyProtection="1">
      <alignment horizontal="left" vertical="top"/>
      <protection locked="0"/>
    </xf>
    <xf numFmtId="182" fontId="12" fillId="0" borderId="1" xfId="0" applyNumberFormat="1" applyFont="1" applyBorder="1" applyAlignment="1" applyProtection="1">
      <alignment horizontal="right" vertical="center"/>
      <protection locked="0"/>
    </xf>
    <xf numFmtId="183" fontId="8" fillId="0" borderId="1" xfId="0" applyNumberFormat="1" applyFont="1" applyBorder="1" applyAlignment="1" applyProtection="1">
      <alignment horizontal="right" vertical="center"/>
      <protection locked="0"/>
    </xf>
    <xf numFmtId="181" fontId="12" fillId="0" borderId="1" xfId="0" applyNumberFormat="1" applyFont="1" applyBorder="1" applyAlignment="1" applyProtection="1">
      <alignment horizontal="right" vertical="center"/>
      <protection locked="0"/>
    </xf>
    <xf numFmtId="0" fontId="6" fillId="15" borderId="1" xfId="0" applyFont="1" applyFill="1" applyBorder="1" applyAlignment="1" applyProtection="1">
      <alignment horizontal="left" vertical="top"/>
      <protection locked="0"/>
    </xf>
    <xf numFmtId="0" fontId="6" fillId="16" borderId="1" xfId="0" applyFont="1" applyFill="1" applyBorder="1" applyAlignment="1" applyProtection="1">
      <alignment horizontal="left" vertical="top"/>
      <protection locked="0"/>
    </xf>
    <xf numFmtId="0" fontId="6" fillId="13" borderId="28" xfId="2" applyFont="1" applyFill="1" applyBorder="1" applyAlignment="1">
      <alignment horizontal="center" vertical="center"/>
    </xf>
    <xf numFmtId="0" fontId="6" fillId="13" borderId="29" xfId="2" applyFont="1" applyFill="1" applyBorder="1" applyAlignment="1">
      <alignment horizontal="center" vertical="center"/>
    </xf>
    <xf numFmtId="0" fontId="2" fillId="13" borderId="29" xfId="2" applyFont="1" applyFill="1" applyBorder="1" applyAlignment="1">
      <alignment horizontal="center" vertical="center"/>
    </xf>
    <xf numFmtId="0" fontId="2" fillId="13" borderId="6" xfId="2" applyFont="1" applyFill="1" applyBorder="1" applyAlignment="1">
      <alignment horizontal="center" vertical="center"/>
    </xf>
    <xf numFmtId="0" fontId="9" fillId="17" borderId="6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179" fontId="6" fillId="0" borderId="20" xfId="3" applyNumberFormat="1" applyFont="1" applyBorder="1" applyAlignment="1">
      <alignment horizontal="left" vertical="center"/>
    </xf>
    <xf numFmtId="179" fontId="14" fillId="0" borderId="27" xfId="3" applyNumberFormat="1" applyFont="1" applyBorder="1" applyAlignment="1">
      <alignment horizontal="left" vertical="center"/>
    </xf>
    <xf numFmtId="179" fontId="6" fillId="0" borderId="11" xfId="3" applyNumberFormat="1" applyFont="1" applyBorder="1" applyAlignment="1">
      <alignment horizontal="right" vertical="center"/>
    </xf>
    <xf numFmtId="2" fontId="14" fillId="0" borderId="17" xfId="0" applyNumberFormat="1" applyFont="1" applyBorder="1" applyAlignment="1">
      <alignment horizontal="right" vertical="center"/>
    </xf>
    <xf numFmtId="2" fontId="14" fillId="0" borderId="22" xfId="0" applyNumberFormat="1" applyFont="1" applyBorder="1" applyAlignment="1">
      <alignment horizontal="right" vertical="center"/>
    </xf>
    <xf numFmtId="2" fontId="6" fillId="0" borderId="17" xfId="0" applyNumberFormat="1" applyFont="1" applyBorder="1" applyAlignment="1">
      <alignment horizontal="right" vertical="center"/>
    </xf>
    <xf numFmtId="2" fontId="6" fillId="0" borderId="13" xfId="0" applyNumberFormat="1" applyFont="1" applyBorder="1" applyAlignment="1">
      <alignment horizontal="right" vertical="center"/>
    </xf>
    <xf numFmtId="2" fontId="14" fillId="0" borderId="13" xfId="0" applyNumberFormat="1" applyFont="1" applyBorder="1" applyAlignment="1">
      <alignment horizontal="right" vertical="center"/>
    </xf>
    <xf numFmtId="176" fontId="6" fillId="11" borderId="1" xfId="0" applyNumberFormat="1" applyFont="1" applyFill="1" applyBorder="1">
      <alignment vertical="center"/>
    </xf>
    <xf numFmtId="0" fontId="12" fillId="13" borderId="1" xfId="0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vertical="center" wrapText="1"/>
    </xf>
    <xf numFmtId="178" fontId="0" fillId="0" borderId="1" xfId="1" applyFont="1" applyBorder="1">
      <alignment vertical="center"/>
    </xf>
    <xf numFmtId="0" fontId="13" fillId="17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19" borderId="1" xfId="0" applyFont="1" applyFill="1" applyBorder="1" applyAlignment="1">
      <alignment horizontal="center" vertical="center" wrapText="1"/>
    </xf>
    <xf numFmtId="178" fontId="13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178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78" fontId="0" fillId="0" borderId="17" xfId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right" vertical="center"/>
    </xf>
    <xf numFmtId="0" fontId="13" fillId="0" borderId="21" xfId="0" applyFont="1" applyBorder="1" applyAlignment="1">
      <alignment horizontal="center" vertical="center"/>
    </xf>
    <xf numFmtId="185" fontId="13" fillId="0" borderId="16" xfId="0" applyNumberFormat="1" applyFont="1" applyBorder="1" applyAlignment="1">
      <alignment horizontal="center" vertical="center"/>
    </xf>
    <xf numFmtId="178" fontId="0" fillId="0" borderId="1" xfId="1" applyFont="1" applyBorder="1" applyAlignment="1">
      <alignment horizontal="right" vertical="center"/>
    </xf>
    <xf numFmtId="186" fontId="13" fillId="0" borderId="32" xfId="0" applyNumberFormat="1" applyFont="1" applyBorder="1">
      <alignment vertical="center"/>
    </xf>
    <xf numFmtId="186" fontId="13" fillId="0" borderId="16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right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179" fontId="6" fillId="0" borderId="10" xfId="3" applyNumberFormat="1" applyFont="1" applyBorder="1" applyAlignment="1">
      <alignment horizontal="left" vertical="center"/>
    </xf>
    <xf numFmtId="179" fontId="6" fillId="0" borderId="7" xfId="3" applyNumberFormat="1" applyFont="1" applyBorder="1" applyAlignment="1">
      <alignment horizontal="left" vertical="center"/>
    </xf>
    <xf numFmtId="0" fontId="5" fillId="0" borderId="0" xfId="1" applyNumberFormat="1" applyFont="1" applyFill="1" applyBorder="1" applyProtection="1">
      <alignment vertical="center"/>
      <protection locked="0"/>
    </xf>
    <xf numFmtId="2" fontId="0" fillId="0" borderId="1" xfId="0" applyNumberFormat="1" applyBorder="1">
      <alignment vertical="center"/>
    </xf>
    <xf numFmtId="0" fontId="5" fillId="0" borderId="0" xfId="0" applyFont="1" applyAlignment="1" applyProtection="1">
      <alignment horizontal="right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horizontal="left" vertical="top"/>
      <protection locked="0"/>
    </xf>
    <xf numFmtId="0" fontId="0" fillId="12" borderId="1" xfId="0" applyFill="1" applyBorder="1" applyAlignment="1">
      <alignment horizontal="center" vertical="center"/>
    </xf>
    <xf numFmtId="0" fontId="11" fillId="12" borderId="1" xfId="0" applyFont="1" applyFill="1" applyBorder="1" applyAlignment="1" applyProtection="1">
      <alignment horizontal="right" vertical="center"/>
      <protection locked="0"/>
    </xf>
    <xf numFmtId="0" fontId="6" fillId="12" borderId="1" xfId="0" applyFont="1" applyFill="1" applyBorder="1" applyAlignment="1">
      <alignment horizontal="left" vertical="top"/>
    </xf>
    <xf numFmtId="0" fontId="9" fillId="21" borderId="6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vertical="center" wrapText="1"/>
    </xf>
    <xf numFmtId="178" fontId="0" fillId="12" borderId="1" xfId="1" applyFont="1" applyFill="1" applyBorder="1">
      <alignment vertical="center"/>
    </xf>
    <xf numFmtId="2" fontId="13" fillId="0" borderId="1" xfId="0" applyNumberFormat="1" applyFont="1" applyBorder="1" applyAlignment="1">
      <alignment horizontal="right" vertical="center"/>
    </xf>
    <xf numFmtId="0" fontId="9" fillId="14" borderId="6" xfId="0" applyFont="1" applyFill="1" applyBorder="1" applyAlignment="1">
      <alignment horizontal="center" vertical="center" wrapText="1"/>
    </xf>
    <xf numFmtId="0" fontId="8" fillId="22" borderId="1" xfId="0" applyFont="1" applyFill="1" applyBorder="1" applyAlignment="1" applyProtection="1">
      <alignment horizontal="right" vertical="center"/>
      <protection locked="0"/>
    </xf>
    <xf numFmtId="0" fontId="29" fillId="0" borderId="1" xfId="0" applyFont="1" applyBorder="1" applyAlignment="1" applyProtection="1">
      <alignment horizontal="left" vertical="top"/>
      <protection locked="0"/>
    </xf>
    <xf numFmtId="0" fontId="30" fillId="12" borderId="1" xfId="0" applyFont="1" applyFill="1" applyBorder="1" applyAlignment="1" applyProtection="1">
      <alignment horizontal="left" vertical="top"/>
      <protection locked="0"/>
    </xf>
    <xf numFmtId="0" fontId="31" fillId="12" borderId="1" xfId="0" applyFont="1" applyFill="1" applyBorder="1" applyAlignment="1" applyProtection="1">
      <alignment horizontal="left" vertical="top"/>
      <protection locked="0"/>
    </xf>
    <xf numFmtId="0" fontId="30" fillId="12" borderId="1" xfId="0" quotePrefix="1" applyFont="1" applyFill="1" applyBorder="1" applyAlignment="1" applyProtection="1">
      <alignment horizontal="left" vertical="top"/>
      <protection locked="0"/>
    </xf>
    <xf numFmtId="1" fontId="13" fillId="12" borderId="1" xfId="0" applyNumberFormat="1" applyFont="1" applyFill="1" applyBorder="1" applyAlignment="1">
      <alignment horizontal="left" vertical="top"/>
    </xf>
    <xf numFmtId="2" fontId="6" fillId="12" borderId="1" xfId="0" applyNumberFormat="1" applyFont="1" applyFill="1" applyBorder="1" applyAlignment="1">
      <alignment horizontal="left" vertical="top"/>
    </xf>
    <xf numFmtId="0" fontId="32" fillId="12" borderId="1" xfId="0" applyFont="1" applyFill="1" applyBorder="1" applyAlignment="1">
      <alignment horizontal="left" vertical="top"/>
    </xf>
    <xf numFmtId="0" fontId="13" fillId="12" borderId="17" xfId="0" applyFont="1" applyFill="1" applyBorder="1" applyAlignment="1">
      <alignment horizontal="left" vertical="top"/>
    </xf>
    <xf numFmtId="0" fontId="33" fillId="12" borderId="1" xfId="0" applyFont="1" applyFill="1" applyBorder="1" applyAlignment="1" applyProtection="1">
      <alignment horizontal="left" vertical="top"/>
      <protection locked="0"/>
    </xf>
    <xf numFmtId="0" fontId="19" fillId="12" borderId="1" xfId="0" applyFont="1" applyFill="1" applyBorder="1" applyAlignment="1" applyProtection="1">
      <alignment horizontal="left" vertical="top"/>
      <protection locked="0"/>
    </xf>
    <xf numFmtId="0" fontId="13" fillId="12" borderId="0" xfId="0" applyFont="1" applyFill="1">
      <alignment vertical="center"/>
    </xf>
    <xf numFmtId="0" fontId="14" fillId="12" borderId="1" xfId="0" applyFont="1" applyFill="1" applyBorder="1" applyAlignment="1">
      <alignment horizontal="left" vertical="top"/>
    </xf>
    <xf numFmtId="179" fontId="6" fillId="8" borderId="9" xfId="3" applyNumberFormat="1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top"/>
    </xf>
    <xf numFmtId="187" fontId="6" fillId="11" borderId="17" xfId="0" applyNumberFormat="1" applyFont="1" applyFill="1" applyBorder="1">
      <alignment vertical="center"/>
    </xf>
    <xf numFmtId="187" fontId="6" fillId="11" borderId="1" xfId="0" applyNumberFormat="1" applyFont="1" applyFill="1" applyBorder="1">
      <alignment vertical="center"/>
    </xf>
    <xf numFmtId="187" fontId="5" fillId="11" borderId="1" xfId="0" applyNumberFormat="1" applyFont="1" applyFill="1" applyBorder="1">
      <alignment vertical="center"/>
    </xf>
    <xf numFmtId="179" fontId="13" fillId="0" borderId="7" xfId="3" applyNumberFormat="1" applyFont="1" applyBorder="1" applyAlignment="1">
      <alignment horizontal="left" vertical="center"/>
    </xf>
    <xf numFmtId="0" fontId="10" fillId="0" borderId="0" xfId="0" applyFont="1" applyProtection="1">
      <alignment vertical="center"/>
      <protection locked="0"/>
    </xf>
    <xf numFmtId="0" fontId="6" fillId="0" borderId="1" xfId="0" applyFont="1" applyBorder="1" applyAlignment="1">
      <alignment horizontal="left" vertical="top"/>
    </xf>
    <xf numFmtId="0" fontId="13" fillId="0" borderId="0" xfId="0" applyFont="1" applyAlignment="1">
      <alignment horizontal="center" vertical="center" wrapText="1"/>
    </xf>
    <xf numFmtId="0" fontId="28" fillId="12" borderId="1" xfId="0" applyFont="1" applyFill="1" applyBorder="1" applyAlignment="1" applyProtection="1">
      <alignment horizontal="right" vertical="center"/>
      <protection locked="0"/>
    </xf>
    <xf numFmtId="0" fontId="5" fillId="7" borderId="0" xfId="0" applyFont="1" applyFill="1" applyProtection="1">
      <alignment vertical="center"/>
      <protection locked="0"/>
    </xf>
    <xf numFmtId="0" fontId="6" fillId="23" borderId="1" xfId="0" applyFont="1" applyFill="1" applyBorder="1" applyAlignment="1" applyProtection="1">
      <alignment horizontal="left" vertical="top"/>
      <protection locked="0"/>
    </xf>
    <xf numFmtId="0" fontId="13" fillId="13" borderId="25" xfId="0" applyFont="1" applyFill="1" applyBorder="1" applyAlignment="1">
      <alignment horizontal="center" vertical="center"/>
    </xf>
    <xf numFmtId="0" fontId="28" fillId="0" borderId="1" xfId="0" applyFont="1" applyBorder="1" applyAlignment="1" applyProtection="1">
      <alignment horizontal="right" vertical="center"/>
      <protection locked="0"/>
    </xf>
    <xf numFmtId="0" fontId="34" fillId="12" borderId="1" xfId="0" applyFont="1" applyFill="1" applyBorder="1" applyAlignment="1" applyProtection="1">
      <alignment horizontal="left" vertical="top"/>
      <protection locked="0"/>
    </xf>
    <xf numFmtId="178" fontId="9" fillId="0" borderId="0" xfId="1" applyFont="1" applyProtection="1">
      <alignment vertical="center"/>
      <protection locked="0"/>
    </xf>
    <xf numFmtId="0" fontId="9" fillId="0" borderId="1" xfId="0" applyFont="1" applyBorder="1" applyAlignment="1">
      <alignment horizontal="center" vertical="center"/>
    </xf>
    <xf numFmtId="178" fontId="5" fillId="0" borderId="0" xfId="1" applyFont="1" applyFill="1" applyProtection="1">
      <alignment vertical="center"/>
      <protection locked="0"/>
    </xf>
    <xf numFmtId="0" fontId="28" fillId="0" borderId="1" xfId="0" applyFont="1" applyBorder="1" applyAlignment="1" applyProtection="1">
      <alignment horizontal="right" vertical="top"/>
      <protection locked="0"/>
    </xf>
    <xf numFmtId="0" fontId="14" fillId="0" borderId="1" xfId="0" applyFont="1" applyBorder="1" applyAlignment="1">
      <alignment horizontal="left" vertical="top"/>
    </xf>
    <xf numFmtId="0" fontId="5" fillId="6" borderId="0" xfId="0" applyFont="1" applyFill="1" applyProtection="1">
      <alignment vertical="center"/>
      <protection locked="0"/>
    </xf>
    <xf numFmtId="0" fontId="6" fillId="6" borderId="1" xfId="0" applyFont="1" applyFill="1" applyBorder="1" applyAlignment="1" applyProtection="1">
      <alignment horizontal="left" vertical="top"/>
      <protection locked="0"/>
    </xf>
    <xf numFmtId="0" fontId="5" fillId="24" borderId="0" xfId="1" applyNumberFormat="1" applyFont="1" applyFill="1" applyBorder="1" applyProtection="1">
      <alignment vertical="center"/>
      <protection locked="0"/>
    </xf>
    <xf numFmtId="0" fontId="28" fillId="12" borderId="1" xfId="0" applyFont="1" applyFill="1" applyBorder="1" applyAlignment="1" applyProtection="1">
      <alignment horizontal="left" vertical="center"/>
      <protection locked="0"/>
    </xf>
    <xf numFmtId="178" fontId="5" fillId="0" borderId="0" xfId="0" applyNumberFormat="1" applyFont="1" applyProtection="1">
      <alignment vertical="center"/>
      <protection locked="0"/>
    </xf>
    <xf numFmtId="0" fontId="13" fillId="0" borderId="4" xfId="0" applyFont="1" applyBorder="1" applyAlignment="1">
      <alignment horizontal="left" vertical="center"/>
    </xf>
    <xf numFmtId="188" fontId="5" fillId="0" borderId="0" xfId="0" applyNumberFormat="1" applyFont="1" applyProtection="1">
      <alignment vertical="center"/>
      <protection locked="0"/>
    </xf>
    <xf numFmtId="0" fontId="9" fillId="0" borderId="0" xfId="0" applyFont="1" applyProtection="1">
      <alignment vertical="center"/>
      <protection locked="0"/>
    </xf>
    <xf numFmtId="2" fontId="14" fillId="12" borderId="1" xfId="0" applyNumberFormat="1" applyFont="1" applyFill="1" applyBorder="1" applyAlignment="1">
      <alignment horizontal="left" vertical="top"/>
    </xf>
    <xf numFmtId="44" fontId="5" fillId="0" borderId="0" xfId="0" applyNumberFormat="1" applyFont="1" applyProtection="1">
      <alignment vertical="center"/>
      <protection locked="0"/>
    </xf>
    <xf numFmtId="0" fontId="9" fillId="7" borderId="0" xfId="0" applyFont="1" applyFill="1" applyProtection="1">
      <alignment vertical="center"/>
      <protection locked="0"/>
    </xf>
    <xf numFmtId="0" fontId="5" fillId="7" borderId="0" xfId="1" applyNumberFormat="1" applyFont="1" applyFill="1" applyBorder="1" applyProtection="1">
      <alignment vertical="center"/>
      <protection locked="0"/>
    </xf>
    <xf numFmtId="1" fontId="13" fillId="0" borderId="1" xfId="0" applyNumberFormat="1" applyFont="1" applyBorder="1" applyAlignment="1">
      <alignment horizontal="left" vertical="top"/>
    </xf>
    <xf numFmtId="0" fontId="30" fillId="0" borderId="1" xfId="0" applyFont="1" applyBorder="1" applyAlignment="1" applyProtection="1">
      <alignment horizontal="left" vertical="top"/>
      <protection locked="0"/>
    </xf>
    <xf numFmtId="0" fontId="30" fillId="0" borderId="1" xfId="0" quotePrefix="1" applyFont="1" applyBorder="1" applyAlignment="1" applyProtection="1">
      <alignment horizontal="left" vertical="top"/>
      <protection locked="0"/>
    </xf>
    <xf numFmtId="0" fontId="28" fillId="0" borderId="1" xfId="0" applyFont="1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left" vertical="top" wrapText="1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79" fontId="13" fillId="0" borderId="9" xfId="3" applyNumberFormat="1" applyFont="1" applyBorder="1" applyAlignment="1">
      <alignment horizontal="left" vertical="center"/>
    </xf>
    <xf numFmtId="2" fontId="6" fillId="0" borderId="1" xfId="0" applyNumberFormat="1" applyFont="1" applyBorder="1" applyAlignment="1">
      <alignment horizontal="left" vertical="top"/>
    </xf>
    <xf numFmtId="178" fontId="0" fillId="0" borderId="34" xfId="1" applyFont="1" applyBorder="1">
      <alignment vertical="center"/>
    </xf>
    <xf numFmtId="178" fontId="35" fillId="0" borderId="0" xfId="1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180" fontId="6" fillId="0" borderId="0" xfId="0" applyNumberFormat="1" applyFo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7" borderId="1" xfId="0" applyFont="1" applyFill="1" applyBorder="1" applyAlignment="1" applyProtection="1">
      <alignment horizontal="left" vertical="top"/>
      <protection locked="0"/>
    </xf>
    <xf numFmtId="0" fontId="6" fillId="11" borderId="1" xfId="0" applyFont="1" applyFill="1" applyBorder="1" applyAlignment="1" applyProtection="1">
      <alignment horizontal="left" vertical="top"/>
      <protection locked="0"/>
    </xf>
    <xf numFmtId="0" fontId="6" fillId="11" borderId="1" xfId="0" applyFont="1" applyFill="1" applyBorder="1" applyAlignment="1" applyProtection="1">
      <alignment horizontal="left" vertical="top" wrapText="1"/>
      <protection locked="0"/>
    </xf>
    <xf numFmtId="0" fontId="6" fillId="21" borderId="1" xfId="0" applyFont="1" applyFill="1" applyBorder="1" applyAlignment="1" applyProtection="1">
      <alignment horizontal="left" vertical="top"/>
      <protection locked="0"/>
    </xf>
    <xf numFmtId="0" fontId="6" fillId="22" borderId="1" xfId="0" applyFont="1" applyFill="1" applyBorder="1" applyAlignment="1" applyProtection="1">
      <alignment horizontal="left" vertical="top"/>
      <protection locked="0"/>
    </xf>
    <xf numFmtId="0" fontId="6" fillId="10" borderId="1" xfId="0" applyFont="1" applyFill="1" applyBorder="1" applyAlignment="1" applyProtection="1">
      <alignment horizontal="left" vertical="top"/>
      <protection locked="0"/>
    </xf>
    <xf numFmtId="0" fontId="6" fillId="10" borderId="1" xfId="0" applyFont="1" applyFill="1" applyBorder="1" applyAlignment="1" applyProtection="1">
      <alignment horizontal="left" vertical="top" wrapText="1"/>
      <protection locked="0"/>
    </xf>
    <xf numFmtId="0" fontId="36" fillId="0" borderId="1" xfId="0" applyFont="1" applyBorder="1" applyAlignment="1">
      <alignment horizontal="left" vertical="top"/>
    </xf>
    <xf numFmtId="178" fontId="0" fillId="0" borderId="8" xfId="1" applyFont="1" applyBorder="1" applyAlignment="1">
      <alignment horizontal="center" vertical="center"/>
    </xf>
    <xf numFmtId="2" fontId="0" fillId="0" borderId="8" xfId="0" applyNumberFormat="1" applyBorder="1" applyAlignment="1">
      <alignment horizontal="right" vertical="center"/>
    </xf>
    <xf numFmtId="0" fontId="37" fillId="12" borderId="1" xfId="0" applyFont="1" applyFill="1" applyBorder="1" applyAlignment="1" applyProtection="1">
      <alignment horizontal="center" vertical="center"/>
      <protection locked="0"/>
    </xf>
    <xf numFmtId="1" fontId="8" fillId="0" borderId="1" xfId="0" applyNumberFormat="1" applyFont="1" applyBorder="1" applyAlignment="1" applyProtection="1">
      <alignment horizontal="right" vertical="center"/>
      <protection locked="0"/>
    </xf>
    <xf numFmtId="178" fontId="5" fillId="7" borderId="0" xfId="1" applyFont="1" applyFill="1" applyProtection="1">
      <alignment vertical="center"/>
      <protection locked="0"/>
    </xf>
    <xf numFmtId="178" fontId="9" fillId="7" borderId="0" xfId="1" applyFont="1" applyFill="1" applyProtection="1">
      <alignment vertical="center"/>
      <protection locked="0"/>
    </xf>
    <xf numFmtId="0" fontId="13" fillId="6" borderId="0" xfId="0" applyFont="1" applyFill="1" applyAlignment="1" applyProtection="1">
      <alignment horizontal="center" vertical="center"/>
      <protection locked="0"/>
    </xf>
    <xf numFmtId="178" fontId="6" fillId="0" borderId="0" xfId="0" applyNumberFormat="1" applyFont="1" applyProtection="1">
      <alignment vertical="center"/>
      <protection locked="0"/>
    </xf>
    <xf numFmtId="0" fontId="19" fillId="0" borderId="1" xfId="0" applyFont="1" applyBorder="1" applyAlignment="1" applyProtection="1">
      <alignment horizontal="left" vertical="top"/>
      <protection locked="0"/>
    </xf>
    <xf numFmtId="178" fontId="9" fillId="0" borderId="0" xfId="1" applyFont="1" applyFill="1" applyProtection="1">
      <alignment vertical="center"/>
      <protection locked="0"/>
    </xf>
    <xf numFmtId="178" fontId="13" fillId="0" borderId="0" xfId="1" applyFont="1" applyFill="1" applyProtection="1">
      <alignment vertical="center"/>
      <protection locked="0"/>
    </xf>
    <xf numFmtId="178" fontId="13" fillId="0" borderId="0" xfId="0" applyNumberFormat="1" applyFont="1" applyProtection="1">
      <alignment vertical="center"/>
      <protection locked="0"/>
    </xf>
    <xf numFmtId="179" fontId="14" fillId="0" borderId="33" xfId="3" applyNumberFormat="1" applyFont="1" applyBorder="1" applyAlignment="1">
      <alignment horizontal="left" vertical="center"/>
    </xf>
    <xf numFmtId="0" fontId="6" fillId="6" borderId="25" xfId="0" applyFont="1" applyFill="1" applyBorder="1" applyAlignment="1">
      <alignment horizontal="center" vertical="center"/>
    </xf>
    <xf numFmtId="0" fontId="14" fillId="6" borderId="25" xfId="0" applyFont="1" applyFill="1" applyBorder="1" applyAlignment="1">
      <alignment horizontal="center" vertical="center"/>
    </xf>
    <xf numFmtId="0" fontId="6" fillId="25" borderId="25" xfId="0" applyFont="1" applyFill="1" applyBorder="1" applyAlignment="1" applyProtection="1">
      <alignment horizontal="center" vertical="center"/>
      <protection locked="0"/>
    </xf>
    <xf numFmtId="0" fontId="14" fillId="25" borderId="25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3" fillId="6" borderId="21" xfId="0" applyFont="1" applyFill="1" applyBorder="1" applyAlignment="1">
      <alignment horizontal="center" vertical="center"/>
    </xf>
    <xf numFmtId="0" fontId="8" fillId="6" borderId="1" xfId="0" applyFont="1" applyFill="1" applyBorder="1" applyAlignment="1" applyProtection="1">
      <alignment horizontal="right" vertical="center"/>
      <protection locked="0"/>
    </xf>
    <xf numFmtId="0" fontId="13" fillId="6" borderId="1" xfId="0" applyFont="1" applyFill="1" applyBorder="1" applyAlignment="1">
      <alignment horizontal="left" vertical="top"/>
    </xf>
    <xf numFmtId="179" fontId="6" fillId="6" borderId="9" xfId="3" applyNumberFormat="1" applyFont="1" applyFill="1" applyBorder="1" applyAlignment="1">
      <alignment horizontal="left" vertical="center"/>
    </xf>
    <xf numFmtId="179" fontId="13" fillId="6" borderId="7" xfId="3" applyNumberFormat="1" applyFont="1" applyFill="1" applyBorder="1" applyAlignment="1">
      <alignment horizontal="left" vertical="center"/>
    </xf>
    <xf numFmtId="0" fontId="30" fillId="0" borderId="1" xfId="0" quotePrefix="1" applyFont="1" applyBorder="1" applyAlignment="1" applyProtection="1">
      <alignment horizontal="right" vertical="top"/>
      <protection locked="0"/>
    </xf>
    <xf numFmtId="0" fontId="13" fillId="2" borderId="1" xfId="0" applyFont="1" applyFill="1" applyBorder="1" applyAlignment="1">
      <alignment horizontal="left" vertical="top"/>
    </xf>
    <xf numFmtId="0" fontId="13" fillId="5" borderId="1" xfId="0" applyFont="1" applyFill="1" applyBorder="1" applyAlignment="1">
      <alignment horizontal="left" vertical="top"/>
    </xf>
    <xf numFmtId="0" fontId="7" fillId="6" borderId="1" xfId="0" quotePrefix="1" applyFont="1" applyFill="1" applyBorder="1" applyAlignment="1" applyProtection="1">
      <alignment horizontal="right" vertical="top"/>
      <protection locked="0"/>
    </xf>
    <xf numFmtId="0" fontId="5" fillId="12" borderId="0" xfId="0" applyFont="1" applyFill="1" applyProtection="1">
      <alignment vertical="center"/>
      <protection locked="0"/>
    </xf>
    <xf numFmtId="0" fontId="9" fillId="6" borderId="0" xfId="0" applyFont="1" applyFill="1" applyProtection="1">
      <alignment vertical="center"/>
      <protection locked="0"/>
    </xf>
    <xf numFmtId="0" fontId="9" fillId="12" borderId="0" xfId="0" applyFont="1" applyFill="1" applyProtection="1">
      <alignment vertical="center"/>
      <protection locked="0"/>
    </xf>
    <xf numFmtId="178" fontId="5" fillId="12" borderId="0" xfId="1" applyFont="1" applyFill="1" applyProtection="1">
      <alignment vertical="center"/>
      <protection locked="0"/>
    </xf>
    <xf numFmtId="0" fontId="14" fillId="6" borderId="1" xfId="0" applyFont="1" applyFill="1" applyBorder="1" applyAlignment="1">
      <alignment horizontal="left" vertical="top"/>
    </xf>
    <xf numFmtId="0" fontId="28" fillId="6" borderId="1" xfId="0" applyFont="1" applyFill="1" applyBorder="1" applyAlignment="1" applyProtection="1">
      <alignment horizontal="right" vertical="center"/>
      <protection locked="0"/>
    </xf>
    <xf numFmtId="0" fontId="9" fillId="12" borderId="1" xfId="0" applyFont="1" applyFill="1" applyBorder="1" applyAlignment="1">
      <alignment horizontal="center" vertical="center"/>
    </xf>
    <xf numFmtId="0" fontId="13" fillId="26" borderId="1" xfId="0" applyFont="1" applyFill="1" applyBorder="1" applyAlignment="1" applyProtection="1">
      <alignment horizontal="left" vertical="top"/>
      <protection locked="0"/>
    </xf>
    <xf numFmtId="179" fontId="6" fillId="0" borderId="9" xfId="3" applyNumberFormat="1" applyFont="1" applyBorder="1" applyAlignment="1">
      <alignment horizontal="left" vertical="center"/>
    </xf>
    <xf numFmtId="179" fontId="25" fillId="6" borderId="9" xfId="3" applyNumberFormat="1" applyFont="1" applyFill="1" applyBorder="1" applyAlignment="1">
      <alignment horizontal="left" vertical="center"/>
    </xf>
    <xf numFmtId="0" fontId="5" fillId="6" borderId="0" xfId="1" applyNumberFormat="1" applyFont="1" applyFill="1" applyBorder="1" applyProtection="1">
      <alignment vertical="center"/>
      <protection locked="0"/>
    </xf>
    <xf numFmtId="178" fontId="6" fillId="0" borderId="0" xfId="1" applyFont="1" applyFill="1" applyProtection="1">
      <alignment vertical="center"/>
      <protection locked="0"/>
    </xf>
    <xf numFmtId="0" fontId="28" fillId="6" borderId="1" xfId="0" applyFont="1" applyFill="1" applyBorder="1" applyAlignment="1" applyProtection="1">
      <alignment horizontal="right" vertical="top"/>
      <protection locked="0"/>
    </xf>
    <xf numFmtId="0" fontId="38" fillId="6" borderId="1" xfId="0" applyFont="1" applyFill="1" applyBorder="1" applyAlignment="1">
      <alignment horizontal="center" vertical="center"/>
    </xf>
    <xf numFmtId="0" fontId="0" fillId="12" borderId="1" xfId="0" applyFill="1" applyBorder="1">
      <alignment vertical="center"/>
    </xf>
    <xf numFmtId="0" fontId="12" fillId="0" borderId="1" xfId="0" applyFont="1" applyBorder="1" applyAlignment="1" applyProtection="1">
      <alignment horizontal="right" vertical="center" shrinkToFit="1"/>
      <protection locked="0"/>
    </xf>
    <xf numFmtId="0" fontId="10" fillId="6" borderId="0" xfId="0" applyFont="1" applyFill="1" applyProtection="1">
      <alignment vertical="center"/>
      <protection locked="0"/>
    </xf>
    <xf numFmtId="179" fontId="13" fillId="12" borderId="33" xfId="3" applyNumberFormat="1" applyFont="1" applyFill="1" applyBorder="1" applyAlignment="1">
      <alignment horizontal="left" vertical="center"/>
    </xf>
    <xf numFmtId="0" fontId="8" fillId="8" borderId="1" xfId="0" applyFont="1" applyFill="1" applyBorder="1" applyAlignment="1" applyProtection="1">
      <alignment horizontal="right" vertical="center"/>
      <protection locked="0"/>
    </xf>
    <xf numFmtId="0" fontId="13" fillId="8" borderId="1" xfId="0" applyFont="1" applyFill="1" applyBorder="1" applyAlignment="1">
      <alignment horizontal="left" vertical="top"/>
    </xf>
    <xf numFmtId="0" fontId="13" fillId="12" borderId="1" xfId="0" applyFont="1" applyFill="1" applyBorder="1" applyAlignment="1" applyProtection="1">
      <alignment horizontal="left" vertical="top"/>
      <protection locked="0"/>
    </xf>
    <xf numFmtId="0" fontId="12" fillId="27" borderId="1" xfId="0" applyFont="1" applyFill="1" applyBorder="1" applyAlignment="1" applyProtection="1">
      <alignment horizontal="right" vertical="top"/>
      <protection locked="0"/>
    </xf>
    <xf numFmtId="0" fontId="9" fillId="12" borderId="1" xfId="0" applyFont="1" applyFill="1" applyBorder="1">
      <alignment vertical="center"/>
    </xf>
    <xf numFmtId="178" fontId="9" fillId="12" borderId="1" xfId="1" applyFont="1" applyFill="1" applyBorder="1">
      <alignment vertical="center"/>
    </xf>
    <xf numFmtId="14" fontId="5" fillId="0" borderId="0" xfId="0" applyNumberFormat="1" applyFont="1" applyProtection="1">
      <alignment vertical="center"/>
      <protection locked="0"/>
    </xf>
    <xf numFmtId="0" fontId="13" fillId="6" borderId="0" xfId="0" applyFont="1" applyFill="1" applyProtection="1">
      <alignment vertical="center"/>
      <protection locked="0"/>
    </xf>
    <xf numFmtId="0" fontId="38" fillId="12" borderId="1" xfId="0" applyFont="1" applyFill="1" applyBorder="1" applyAlignment="1">
      <alignment horizontal="center" vertical="center"/>
    </xf>
    <xf numFmtId="0" fontId="12" fillId="15" borderId="1" xfId="0" applyFont="1" applyFill="1" applyBorder="1" applyAlignment="1" applyProtection="1">
      <alignment horizontal="right" vertical="top"/>
      <protection locked="0"/>
    </xf>
    <xf numFmtId="0" fontId="12" fillId="15" borderId="1" xfId="0" applyFont="1" applyFill="1" applyBorder="1" applyAlignment="1" applyProtection="1">
      <alignment horizontal="right" vertical="center"/>
      <protection locked="0"/>
    </xf>
    <xf numFmtId="0" fontId="12" fillId="8" borderId="1" xfId="0" applyFont="1" applyFill="1" applyBorder="1" applyAlignment="1" applyProtection="1">
      <alignment horizontal="right" vertical="top"/>
      <protection locked="0"/>
    </xf>
    <xf numFmtId="0" fontId="12" fillId="8" borderId="1" xfId="0" applyFont="1" applyFill="1" applyBorder="1" applyAlignment="1" applyProtection="1">
      <alignment horizontal="right" vertical="center"/>
      <protection locked="0"/>
    </xf>
    <xf numFmtId="0" fontId="6" fillId="8" borderId="1" xfId="0" applyFont="1" applyFill="1" applyBorder="1" applyAlignment="1">
      <alignment horizontal="left" vertical="top"/>
    </xf>
    <xf numFmtId="179" fontId="13" fillId="8" borderId="33" xfId="3" applyNumberFormat="1" applyFont="1" applyFill="1" applyBorder="1" applyAlignment="1">
      <alignment horizontal="left" vertical="center"/>
    </xf>
    <xf numFmtId="178" fontId="9" fillId="0" borderId="0" xfId="0" applyNumberFormat="1" applyFont="1" applyProtection="1">
      <alignment vertical="center"/>
      <protection locked="0"/>
    </xf>
    <xf numFmtId="0" fontId="5" fillId="10" borderId="0" xfId="0" applyFont="1" applyFill="1" applyProtection="1">
      <alignment vertical="center"/>
      <protection locked="0"/>
    </xf>
    <xf numFmtId="0" fontId="39" fillId="8" borderId="1" xfId="0" quotePrefix="1" applyFont="1" applyFill="1" applyBorder="1" applyAlignment="1" applyProtection="1">
      <alignment horizontal="right" vertical="top"/>
      <protection locked="0"/>
    </xf>
    <xf numFmtId="0" fontId="39" fillId="0" borderId="1" xfId="0" quotePrefix="1" applyFont="1" applyBorder="1" applyAlignment="1" applyProtection="1">
      <alignment horizontal="right" vertical="top"/>
      <protection locked="0"/>
    </xf>
    <xf numFmtId="0" fontId="7" fillId="8" borderId="1" xfId="0" quotePrefix="1" applyFont="1" applyFill="1" applyBorder="1" applyAlignment="1" applyProtection="1">
      <alignment horizontal="right" vertical="top"/>
      <protection locked="0"/>
    </xf>
    <xf numFmtId="0" fontId="28" fillId="8" borderId="1" xfId="0" applyFont="1" applyFill="1" applyBorder="1" applyAlignment="1" applyProtection="1">
      <alignment horizontal="right" vertical="top"/>
      <protection locked="0"/>
    </xf>
    <xf numFmtId="0" fontId="9" fillId="8" borderId="6" xfId="0" applyFont="1" applyFill="1" applyBorder="1" applyAlignment="1">
      <alignment horizontal="center" vertical="center" wrapText="1"/>
    </xf>
    <xf numFmtId="178" fontId="5" fillId="10" borderId="0" xfId="1" applyFont="1" applyFill="1" applyProtection="1">
      <alignment vertical="center"/>
      <protection locked="0"/>
    </xf>
    <xf numFmtId="0" fontId="8" fillId="27" borderId="1" xfId="0" applyFont="1" applyFill="1" applyBorder="1" applyAlignment="1" applyProtection="1">
      <alignment horizontal="right" vertical="center"/>
      <protection locked="0"/>
    </xf>
    <xf numFmtId="0" fontId="38" fillId="12" borderId="1" xfId="0" applyFont="1" applyFill="1" applyBorder="1">
      <alignment vertical="center"/>
    </xf>
    <xf numFmtId="179" fontId="13" fillId="8" borderId="9" xfId="3" applyNumberFormat="1" applyFont="1" applyFill="1" applyBorder="1" applyAlignment="1">
      <alignment horizontal="left" vertical="center"/>
    </xf>
    <xf numFmtId="179" fontId="6" fillId="8" borderId="12" xfId="3" applyNumberFormat="1" applyFont="1" applyFill="1" applyBorder="1" applyAlignment="1">
      <alignment horizontal="left" vertical="center"/>
    </xf>
    <xf numFmtId="179" fontId="6" fillId="8" borderId="7" xfId="3" applyNumberFormat="1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left" vertical="top"/>
    </xf>
    <xf numFmtId="0" fontId="12" fillId="7" borderId="1" xfId="0" applyFont="1" applyFill="1" applyBorder="1" applyAlignment="1" applyProtection="1">
      <alignment horizontal="right" vertical="center"/>
      <protection locked="0"/>
    </xf>
    <xf numFmtId="0" fontId="12" fillId="12" borderId="17" xfId="0" applyFont="1" applyFill="1" applyBorder="1" applyAlignment="1" applyProtection="1">
      <alignment horizontal="right" vertical="top"/>
      <protection locked="0"/>
    </xf>
    <xf numFmtId="0" fontId="28" fillId="12" borderId="1" xfId="0" applyFont="1" applyFill="1" applyBorder="1" applyAlignment="1" applyProtection="1">
      <alignment horizontal="right" vertical="top"/>
      <protection locked="0"/>
    </xf>
    <xf numFmtId="178" fontId="0" fillId="12" borderId="34" xfId="1" applyFont="1" applyFill="1" applyBorder="1">
      <alignment vertical="center"/>
    </xf>
    <xf numFmtId="184" fontId="6" fillId="12" borderId="1" xfId="0" applyNumberFormat="1" applyFont="1" applyFill="1" applyBorder="1">
      <alignment vertical="center"/>
    </xf>
    <xf numFmtId="0" fontId="13" fillId="28" borderId="1" xfId="0" applyFont="1" applyFill="1" applyBorder="1" applyAlignment="1">
      <alignment horizontal="left" vertical="top"/>
    </xf>
    <xf numFmtId="0" fontId="12" fillId="28" borderId="1" xfId="0" applyFont="1" applyFill="1" applyBorder="1" applyAlignment="1" applyProtection="1">
      <alignment horizontal="right" vertical="center"/>
      <protection locked="0"/>
    </xf>
    <xf numFmtId="0" fontId="39" fillId="12" borderId="1" xfId="0" quotePrefix="1" applyFont="1" applyFill="1" applyBorder="1" applyAlignment="1" applyProtection="1">
      <alignment horizontal="right" vertical="top"/>
      <protection locked="0"/>
    </xf>
    <xf numFmtId="0" fontId="6" fillId="8" borderId="1" xfId="0" applyFont="1" applyFill="1" applyBorder="1" applyAlignment="1" applyProtection="1">
      <alignment horizontal="left" vertical="top"/>
      <protection locked="0"/>
    </xf>
    <xf numFmtId="178" fontId="6" fillId="0" borderId="0" xfId="1" applyFont="1" applyProtection="1">
      <alignment vertical="center"/>
      <protection locked="0"/>
    </xf>
    <xf numFmtId="0" fontId="30" fillId="6" borderId="1" xfId="0" quotePrefix="1" applyFont="1" applyFill="1" applyBorder="1" applyAlignment="1" applyProtection="1">
      <alignment horizontal="right" vertical="top"/>
      <protection locked="0"/>
    </xf>
    <xf numFmtId="0" fontId="6" fillId="24" borderId="1" xfId="0" applyFont="1" applyFill="1" applyBorder="1" applyAlignment="1" applyProtection="1">
      <alignment horizontal="left" vertical="top"/>
      <protection locked="0"/>
    </xf>
    <xf numFmtId="0" fontId="13" fillId="6" borderId="1" xfId="0" applyFont="1" applyFill="1" applyBorder="1" applyAlignment="1" applyProtection="1">
      <alignment horizontal="left" vertical="top"/>
      <protection locked="0"/>
    </xf>
    <xf numFmtId="0" fontId="13" fillId="7" borderId="1" xfId="0" applyFont="1" applyFill="1" applyBorder="1" applyAlignment="1" applyProtection="1">
      <alignment horizontal="left" vertical="top"/>
      <protection locked="0"/>
    </xf>
    <xf numFmtId="0" fontId="4" fillId="0" borderId="1" xfId="0" applyFont="1" applyBorder="1" applyAlignment="1">
      <alignment vertical="center" wrapText="1"/>
    </xf>
    <xf numFmtId="0" fontId="26" fillId="1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shrinkToFit="1"/>
    </xf>
    <xf numFmtId="0" fontId="14" fillId="0" borderId="1" xfId="0" applyFont="1" applyBorder="1" applyAlignment="1" applyProtection="1">
      <alignment horizontal="center" vertical="top"/>
      <protection locked="0"/>
    </xf>
    <xf numFmtId="0" fontId="8" fillId="8" borderId="1" xfId="0" applyFont="1" applyFill="1" applyBorder="1" applyAlignment="1" applyProtection="1">
      <alignment horizontal="right" vertical="top"/>
      <protection locked="0"/>
    </xf>
    <xf numFmtId="0" fontId="14" fillId="12" borderId="1" xfId="0" applyFont="1" applyFill="1" applyBorder="1" applyAlignment="1">
      <alignment vertical="center" wrapText="1"/>
    </xf>
    <xf numFmtId="0" fontId="13" fillId="10" borderId="1" xfId="0" applyFont="1" applyFill="1" applyBorder="1" applyAlignment="1">
      <alignment horizontal="left" vertical="top"/>
    </xf>
    <xf numFmtId="0" fontId="6" fillId="6" borderId="1" xfId="0" applyFont="1" applyFill="1" applyBorder="1" applyAlignment="1" applyProtection="1">
      <alignment horizontal="left" vertical="top" wrapText="1"/>
      <protection locked="0"/>
    </xf>
    <xf numFmtId="0" fontId="10" fillId="5" borderId="6" xfId="0" applyFont="1" applyFill="1" applyBorder="1" applyAlignment="1">
      <alignment horizontal="center" vertical="center" wrapText="1"/>
    </xf>
    <xf numFmtId="0" fontId="39" fillId="6" borderId="1" xfId="0" quotePrefix="1" applyFont="1" applyFill="1" applyBorder="1" applyAlignment="1" applyProtection="1">
      <alignment horizontal="right" vertical="top"/>
      <protection locked="0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 applyProtection="1">
      <alignment horizontal="center" vertical="center"/>
      <protection locked="0"/>
    </xf>
    <xf numFmtId="178" fontId="9" fillId="0" borderId="0" xfId="1" applyFont="1" applyBorder="1" applyAlignment="1" applyProtection="1">
      <alignment horizontal="center" vertical="center"/>
      <protection locked="0"/>
    </xf>
    <xf numFmtId="178" fontId="9" fillId="0" borderId="0" xfId="1" applyFont="1">
      <alignment vertical="center"/>
    </xf>
    <xf numFmtId="178" fontId="9" fillId="0" borderId="1" xfId="1" applyFont="1" applyBorder="1" applyAlignment="1" applyProtection="1">
      <alignment horizontal="center" vertical="center"/>
    </xf>
    <xf numFmtId="0" fontId="13" fillId="0" borderId="0" xfId="0" applyFont="1" applyAlignment="1" applyProtection="1">
      <alignment horizontal="center" vertical="center" wrapText="1"/>
      <protection locked="0"/>
    </xf>
    <xf numFmtId="55" fontId="0" fillId="0" borderId="0" xfId="0" applyNumberFormat="1" applyAlignment="1" applyProtection="1">
      <alignment horizontal="center" vertical="center"/>
      <protection locked="0"/>
    </xf>
    <xf numFmtId="55" fontId="0" fillId="0" borderId="1" xfId="0" applyNumberFormat="1" applyBorder="1" applyAlignment="1" applyProtection="1">
      <alignment horizontal="center" vertical="center"/>
      <protection locked="0"/>
    </xf>
    <xf numFmtId="0" fontId="0" fillId="0" borderId="0" xfId="0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78" fontId="9" fillId="0" borderId="0" xfId="1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13" fillId="13" borderId="1" xfId="0" applyFont="1" applyFill="1" applyBorder="1" applyAlignment="1" applyProtection="1">
      <alignment horizontal="center" vertical="center"/>
      <protection locked="0"/>
    </xf>
    <xf numFmtId="0" fontId="13" fillId="13" borderId="2" xfId="0" applyFont="1" applyFill="1" applyBorder="1" applyAlignment="1" applyProtection="1">
      <alignment horizontal="center" vertical="center"/>
      <protection locked="0"/>
    </xf>
    <xf numFmtId="178" fontId="13" fillId="13" borderId="4" xfId="1" applyFont="1" applyFill="1" applyBorder="1" applyAlignment="1" applyProtection="1">
      <alignment horizontal="center" vertical="center" wrapText="1"/>
      <protection locked="0"/>
    </xf>
    <xf numFmtId="178" fontId="13" fillId="13" borderId="1" xfId="1" applyFont="1" applyFill="1" applyBorder="1" applyAlignment="1" applyProtection="1">
      <alignment horizontal="center" vertical="center" wrapText="1"/>
      <protection locked="0"/>
    </xf>
    <xf numFmtId="178" fontId="13" fillId="13" borderId="2" xfId="1" applyFont="1" applyFill="1" applyBorder="1" applyAlignment="1" applyProtection="1">
      <alignment horizontal="center" vertical="center" wrapText="1"/>
      <protection locked="0"/>
    </xf>
    <xf numFmtId="0" fontId="13" fillId="13" borderId="35" xfId="0" applyFont="1" applyFill="1" applyBorder="1" applyAlignment="1" applyProtection="1">
      <alignment horizontal="center" vertical="center" wrapText="1"/>
      <protection locked="0"/>
    </xf>
    <xf numFmtId="0" fontId="13" fillId="13" borderId="4" xfId="0" applyFont="1" applyFill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190" fontId="0" fillId="0" borderId="1" xfId="0" applyNumberFormat="1" applyBorder="1" applyAlignment="1" applyProtection="1">
      <alignment horizontal="center" vertical="center"/>
      <protection locked="0"/>
    </xf>
    <xf numFmtId="178" fontId="9" fillId="0" borderId="1" xfId="1" applyFont="1" applyBorder="1" applyAlignment="1" applyProtection="1">
      <alignment horizontal="center" vertical="center"/>
      <protection locked="0"/>
    </xf>
    <xf numFmtId="178" fontId="9" fillId="0" borderId="36" xfId="1" applyFont="1" applyBorder="1" applyAlignment="1" applyProtection="1">
      <alignment horizontal="center" vertical="center"/>
    </xf>
    <xf numFmtId="0" fontId="13" fillId="12" borderId="4" xfId="0" applyFont="1" applyFill="1" applyBorder="1" applyAlignment="1" applyProtection="1">
      <alignment horizontal="left" vertical="center" wrapText="1"/>
      <protection locked="0"/>
    </xf>
    <xf numFmtId="0" fontId="19" fillId="9" borderId="5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27" fillId="18" borderId="19" xfId="0" applyFont="1" applyFill="1" applyBorder="1" applyAlignment="1">
      <alignment horizontal="center" vertical="center"/>
    </xf>
    <xf numFmtId="0" fontId="27" fillId="18" borderId="30" xfId="0" applyFont="1" applyFill="1" applyBorder="1" applyAlignment="1">
      <alignment horizontal="center" vertical="center"/>
    </xf>
    <xf numFmtId="0" fontId="27" fillId="18" borderId="31" xfId="0" applyFont="1" applyFill="1" applyBorder="1" applyAlignment="1">
      <alignment horizontal="center" vertical="center"/>
    </xf>
    <xf numFmtId="0" fontId="40" fillId="0" borderId="0" xfId="0" applyFont="1" applyAlignment="1" applyProtection="1">
      <alignment horizontal="center" vertical="center"/>
      <protection locked="0"/>
    </xf>
    <xf numFmtId="0" fontId="13" fillId="13" borderId="2" xfId="0" applyFont="1" applyFill="1" applyBorder="1" applyAlignment="1" applyProtection="1">
      <alignment horizontal="center" vertical="center"/>
      <protection locked="0"/>
    </xf>
    <xf numFmtId="0" fontId="13" fillId="13" borderId="4" xfId="0" applyFont="1" applyFill="1" applyBorder="1" applyAlignment="1" applyProtection="1">
      <alignment horizontal="center" vertical="center"/>
      <protection locked="0"/>
    </xf>
    <xf numFmtId="0" fontId="13" fillId="13" borderId="2" xfId="0" applyFont="1" applyFill="1" applyBorder="1" applyAlignment="1" applyProtection="1">
      <alignment horizontal="center" vertical="center" wrapText="1"/>
      <protection locked="0"/>
    </xf>
    <xf numFmtId="0" fontId="19" fillId="17" borderId="19" xfId="0" applyFont="1" applyFill="1" applyBorder="1" applyAlignment="1">
      <alignment horizontal="center" vertical="center"/>
    </xf>
    <xf numFmtId="0" fontId="19" fillId="17" borderId="31" xfId="0" applyFont="1" applyFill="1" applyBorder="1" applyAlignment="1">
      <alignment horizontal="center" vertical="center"/>
    </xf>
    <xf numFmtId="186" fontId="13" fillId="0" borderId="19" xfId="0" applyNumberFormat="1" applyFont="1" applyBorder="1" applyAlignment="1">
      <alignment horizontal="center" vertical="center"/>
    </xf>
    <xf numFmtId="186" fontId="13" fillId="0" borderId="31" xfId="0" applyNumberFormat="1" applyFont="1" applyBorder="1" applyAlignment="1">
      <alignment horizontal="center" vertical="center"/>
    </xf>
    <xf numFmtId="0" fontId="19" fillId="13" borderId="19" xfId="0" applyFont="1" applyFill="1" applyBorder="1" applyAlignment="1">
      <alignment horizontal="center" vertical="center"/>
    </xf>
    <xf numFmtId="0" fontId="19" fillId="13" borderId="31" xfId="0" applyFont="1" applyFill="1" applyBorder="1" applyAlignment="1">
      <alignment horizontal="center" vertical="center"/>
    </xf>
    <xf numFmtId="189" fontId="13" fillId="0" borderId="19" xfId="0" applyNumberFormat="1" applyFont="1" applyBorder="1" applyAlignment="1">
      <alignment horizontal="center" vertical="center"/>
    </xf>
    <xf numFmtId="189" fontId="13" fillId="0" borderId="31" xfId="0" applyNumberFormat="1" applyFont="1" applyBorder="1" applyAlignment="1">
      <alignment horizontal="center" vertical="center"/>
    </xf>
    <xf numFmtId="0" fontId="19" fillId="20" borderId="19" xfId="0" applyFont="1" applyFill="1" applyBorder="1" applyAlignment="1">
      <alignment horizontal="center" vertical="center"/>
    </xf>
    <xf numFmtId="0" fontId="19" fillId="20" borderId="31" xfId="0" applyFont="1" applyFill="1" applyBorder="1" applyAlignment="1">
      <alignment horizontal="center" vertical="center"/>
    </xf>
  </cellXfs>
  <cellStyles count="6">
    <cellStyle name="쉼표 [0]" xfId="1" builtinId="6"/>
    <cellStyle name="쉼표 [0]_햄감자샐러드샌드0708(FS)" xfId="4" xr:uid="{00000000-0005-0000-0000-000001000000}"/>
    <cellStyle name="표준" xfId="0" builtinId="0"/>
    <cellStyle name="표준 2" xfId="5" xr:uid="{00000000-0005-0000-0000-000003000000}"/>
    <cellStyle name="표준_뉴불고기버거(FS)080707" xfId="2" xr:uid="{00000000-0005-0000-0000-000004000000}"/>
    <cellStyle name="표준_치즈돈까스샌드(개발_기존양식)" xfId="3" xr:uid="{00000000-0005-0000-0000-000005000000}"/>
  </cellStyles>
  <dxfs count="242">
    <dxf>
      <fill>
        <patternFill>
          <bgColor rgb="FFE8D9F3"/>
        </patternFill>
      </fill>
    </dxf>
    <dxf>
      <fill>
        <patternFill>
          <bgColor rgb="FFD6BBEB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colors>
    <mruColors>
      <color rgb="FFF533BE"/>
      <color rgb="FFFF99FF"/>
      <color rgb="FFFF9933"/>
      <color rgb="FF66FF66"/>
      <color rgb="FFE8D9F3"/>
      <color rgb="FF00FFFF"/>
      <color rgb="FFFA9CFC"/>
      <color rgb="FFFF9B9B"/>
      <color rgb="FFCFAFE7"/>
      <color rgb="FF71B8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44288;&#47532;&#51088;/Desktop/&#48156;&#51452;&#49884;&#53944;/&#9733;&#9733;&#49888;&#49345;&#54408;%20&#48156;&#51452;&#49884;&#53944;(25.04.0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\&#51088;&#51116;&#44396;&#47588;\&#51088;&#51116;(NAS)\&#9733;&#51088;&#51116;&#54016;\&#9733;1.&#51116;&#44256;&#51312;&#49324;&#54364;\&#50900;&#48324;%20&#51068;&#51068;%20&#51116;&#44256;&#51312;&#49324;&#54364;\26&#45380;&#46020;\10&#50900;\&#51068;&#51068;%20&#51116;&#44256;&#51312;&#49324;&#54364;%20&#49352;%20&#50577;&#49885;(10&#50900;%2026&#51068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커플)곱창김참치마요&amp;전주비빔(26.10.27)"/>
      <sheetName val="에그햄꼬마김밥(26.10.27)"/>
      <sheetName val="용기)광장시장꼬마김밥(26.10.20)"/>
      <sheetName val="넷플)K스타일떡갈비김밥(26.10.13)"/>
      <sheetName val="이달의도시락 10월(26.10.06)"/>
      <sheetName val="혜자)통등심돈까스&amp;치킨까스도시락(26.09.29) (2"/>
      <sheetName val="더큰)추석맥적구이한상(26.09.22)"/>
      <sheetName val="이먹저먹도시락"/>
      <sheetName val="혜자)두툼돈까스&amp;순창제육도시락 (2)"/>
      <sheetName val="근본김밥&amp;순삸닭강정"/>
      <sheetName val="이달의도시락8월(혜자편)(26.09.03)리뉴얼"/>
      <sheetName val="이달의도시락9월(한가위편)(26.09.01)"/>
      <sheetName val="쯔양)매콤흑당치킨"/>
      <sheetName val="플름)진미채치즈김밥(26.08.25)"/>
      <sheetName val="두부김치제육(26.08.20)"/>
      <sheetName val="비빔참치우동(26.08.18)"/>
      <sheetName val="NEW혜자)반반제육(26.08.13)"/>
      <sheetName val="뭘좋아할지몰라다넣어봤어(26.08.11)"/>
      <sheetName val="무스비)햄&amp;청양불고기(26.08.04)"/>
      <sheetName val="이달의도시락8월(혜자편)(26.08.04)"/>
      <sheetName val="NEW혜자)백설갈비양념제육(26.07.28)"/>
      <sheetName val="더큰)오징어&amp;제육깻잎쌈밥(26.07.28)"/>
      <sheetName val="무스비)햄&amp;참치김치볶음밥(26.07.28)"/>
      <sheetName val="냉동베이커리(그린푸드) (26.07.24)"/>
      <sheetName val="참치마요김치볶음김밥(26.07.21)"/>
      <sheetName val="영풍)참치김밥 (26.07)정리중"/>
      <sheetName val="순성)전주비빔김밥(26.07)"/>
      <sheetName val="순성)치즈계란김밥(26.07)"/>
      <sheetName val="순성)참치마요김밥(26.07)"/>
      <sheetName val="종가)열무비빔국수(26.07.14)"/>
      <sheetName val="통오이김밥(26.07.07)"/>
      <sheetName val="이달의도시락7월(복날편)(26.07.07)"/>
      <sheetName val="더큰)오리고추장불고기(26.07.07)"/>
      <sheetName val="종가)열무김치말이국수(26.06.30)"/>
      <sheetName val="NEW혜자)반반제육(26.06.30)"/>
      <sheetName val="스팸계란치즈김밥(26.06.23)"/>
      <sheetName val="이달의도시락6월(미식편)(26.06.09)"/>
      <sheetName val="직화)한돈제육쌈김밥(26.05.26)"/>
      <sheetName val="마리오)트러플불고기김밥(26.05.05)"/>
      <sheetName val="이달의도시락5월(피크닉편)(26.05.05)"/>
      <sheetName val="삼각)저당전주비빔(26.04.28)"/>
      <sheetName val="순성)전주비빔김밥(26.04)"/>
      <sheetName val="순성)참치마요김밥(26.04)"/>
      <sheetName val="착한)제육덮밥(3,900원)(26.04.09)"/>
      <sheetName val="더큰)닭갈비깻잎쌈밥(26.04.09)"/>
      <sheetName val="혜자)갈비양념제육도시락(25.9.30) (2)"/>
      <sheetName val="더큰)스팸계란볶음밥(26.04.09)"/>
      <sheetName val="이달의도시락4월(피크닉편)(26.04.07)"/>
      <sheetName val="종가)김치제육김밥(26.04.07)"/>
      <sheetName val="더큰)스팸김치볶음밥(26.04.02)"/>
      <sheetName val="종가)묵은지김치제육(26.03.31)"/>
      <sheetName val="종가)들기름묵은지참치(26.03.26)"/>
      <sheetName val="더큰)리챔참치마요(26.03.26)"/>
      <sheetName val="착한)유산슬덮밥(3,900원)(26.03.26)"/>
      <sheetName val="착한)마파두부덮밥(3,900원)(26.03.26)"/>
      <sheetName val="불고기치즈김밥(26.03.24)"/>
      <sheetName val="왕돈까스김밥(26.03.24)"/>
      <sheetName val="더블치즈소시지김밥(26.03.17)"/>
      <sheetName val="정성가득)봄동비빔밥(26.03.10)"/>
      <sheetName val="THE근본김밥(26.03.10)"/>
      <sheetName val="흑백)파파베이컨리조또(26.03.03)"/>
      <sheetName val="설명절)고기완자전김밥(26.02.10)"/>
      <sheetName val="이달의도시락2월(설명절편)(26.02.03)"/>
      <sheetName val="Sheet3"/>
      <sheetName val="냉동베이커리(그린푸드)"/>
      <sheetName val="냉동베이커리(군납)"/>
      <sheetName val="풀)철판닭갈비깻잎쌈밥(26.1.27)"/>
      <sheetName val="흑백)당근듬뿍김밥(26.1.22)"/>
      <sheetName val="무스비)햄참치마요(26.1.13)"/>
      <sheetName val="깐부)마늘간장치킨김밥(26.1.13)"/>
      <sheetName val="통닭다리도시락(26.1.13)"/>
      <sheetName val="풀)실비김치볶음밥(25.12.16)"/>
      <sheetName val="김치제육듬뿍김밥(25.12.16)"/>
      <sheetName val="백설)갈비양념제육김밥(25.12.2)"/>
      <sheetName val="혜자)돈까스&amp;고추장제육(25.11.13)"/>
      <sheetName val="괌)레드라이스김밥(25.11.4)"/>
      <sheetName val="삼각)깻잎진미채(25.10.28)"/>
      <sheetName val="중식한상)깐풍기(25.10.28)"/>
      <sheetName val="착한비빔밥(25.10.23)"/>
      <sheetName val="풀)들기름묵은지참치마요(25.10.14)"/>
      <sheetName val="풀)콘치즈스팸김치볶음밥(25.9.30)"/>
      <sheetName val="혜자)갈비양념제육도시락(25.9.30)"/>
      <sheetName val="혜자)추석명절도시락(25.9.23)"/>
      <sheetName val="사전예약)돈최몇 도시락(25.9.23)"/>
      <sheetName val="사전예약)슈림프인더비프버거(25.9.23)"/>
      <sheetName val="혜자)돌아온 명불허전(25.9.18)리뉴얼"/>
      <sheetName val="혜자)직화불고기&amp;오징어제육(25.9.16)"/>
      <sheetName val="와사마요새우버거(25.9.16)"/>
      <sheetName val="삼각)매운양념갈비맛불고기(25.9.16)"/>
      <sheetName val="삼각)갈비양념불고기(25.9.9)"/>
      <sheetName val="통)촉촉계란말이김밥(25.9.9)"/>
      <sheetName val="사전예약)슈림프인더비프버거(25.9.9)"/>
      <sheetName val="촉촉)치즈감자샌드위치(25.09.02)"/>
      <sheetName val="사전예약)용암치킨&amp;볶음밥(25.09.02)"/>
      <sheetName val="슈퍼)착한1900핫도그-사라다(25.09.02)"/>
      <sheetName val="슈퍼)착한1900핫도그-오리지널(25.09.02)"/>
      <sheetName val="스팸무스비(25.8.26)"/>
      <sheetName val="삼각)어니언베이컨마요(25.8.26)"/>
      <sheetName val="돈까스김밥(25.8.17) (2)"/>
      <sheetName val="삼각)마늘고추장제육(25.8.17)"/>
      <sheetName val="양식세트(25.8.12)"/>
      <sheetName val="삼각)블랙올리브치킨마요(25.8.12)"/>
      <sheetName val="혜자)돌아온 명불허전(25.8.12)"/>
      <sheetName val="세가지햄샌드위치(25.8.12)"/>
      <sheetName val="LG트윈스)오리지널핫도그(25.8.5)"/>
      <sheetName val="리뉴얼)_혜자)햄구이도시락(25.7.29)"/>
      <sheetName val="삼각)우삼겹떡볶이볶음밥(25.7.29)"/>
      <sheetName val="골드떡갈비버거(25.7.29)"/>
      <sheetName val="사전예약)당근김밥(25.7.23)"/>
      <sheetName val="철판볶음정식(25.7.22)"/>
      <sheetName val="무스비)떡갈비전주비빔(25.7.22)"/>
      <sheetName val="블랙떡갈비버거(25.7.22)"/>
      <sheetName val="반반)한돈카츠제육쌈김밥(25.7.15)"/>
      <sheetName val="무스비)햄김치볶음밥(25.7.15)"/>
      <sheetName val="유우카의알찬정식(25.7.15)"/>
      <sheetName val="혜자)돈오리도시락(25.7.13)"/>
      <sheetName val="매콤우엉참치김밥(25.7.8)"/>
      <sheetName val="치킨철판볶음면(25.7.8)"/>
      <sheetName val="무스비)햄참치마요(25.7.8)"/>
      <sheetName val="냉동김밥(7.5)-유부우엉"/>
      <sheetName val="냉동김밥(7.4)-전주비빔"/>
      <sheetName val="이왜진)치즈열장추가버거(매운맛)(25.7.3)"/>
      <sheetName val="이왜진)치즈열장추가버거(25.7.3)"/>
      <sheetName val="스팸치즈무스비(25.7.1)"/>
      <sheetName val="토마토파스타(25.7.1)"/>
      <sheetName val="4색치킨(25.6.24)"/>
      <sheetName val="치즈몬테크리스 샌드위치(25.6.24)"/>
      <sheetName val="혜자)돌아온 완전크닭(250617)"/>
      <sheetName val="착한김치김밥(250612)슈퍼"/>
      <sheetName val="밀레앙)우유&amp;유자크림샌드위치(250610)"/>
      <sheetName val="불고기미나리김밥(250610)"/>
      <sheetName val="내슈빌핫치킨버거(250605)"/>
      <sheetName val="정통치킨버거(250604)"/>
      <sheetName val="스팸후랑크김밥(250603)"/>
      <sheetName val="함박파스타(250603)"/>
      <sheetName val="새우불고기버거(250603)"/>
      <sheetName val="리챔)오믈레햄핫도그(250527)"/>
      <sheetName val="풀)맥햄치즈(250522)"/>
      <sheetName val="통오이김밥(사전예약)(250522)"/>
      <sheetName val="NEW밀레앙)흑임자크림샌드(250520)"/>
      <sheetName val="리챔)오믈레햄핫도그(이벤트)(250520)"/>
      <sheetName val="풀)불어묵주먹밥(250513)"/>
      <sheetName val="혜)알찬정식계란밥&amp;함박(250513)"/>
      <sheetName val="동원)오믈레햄라이스(250506)"/>
      <sheetName val="동원)나폴리탄파스타(250506)"/>
      <sheetName val="에그불고기버거(250429)"/>
      <sheetName val="맛대결)경양식돈까스(250429)"/>
      <sheetName val="맛대결)일식돈까스(250429)"/>
      <sheetName val="레인보우샐러드김밥(250429)"/>
      <sheetName val="슈퍼)착한참치마요김밥(250424)"/>
      <sheetName val="매운잡채김밥(250422)"/>
      <sheetName val="풀)갓김치참치마요(250422)"/>
      <sheetName val="밀레앙)유자크림샌드위치(250422)"/>
      <sheetName val="삼각)두번구운김전주비빔(250415)"/>
      <sheetName val="더블치즈버거(250415)"/>
      <sheetName val="리뉴얼)크린베리치킨샌드위치(250415)"/>
      <sheetName val="풀)두번구운김참치마요(250408)"/>
      <sheetName val="고추장제육파스타(250408)"/>
      <sheetName val="흑임자크림샌드위치(250408)"/>
      <sheetName val="혜자)등심돈까스도시락(250408)"/>
      <sheetName val="풀)순창고추장제육(250401)"/>
      <sheetName val="순창)모듬분식세트(25040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8">
          <cell r="B8">
            <v>1.68</v>
          </cell>
        </row>
        <row r="34">
          <cell r="B34">
            <v>10.199999999999999</v>
          </cell>
        </row>
        <row r="35">
          <cell r="B35">
            <v>17.420000000000002</v>
          </cell>
        </row>
        <row r="36">
          <cell r="B36">
            <v>64.75</v>
          </cell>
        </row>
      </sheetData>
      <sheetData sheetId="12">
        <row r="4">
          <cell r="B4">
            <v>283.94</v>
          </cell>
        </row>
        <row r="5">
          <cell r="B5">
            <v>56.23</v>
          </cell>
        </row>
        <row r="9">
          <cell r="B9">
            <v>12.43</v>
          </cell>
        </row>
        <row r="10">
          <cell r="B10">
            <v>70.47</v>
          </cell>
        </row>
      </sheetData>
      <sheetData sheetId="13">
        <row r="10">
          <cell r="B10">
            <v>41.23</v>
          </cell>
        </row>
        <row r="13">
          <cell r="B13">
            <v>12.63</v>
          </cell>
        </row>
        <row r="15">
          <cell r="B15">
            <v>8.16</v>
          </cell>
        </row>
        <row r="19">
          <cell r="B19">
            <v>10.199999999999999</v>
          </cell>
        </row>
        <row r="20">
          <cell r="B20">
            <v>30.23</v>
          </cell>
        </row>
      </sheetData>
      <sheetData sheetId="14"/>
      <sheetData sheetId="15">
        <row r="9">
          <cell r="B9">
            <v>0.1</v>
          </cell>
        </row>
      </sheetData>
      <sheetData sheetId="16">
        <row r="9">
          <cell r="B9">
            <v>81.34</v>
          </cell>
        </row>
        <row r="26">
          <cell r="B26">
            <v>1.02</v>
          </cell>
        </row>
      </sheetData>
      <sheetData sheetId="17">
        <row r="6">
          <cell r="B6">
            <v>50.22</v>
          </cell>
        </row>
        <row r="7">
          <cell r="B7">
            <v>6.41</v>
          </cell>
        </row>
        <row r="10">
          <cell r="B10">
            <v>20.83</v>
          </cell>
        </row>
        <row r="11">
          <cell r="B11">
            <v>24.29</v>
          </cell>
        </row>
        <row r="12">
          <cell r="B12">
            <v>15.3</v>
          </cell>
        </row>
        <row r="15">
          <cell r="B15">
            <v>12.37</v>
          </cell>
        </row>
        <row r="18">
          <cell r="B18">
            <v>3.4</v>
          </cell>
        </row>
        <row r="19">
          <cell r="B19">
            <v>60.3</v>
          </cell>
        </row>
        <row r="21">
          <cell r="B21">
            <v>20.61</v>
          </cell>
        </row>
        <row r="22">
          <cell r="B22">
            <v>3.87</v>
          </cell>
        </row>
        <row r="23">
          <cell r="B23">
            <v>4.42</v>
          </cell>
        </row>
        <row r="25">
          <cell r="B25">
            <v>1.29</v>
          </cell>
        </row>
        <row r="27">
          <cell r="B27">
            <v>10.199999999999999</v>
          </cell>
        </row>
      </sheetData>
      <sheetData sheetId="18"/>
      <sheetData sheetId="19"/>
      <sheetData sheetId="20">
        <row r="7">
          <cell r="B7">
            <v>125.54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6">
          <cell r="B6">
            <v>20.13</v>
          </cell>
        </row>
      </sheetData>
      <sheetData sheetId="70"/>
      <sheetData sheetId="71"/>
      <sheetData sheetId="72"/>
      <sheetData sheetId="73"/>
      <sheetData sheetId="74">
        <row r="6">
          <cell r="B6">
            <v>85.97</v>
          </cell>
        </row>
        <row r="10">
          <cell r="B10">
            <v>15.25</v>
          </cell>
        </row>
        <row r="13">
          <cell r="B13">
            <v>1.68</v>
          </cell>
        </row>
        <row r="15">
          <cell r="B15">
            <v>0.71</v>
          </cell>
        </row>
      </sheetData>
      <sheetData sheetId="75"/>
      <sheetData sheetId="76"/>
      <sheetData sheetId="77"/>
      <sheetData sheetId="78">
        <row r="5">
          <cell r="B5">
            <v>51.67</v>
          </cell>
        </row>
        <row r="6">
          <cell r="B6">
            <v>33.67</v>
          </cell>
        </row>
        <row r="7">
          <cell r="B7">
            <v>17.36</v>
          </cell>
        </row>
        <row r="8">
          <cell r="B8">
            <v>15.08</v>
          </cell>
        </row>
        <row r="9">
          <cell r="B9">
            <v>24.39</v>
          </cell>
        </row>
        <row r="10">
          <cell r="B10">
            <v>8.98</v>
          </cell>
        </row>
        <row r="11">
          <cell r="B11">
            <v>0.23</v>
          </cell>
        </row>
        <row r="12">
          <cell r="B12">
            <v>25.6</v>
          </cell>
        </row>
        <row r="14">
          <cell r="B14">
            <v>0.47</v>
          </cell>
        </row>
        <row r="15">
          <cell r="B15">
            <v>0.16999999999999998</v>
          </cell>
        </row>
        <row r="16">
          <cell r="B16">
            <v>0.19</v>
          </cell>
        </row>
        <row r="17">
          <cell r="B17">
            <v>0.47</v>
          </cell>
        </row>
      </sheetData>
      <sheetData sheetId="79">
        <row r="10">
          <cell r="B10">
            <v>0.08</v>
          </cell>
        </row>
        <row r="14">
          <cell r="B14">
            <v>0.62</v>
          </cell>
        </row>
      </sheetData>
      <sheetData sheetId="80"/>
      <sheetData sheetId="81">
        <row r="4">
          <cell r="B4">
            <v>3.67</v>
          </cell>
        </row>
        <row r="9">
          <cell r="B9">
            <v>10.41</v>
          </cell>
        </row>
        <row r="12">
          <cell r="B12">
            <v>15.46</v>
          </cell>
        </row>
        <row r="15">
          <cell r="B15">
            <v>0.56000000000000005</v>
          </cell>
        </row>
      </sheetData>
      <sheetData sheetId="82"/>
      <sheetData sheetId="83"/>
      <sheetData sheetId="84"/>
      <sheetData sheetId="85">
        <row r="13">
          <cell r="B13">
            <v>31.83</v>
          </cell>
        </row>
        <row r="14">
          <cell r="B14">
            <v>28.450000000000003</v>
          </cell>
        </row>
        <row r="15">
          <cell r="B15">
            <v>1.9100000000000001</v>
          </cell>
        </row>
        <row r="16">
          <cell r="B16">
            <v>1.37</v>
          </cell>
        </row>
        <row r="17">
          <cell r="B17">
            <v>0.83</v>
          </cell>
        </row>
        <row r="18">
          <cell r="B18">
            <v>3.74</v>
          </cell>
        </row>
        <row r="19">
          <cell r="B19">
            <v>2.2199999999999998</v>
          </cell>
        </row>
      </sheetData>
      <sheetData sheetId="86">
        <row r="4">
          <cell r="B4">
            <v>3.86</v>
          </cell>
        </row>
        <row r="15">
          <cell r="B15">
            <v>2.73</v>
          </cell>
        </row>
        <row r="17">
          <cell r="B17">
            <v>21.91</v>
          </cell>
        </row>
        <row r="18">
          <cell r="B18">
            <v>5.07</v>
          </cell>
        </row>
        <row r="19">
          <cell r="B19">
            <v>1.8</v>
          </cell>
        </row>
        <row r="20">
          <cell r="B20">
            <v>1.1200000000000001</v>
          </cell>
        </row>
        <row r="22">
          <cell r="B22">
            <v>25.51</v>
          </cell>
        </row>
        <row r="24">
          <cell r="B24">
            <v>75.91</v>
          </cell>
        </row>
        <row r="26">
          <cell r="B26">
            <v>4.45</v>
          </cell>
        </row>
        <row r="27">
          <cell r="B27">
            <v>3.56</v>
          </cell>
        </row>
      </sheetData>
      <sheetData sheetId="87"/>
      <sheetData sheetId="88"/>
      <sheetData sheetId="89"/>
      <sheetData sheetId="90"/>
      <sheetData sheetId="91"/>
      <sheetData sheetId="92"/>
      <sheetData sheetId="93"/>
      <sheetData sheetId="94">
        <row r="4">
          <cell r="B4">
            <v>36</v>
          </cell>
        </row>
        <row r="5">
          <cell r="B5">
            <v>2.42</v>
          </cell>
        </row>
        <row r="6">
          <cell r="B6">
            <v>9.6999999999999993</v>
          </cell>
        </row>
        <row r="8">
          <cell r="B8">
            <v>10.63</v>
          </cell>
        </row>
      </sheetData>
      <sheetData sheetId="95">
        <row r="5">
          <cell r="B5">
            <v>25.51</v>
          </cell>
        </row>
        <row r="6">
          <cell r="B6">
            <v>10.63</v>
          </cell>
        </row>
        <row r="7">
          <cell r="B7">
            <v>10.199999999999999</v>
          </cell>
        </row>
        <row r="8">
          <cell r="B8">
            <v>5.0999999999999996</v>
          </cell>
        </row>
      </sheetData>
      <sheetData sheetId="96">
        <row r="6">
          <cell r="B6">
            <v>0.37</v>
          </cell>
        </row>
        <row r="7">
          <cell r="B7">
            <v>3.26</v>
          </cell>
        </row>
        <row r="8">
          <cell r="B8">
            <v>0.65</v>
          </cell>
        </row>
        <row r="9">
          <cell r="B9">
            <v>1.98</v>
          </cell>
        </row>
        <row r="10">
          <cell r="B10">
            <v>6.58</v>
          </cell>
        </row>
        <row r="11">
          <cell r="B11">
            <v>28.33</v>
          </cell>
        </row>
      </sheetData>
      <sheetData sheetId="97"/>
      <sheetData sheetId="98"/>
      <sheetData sheetId="99"/>
      <sheetData sheetId="100"/>
      <sheetData sheetId="101"/>
      <sheetData sheetId="102">
        <row r="4">
          <cell r="B4">
            <v>2.06</v>
          </cell>
        </row>
        <row r="6">
          <cell r="B6">
            <v>4.37</v>
          </cell>
        </row>
        <row r="8">
          <cell r="B8">
            <v>56.74</v>
          </cell>
        </row>
        <row r="9">
          <cell r="B9">
            <v>1.75</v>
          </cell>
        </row>
        <row r="15">
          <cell r="B15">
            <v>7.1</v>
          </cell>
        </row>
        <row r="16">
          <cell r="B16">
            <v>14.61</v>
          </cell>
        </row>
        <row r="20">
          <cell r="B20">
            <v>0.94</v>
          </cell>
        </row>
        <row r="24">
          <cell r="B24">
            <v>5.15</v>
          </cell>
        </row>
        <row r="25">
          <cell r="B25">
            <v>30.42</v>
          </cell>
        </row>
        <row r="26">
          <cell r="B26">
            <v>1.26</v>
          </cell>
        </row>
      </sheetData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>
        <row r="27">
          <cell r="B27">
            <v>0.51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>
        <row r="5">
          <cell r="B5">
            <v>3.3</v>
          </cell>
        </row>
        <row r="6">
          <cell r="B6">
            <v>2.76</v>
          </cell>
        </row>
        <row r="8">
          <cell r="B8">
            <v>15.074</v>
          </cell>
        </row>
        <row r="9">
          <cell r="B9">
            <v>47.51</v>
          </cell>
        </row>
        <row r="10">
          <cell r="B10">
            <v>0.66</v>
          </cell>
        </row>
        <row r="11">
          <cell r="B11">
            <v>3.13</v>
          </cell>
        </row>
        <row r="12">
          <cell r="B12">
            <v>0.4</v>
          </cell>
        </row>
        <row r="13">
          <cell r="B13">
            <v>0.8</v>
          </cell>
        </row>
        <row r="16">
          <cell r="B16">
            <v>11.48</v>
          </cell>
        </row>
        <row r="17">
          <cell r="B17">
            <v>43.51</v>
          </cell>
        </row>
        <row r="18">
          <cell r="B18">
            <v>11.08</v>
          </cell>
        </row>
        <row r="19">
          <cell r="B19">
            <v>17.54</v>
          </cell>
        </row>
        <row r="20">
          <cell r="B20">
            <v>3.12</v>
          </cell>
        </row>
        <row r="23">
          <cell r="B23">
            <v>0.68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자재"/>
      <sheetName val="냉장1"/>
      <sheetName val="냉장2"/>
      <sheetName val="냉동"/>
      <sheetName val="상온"/>
      <sheetName val="Sheet1"/>
    </sheetNames>
    <sheetDataSet>
      <sheetData sheetId="0"/>
      <sheetData sheetId="1"/>
      <sheetData sheetId="2"/>
      <sheetData sheetId="3"/>
      <sheetData sheetId="4"/>
      <sheetData sheetId="5">
        <row r="1">
          <cell r="D1" t="str">
            <v>제품명</v>
          </cell>
          <cell r="E1" t="str">
            <v>입고일</v>
          </cell>
          <cell r="F1" t="str">
            <v>일 사용량
(박스)</v>
          </cell>
          <cell r="G1" t="str">
            <v>유통기한</v>
          </cell>
          <cell r="H1" t="str">
            <v>박스</v>
          </cell>
          <cell r="I1" t="str">
            <v>낱개</v>
          </cell>
          <cell r="J1" t="str">
            <v>현재고(봉)</v>
          </cell>
        </row>
        <row r="2">
          <cell r="D2" t="str">
            <v>[냉장]토마토파스타소스(2kg*6ea)</v>
          </cell>
          <cell r="E2" t="str">
            <v>D+2</v>
          </cell>
          <cell r="F2">
            <v>2.0011666666666668</v>
          </cell>
          <cell r="H2">
            <v>7</v>
          </cell>
          <cell r="J2">
            <v>42</v>
          </cell>
        </row>
        <row r="3">
          <cell r="D3" t="str">
            <v>[냉장] 할라피뇨칠리소스(3kg*5ea)</v>
          </cell>
          <cell r="E3" t="str">
            <v>D+2</v>
          </cell>
          <cell r="F3">
            <v>0.61159999999999992</v>
          </cell>
          <cell r="H3">
            <v>3</v>
          </cell>
          <cell r="I3">
            <v>2</v>
          </cell>
          <cell r="J3">
            <v>17</v>
          </cell>
        </row>
        <row r="4">
          <cell r="D4" t="str">
            <v>[냉장] 쌈장마요소스(3KG*5EA)</v>
          </cell>
          <cell r="E4" t="str">
            <v>D+2</v>
          </cell>
          <cell r="F4">
            <v>1.2412000000000001</v>
          </cell>
          <cell r="H4">
            <v>1</v>
          </cell>
          <cell r="I4">
            <v>2</v>
          </cell>
          <cell r="J4">
            <v>7</v>
          </cell>
        </row>
        <row r="5">
          <cell r="D5" t="str">
            <v>[냉장] 잡채용소스_JH (3kg*5ea)</v>
          </cell>
          <cell r="E5" t="str">
            <v>D+2</v>
          </cell>
          <cell r="H5">
            <v>1</v>
          </cell>
          <cell r="I5">
            <v>4</v>
          </cell>
          <cell r="J5">
            <v>9</v>
          </cell>
        </row>
        <row r="6">
          <cell r="D6" t="str">
            <v>[냉장] 카츠도시락용소스 (3kg*5ea)</v>
          </cell>
          <cell r="E6" t="str">
            <v>D+2</v>
          </cell>
          <cell r="H6">
            <v>7</v>
          </cell>
          <cell r="J6">
            <v>35</v>
          </cell>
        </row>
        <row r="7">
          <cell r="D7" t="str">
            <v>[냉장] 비빔밥용고추장소스 (2kg*5ea)</v>
          </cell>
          <cell r="E7" t="str">
            <v>D+2</v>
          </cell>
          <cell r="F7">
            <v>0.44219999999999998</v>
          </cell>
          <cell r="I7">
            <v>4</v>
          </cell>
          <cell r="J7">
            <v>4</v>
          </cell>
        </row>
        <row r="8">
          <cell r="D8" t="str">
            <v>[냉장] 쉐프원 불맛베이스(캡파우치)(2kg*5ea)</v>
          </cell>
          <cell r="E8" t="str">
            <v>D+2</v>
          </cell>
          <cell r="F8">
            <v>1.1394</v>
          </cell>
          <cell r="H8">
            <v>2</v>
          </cell>
          <cell r="I8">
            <v>2</v>
          </cell>
          <cell r="J8">
            <v>12</v>
          </cell>
        </row>
        <row r="9">
          <cell r="D9" t="str">
            <v>[냉장]통통쏘야소스(3kg*4ea)</v>
          </cell>
          <cell r="E9" t="str">
            <v>D+2</v>
          </cell>
          <cell r="F9">
            <v>0.89300000000000002</v>
          </cell>
          <cell r="H9">
            <v>2</v>
          </cell>
          <cell r="I9">
            <v>3</v>
          </cell>
          <cell r="J9">
            <v>11</v>
          </cell>
        </row>
        <row r="10">
          <cell r="D10" t="str">
            <v>[냉장] 데리야끼마요소스-FS (3kg*4ea)</v>
          </cell>
          <cell r="E10" t="str">
            <v>D+2</v>
          </cell>
          <cell r="F10" t="str">
            <v/>
          </cell>
          <cell r="H10">
            <v>4</v>
          </cell>
          <cell r="J10">
            <v>16</v>
          </cell>
        </row>
        <row r="11">
          <cell r="D11" t="str">
            <v>[냉장] 마일드체다SOS치즈(960g*16ea)</v>
          </cell>
          <cell r="E11" t="str">
            <v>D+3</v>
          </cell>
          <cell r="F11">
            <v>1.990875</v>
          </cell>
          <cell r="H11">
            <v>11</v>
          </cell>
          <cell r="I11">
            <v>5</v>
          </cell>
          <cell r="J11">
            <v>181</v>
          </cell>
        </row>
        <row r="12">
          <cell r="D12" t="str">
            <v>[냉장] 세천팜)김밥단무지 (2.5kg*4ea)</v>
          </cell>
          <cell r="E12" t="str">
            <v>D+1</v>
          </cell>
          <cell r="F12">
            <v>10.21875</v>
          </cell>
          <cell r="H12">
            <v>43</v>
          </cell>
          <cell r="I12">
            <v>1</v>
          </cell>
          <cell r="J12">
            <v>173</v>
          </cell>
        </row>
        <row r="13">
          <cell r="D13" t="str">
            <v>[냉장] 당근채(4kg*3봉 - 1박스)</v>
          </cell>
          <cell r="E13" t="str">
            <v>D+1</v>
          </cell>
          <cell r="F13">
            <v>16.602</v>
          </cell>
          <cell r="H13">
            <v>37</v>
          </cell>
          <cell r="J13">
            <v>111</v>
          </cell>
        </row>
        <row r="14">
          <cell r="D14" t="str">
            <v>[냉장] 치즈콕콕소시지(1.4kg*8ea) (1봉=100g*14ea)</v>
          </cell>
          <cell r="E14" t="str">
            <v>D+2</v>
          </cell>
          <cell r="F14">
            <v>9.4499999999999993</v>
          </cell>
          <cell r="H14">
            <v>26</v>
          </cell>
          <cell r="J14">
            <v>208</v>
          </cell>
        </row>
        <row r="15">
          <cell r="D15" t="str">
            <v>[냉장] 통통한칼집소시지 PK(990g)</v>
          </cell>
          <cell r="E15" t="str">
            <v>D+1</v>
          </cell>
          <cell r="F15" t="str">
            <v/>
          </cell>
          <cell r="H15">
            <v>23</v>
          </cell>
          <cell r="I15">
            <v>26</v>
          </cell>
          <cell r="J15">
            <v>256</v>
          </cell>
        </row>
        <row r="16">
          <cell r="D16" t="str">
            <v>[냉장] 마당놀이2(사각어묵)(1kg*10ea)</v>
          </cell>
          <cell r="E16" t="str">
            <v>D+2</v>
          </cell>
          <cell r="F16" t="str">
            <v/>
          </cell>
          <cell r="G16" t="str">
            <v>변경</v>
          </cell>
          <cell r="I16">
            <v>3</v>
          </cell>
          <cell r="J16">
            <v>3</v>
          </cell>
        </row>
        <row r="17">
          <cell r="D17" t="str">
            <v>[냉장] 깍두기(10kg*box)</v>
          </cell>
          <cell r="E17" t="str">
            <v>D+2</v>
          </cell>
          <cell r="F17">
            <v>2.82</v>
          </cell>
          <cell r="H17">
            <v>4</v>
          </cell>
          <cell r="J17">
            <v>4</v>
          </cell>
        </row>
        <row r="18">
          <cell r="D18" t="str">
            <v>[냉장] 알뜰어묵볼대림 (1kg*10봉)</v>
          </cell>
          <cell r="E18" t="str">
            <v>D+2</v>
          </cell>
          <cell r="F18">
            <v>2.6260000000000003</v>
          </cell>
          <cell r="G18" t="str">
            <v>변경</v>
          </cell>
          <cell r="J18">
            <v>0</v>
          </cell>
        </row>
        <row r="19">
          <cell r="D19" t="str">
            <v>[냉장]숯불갈비맛소스_2kg 행복한맛남</v>
          </cell>
          <cell r="E19" t="str">
            <v>D+2</v>
          </cell>
          <cell r="F19" t="str">
            <v/>
          </cell>
          <cell r="H19">
            <v>1</v>
          </cell>
          <cell r="I19">
            <v>27</v>
          </cell>
          <cell r="J19">
            <v>28</v>
          </cell>
        </row>
        <row r="20">
          <cell r="D20" t="str">
            <v>[냉장] 아워홈)채어묵Ⅲ (1kg*10ea)</v>
          </cell>
          <cell r="E20" t="str">
            <v>D+2</v>
          </cell>
          <cell r="F20" t="str">
            <v/>
          </cell>
          <cell r="G20" t="str">
            <v>영풍김밥용</v>
          </cell>
          <cell r="J20">
            <v>0</v>
          </cell>
        </row>
        <row r="21">
          <cell r="D21" t="str">
            <v>[냉장] 콘버터G (1kg*10봉)</v>
          </cell>
          <cell r="E21" t="str">
            <v>D+2</v>
          </cell>
          <cell r="F21">
            <v>2.6006</v>
          </cell>
          <cell r="H21">
            <v>11</v>
          </cell>
          <cell r="J21">
            <v>110</v>
          </cell>
        </row>
        <row r="22">
          <cell r="D22" t="str">
            <v>[냉장] 만능마카로니샐러드(1kg*10봉)</v>
          </cell>
          <cell r="E22" t="str">
            <v>D+2</v>
          </cell>
          <cell r="F22">
            <v>3.8</v>
          </cell>
          <cell r="H22">
            <v>9</v>
          </cell>
          <cell r="J22">
            <v>90</v>
          </cell>
        </row>
        <row r="23">
          <cell r="D23" t="str">
            <v>[냉장]마카로니샐러드(1kg*10봉)</v>
          </cell>
          <cell r="E23" t="str">
            <v>D+2</v>
          </cell>
          <cell r="F23">
            <v>3.8</v>
          </cell>
          <cell r="H23">
            <v>3</v>
          </cell>
          <cell r="J23">
            <v>30</v>
          </cell>
        </row>
        <row r="24">
          <cell r="D24" t="str">
            <v>[냉장] 계란구이(세절)(1020g*12봉)</v>
          </cell>
          <cell r="E24" t="str">
            <v>D+2</v>
          </cell>
          <cell r="F24">
            <v>1.2630833333333333</v>
          </cell>
          <cell r="I24">
            <v>11</v>
          </cell>
          <cell r="J24">
            <v>11</v>
          </cell>
        </row>
        <row r="25">
          <cell r="D25" t="str">
            <v>[냉장] 야채계란말이(900g*12봉)</v>
          </cell>
          <cell r="E25" t="str">
            <v>D+2</v>
          </cell>
          <cell r="F25">
            <v>2.4375833333333334</v>
          </cell>
          <cell r="H25">
            <v>9</v>
          </cell>
          <cell r="I25">
            <v>10</v>
          </cell>
          <cell r="J25">
            <v>118</v>
          </cell>
        </row>
        <row r="26">
          <cell r="D26" t="str">
            <v>[냉장] 더커진계란구이(1.02kg*12ea)</v>
          </cell>
          <cell r="E26" t="str">
            <v>D+2</v>
          </cell>
          <cell r="F26">
            <v>7.81175</v>
          </cell>
          <cell r="H26">
            <v>6</v>
          </cell>
          <cell r="I26">
            <v>10</v>
          </cell>
          <cell r="J26">
            <v>82</v>
          </cell>
        </row>
        <row r="27">
          <cell r="D27" t="str">
            <v>[냉장] 송송오이피클(1kg*6ea)</v>
          </cell>
          <cell r="E27" t="str">
            <v>D+1</v>
          </cell>
          <cell r="F27">
            <v>0.35616666666666669</v>
          </cell>
          <cell r="H27">
            <v>2</v>
          </cell>
          <cell r="I27">
            <v>1</v>
          </cell>
          <cell r="J27">
            <v>13</v>
          </cell>
        </row>
        <row r="28">
          <cell r="D28" t="str">
            <v>[냉장] 조리편한조각두부(부침용) (3kg(88ea)*3pk)</v>
          </cell>
          <cell r="E28" t="str">
            <v>D+1</v>
          </cell>
          <cell r="F28">
            <v>8.4546666666666663</v>
          </cell>
          <cell r="H28">
            <v>47</v>
          </cell>
          <cell r="I28">
            <v>2</v>
          </cell>
          <cell r="J28">
            <v>2</v>
          </cell>
        </row>
        <row r="29">
          <cell r="D29" t="str">
            <v>[냉장] 골드88세절K(1kg*10봉)</v>
          </cell>
          <cell r="E29" t="str">
            <v>D+1</v>
          </cell>
          <cell r="F29">
            <v>3.2648000000000001</v>
          </cell>
          <cell r="H29">
            <v>6</v>
          </cell>
          <cell r="J29">
            <v>60</v>
          </cell>
        </row>
        <row r="30">
          <cell r="D30" t="str">
            <v>[냉장] 알뜰주부진주줄줄이(1kg*10봉)</v>
          </cell>
          <cell r="E30" t="str">
            <v>D+1</v>
          </cell>
          <cell r="F30">
            <v>5.9682000000000004</v>
          </cell>
          <cell r="G30" t="str">
            <v>대체품</v>
          </cell>
          <cell r="H30">
            <v>3</v>
          </cell>
          <cell r="I30">
            <v>6</v>
          </cell>
          <cell r="J30">
            <v>36</v>
          </cell>
        </row>
        <row r="31">
          <cell r="D31" t="str">
            <v>[냉장] 알뜰주부진주줄줄이(1kg*10봉)</v>
          </cell>
          <cell r="E31" t="str">
            <v>D+1</v>
          </cell>
          <cell r="F31">
            <v>5.9682000000000004</v>
          </cell>
          <cell r="G31" t="str">
            <v>대체품</v>
          </cell>
          <cell r="H31">
            <v>3</v>
          </cell>
          <cell r="I31">
            <v>6</v>
          </cell>
          <cell r="J31">
            <v>36</v>
          </cell>
        </row>
        <row r="32">
          <cell r="D32" t="str">
            <v>[냉장] 게맛살(1.2kg*10봉)</v>
          </cell>
          <cell r="E32" t="str">
            <v>D+2</v>
          </cell>
          <cell r="F32">
            <v>5.3746999999999998</v>
          </cell>
          <cell r="J32">
            <v>0</v>
          </cell>
        </row>
        <row r="33">
          <cell r="D33" t="str">
            <v>[냉장]계란말이G900gBOX(900g*10pk)</v>
          </cell>
          <cell r="E33" t="str">
            <v>D+1</v>
          </cell>
          <cell r="F33" t="str">
            <v/>
          </cell>
          <cell r="H33">
            <v>23</v>
          </cell>
          <cell r="I33">
            <v>8</v>
          </cell>
          <cell r="J33">
            <v>238</v>
          </cell>
        </row>
        <row r="34">
          <cell r="D34" t="str">
            <v>[냉장] 마라상궈소스(2kg*5ea)</v>
          </cell>
          <cell r="E34" t="str">
            <v>D+2</v>
          </cell>
          <cell r="F34">
            <v>7.3999999999999995E-3</v>
          </cell>
          <cell r="J34">
            <v>0</v>
          </cell>
        </row>
        <row r="35">
          <cell r="D35" t="str">
            <v>[냉장] 불맛향미유 (2kg*5ea)</v>
          </cell>
          <cell r="E35" t="str">
            <v>D+2</v>
          </cell>
          <cell r="F35">
            <v>4.5400000000000003E-2</v>
          </cell>
          <cell r="I35">
            <v>1</v>
          </cell>
          <cell r="J35">
            <v>1</v>
          </cell>
        </row>
        <row r="36">
          <cell r="D36" t="str">
            <v>[냉장] 숯불구이맛김밥햄(200g*30ea)</v>
          </cell>
          <cell r="E36" t="str">
            <v>D+2</v>
          </cell>
          <cell r="F36">
            <v>0.4</v>
          </cell>
          <cell r="H36">
            <v>1</v>
          </cell>
          <cell r="J36">
            <v>30</v>
          </cell>
        </row>
        <row r="37">
          <cell r="D37" t="str">
            <v>[냉장]새콤한채코울슬로우(1kg*12pk)</v>
          </cell>
          <cell r="E37" t="str">
            <v>D+2</v>
          </cell>
          <cell r="H37">
            <v>4</v>
          </cell>
          <cell r="J37">
            <v>48</v>
          </cell>
        </row>
        <row r="38">
          <cell r="D38" t="str">
            <v>순성)당근채(국내산) (4kg*3pk/box)</v>
          </cell>
          <cell r="E38" t="str">
            <v>D+3</v>
          </cell>
          <cell r="F38" t="str">
            <v/>
          </cell>
          <cell r="G38" t="str">
            <v>순성김밥</v>
          </cell>
          <cell r="J38">
            <v>0</v>
          </cell>
        </row>
        <row r="39">
          <cell r="D39" t="str">
            <v>우엉조림용 우엉채(중국산) (4kg*2pk)</v>
          </cell>
          <cell r="E39" t="str">
            <v>D+2</v>
          </cell>
          <cell r="F39" t="str">
            <v/>
          </cell>
          <cell r="G39" t="str">
            <v>영풍김밥용</v>
          </cell>
          <cell r="J39">
            <v>0</v>
          </cell>
        </row>
        <row r="40">
          <cell r="D40" t="str">
            <v>사조오양)하이비엔나(1kg*10ea)</v>
          </cell>
          <cell r="E40" t="str">
            <v>D+2</v>
          </cell>
          <cell r="F40">
            <v>5.9682000000000004</v>
          </cell>
          <cell r="G40" t="str">
            <v>임시용도</v>
          </cell>
          <cell r="J40">
            <v>0</v>
          </cell>
        </row>
        <row r="41">
          <cell r="D41" t="str">
            <v>즉석스모크햄세절(1kg*10ea)</v>
          </cell>
          <cell r="E41" t="str">
            <v>D+2</v>
          </cell>
          <cell r="F41">
            <v>3.2648000000000001</v>
          </cell>
          <cell r="G41" t="str">
            <v>임시용도</v>
          </cell>
          <cell r="J41">
            <v>0</v>
          </cell>
        </row>
        <row r="42">
          <cell r="D42" t="str">
            <v>[냉장] 마파두부소스(3kg*5ea)</v>
          </cell>
          <cell r="E42" t="str">
            <v>D+2</v>
          </cell>
          <cell r="F42">
            <v>9.7599999999999992E-2</v>
          </cell>
          <cell r="H42">
            <v>1</v>
          </cell>
          <cell r="I42">
            <v>1</v>
          </cell>
          <cell r="J42">
            <v>6</v>
          </cell>
        </row>
        <row r="43">
          <cell r="D43" t="str">
            <v>[냉장] 명란마요용소스 (3kg*5ea)</v>
          </cell>
          <cell r="E43" t="str">
            <v>D+2</v>
          </cell>
          <cell r="F43">
            <v>9.1200000000000003E-2</v>
          </cell>
          <cell r="H43">
            <v>1</v>
          </cell>
          <cell r="J43">
            <v>5</v>
          </cell>
        </row>
        <row r="44">
          <cell r="D44" t="str">
            <v>[냉장]닭갈비소스-J (3kg*5ea)</v>
          </cell>
          <cell r="E44" t="str">
            <v>D+2</v>
          </cell>
          <cell r="F44">
            <v>0.3926</v>
          </cell>
          <cell r="H44">
            <v>2</v>
          </cell>
          <cell r="I44">
            <v>4</v>
          </cell>
          <cell r="J44">
            <v>14</v>
          </cell>
        </row>
        <row r="45">
          <cell r="D45" t="str">
            <v>[냉장] 찜닭용소스 (3kg*5ea)</v>
          </cell>
          <cell r="E45" t="str">
            <v>D+2</v>
          </cell>
          <cell r="J45">
            <v>0</v>
          </cell>
        </row>
        <row r="46">
          <cell r="D46" t="str">
            <v>[냉장]부산어묵 볼 행복한맛남 PK.(1kg)</v>
          </cell>
          <cell r="E46" t="str">
            <v>D+2</v>
          </cell>
          <cell r="H46">
            <v>1</v>
          </cell>
          <cell r="I46">
            <v>16</v>
          </cell>
          <cell r="J46">
            <v>26</v>
          </cell>
        </row>
        <row r="47">
          <cell r="D47" t="str">
            <v>[냉장] 볶음김치골드(5kg)*3</v>
          </cell>
          <cell r="E47" t="str">
            <v>D+2</v>
          </cell>
          <cell r="F47">
            <v>16.944333333333333</v>
          </cell>
          <cell r="H47">
            <v>12</v>
          </cell>
          <cell r="I47">
            <v>24</v>
          </cell>
          <cell r="J47">
            <v>60</v>
          </cell>
        </row>
        <row r="48">
          <cell r="D48" t="str">
            <v>[냉장] 다진맛김치(PBOX) 10KG*2개입</v>
          </cell>
          <cell r="E48" t="str">
            <v>D+2</v>
          </cell>
          <cell r="H48">
            <v>6</v>
          </cell>
          <cell r="I48">
            <v>1</v>
          </cell>
          <cell r="J48">
            <v>13</v>
          </cell>
        </row>
        <row r="49">
          <cell r="D49" t="str">
            <v>[냉장]김밥용진미채무침(PBOX) 1KG*15봉</v>
          </cell>
          <cell r="E49" t="str">
            <v>D+2</v>
          </cell>
          <cell r="H49">
            <v>2</v>
          </cell>
          <cell r="I49">
            <v>20</v>
          </cell>
          <cell r="J49">
            <v>50</v>
          </cell>
        </row>
        <row r="50">
          <cell r="D50" t="str">
            <v>[냉장]진미채견과무침(PBOX) 1KG*15봉</v>
          </cell>
          <cell r="E50" t="str">
            <v>D+2</v>
          </cell>
          <cell r="J50">
            <v>0</v>
          </cell>
        </row>
        <row r="51">
          <cell r="D51" t="str">
            <v>[냉장]양념깻잎찜(PBOX) 1KG*15봉</v>
          </cell>
          <cell r="E51" t="str">
            <v>D+2</v>
          </cell>
          <cell r="H51">
            <v>2</v>
          </cell>
          <cell r="I51">
            <v>4</v>
          </cell>
          <cell r="J51">
            <v>34</v>
          </cell>
        </row>
        <row r="52">
          <cell r="D52" t="str">
            <v>[냉장] 가쓰오치킨데리소스(PBOX) 2KG*10개입</v>
          </cell>
          <cell r="E52" t="str">
            <v>D+1</v>
          </cell>
          <cell r="F52">
            <v>0.35639999999999999</v>
          </cell>
          <cell r="H52">
            <v>1</v>
          </cell>
          <cell r="I52">
            <v>8</v>
          </cell>
          <cell r="J52">
            <v>18</v>
          </cell>
        </row>
        <row r="53">
          <cell r="D53" t="str">
            <v>[냉장] 간장소스K(2kg*10봉)</v>
          </cell>
          <cell r="E53" t="str">
            <v>D+1</v>
          </cell>
          <cell r="F53">
            <v>0.50990000000000002</v>
          </cell>
          <cell r="H53">
            <v>1</v>
          </cell>
          <cell r="I53">
            <v>34</v>
          </cell>
          <cell r="J53">
            <v>44</v>
          </cell>
        </row>
        <row r="54">
          <cell r="D54" t="str">
            <v>[냉장] 경양식돈까스소스H(소포장)(50g*240ea)</v>
          </cell>
          <cell r="E54" t="str">
            <v>D+1</v>
          </cell>
          <cell r="F54">
            <v>3.6833333333333331</v>
          </cell>
          <cell r="H54">
            <v>10</v>
          </cell>
          <cell r="J54">
            <v>2400</v>
          </cell>
        </row>
        <row r="55">
          <cell r="D55" t="str">
            <v>[냉장]경양식돈까스소스B(PBOX) 30G*420개입</v>
          </cell>
          <cell r="E55" t="str">
            <v>D+1</v>
          </cell>
          <cell r="F55" t="str">
            <v/>
          </cell>
          <cell r="H55">
            <v>10</v>
          </cell>
          <cell r="J55">
            <v>4200</v>
          </cell>
        </row>
        <row r="56">
          <cell r="D56" t="str">
            <v>[냉장] 고추장불고기소스(2kg*10봉)</v>
          </cell>
          <cell r="E56" t="str">
            <v>D+1</v>
          </cell>
          <cell r="F56">
            <v>1.7283999999999999</v>
          </cell>
          <cell r="H56">
            <v>1</v>
          </cell>
          <cell r="J56">
            <v>10</v>
          </cell>
        </row>
        <row r="57">
          <cell r="D57" t="str">
            <v>[냉장] 김밥용돈까스소스(PBOX) 2KG*10개입</v>
          </cell>
          <cell r="E57" t="str">
            <v>D+1</v>
          </cell>
          <cell r="F57">
            <v>2.2544</v>
          </cell>
          <cell r="H57">
            <v>1</v>
          </cell>
          <cell r="I57">
            <v>7</v>
          </cell>
          <cell r="J57">
            <v>17</v>
          </cell>
        </row>
        <row r="58">
          <cell r="D58" t="str">
            <v>[냉장] 김밥용조미에센스소스(PBOX) 2KG*10개입</v>
          </cell>
          <cell r="E58" t="str">
            <v>D+1</v>
          </cell>
          <cell r="F58">
            <v>2.5044</v>
          </cell>
          <cell r="J58">
            <v>0</v>
          </cell>
        </row>
        <row r="59">
          <cell r="D59" t="str">
            <v>[냉장] 김치볶음밥용소스(PBOX) 2KG*10개입</v>
          </cell>
          <cell r="E59" t="str">
            <v>D+1</v>
          </cell>
          <cell r="F59">
            <v>4.1959999999999997</v>
          </cell>
          <cell r="H59">
            <v>15</v>
          </cell>
          <cell r="J59">
            <v>150</v>
          </cell>
        </row>
        <row r="60">
          <cell r="D60" t="str">
            <v>[냉장] 너비아니양념소스J(PBOX) 2KG*10개입</v>
          </cell>
          <cell r="E60" t="str">
            <v>D+1</v>
          </cell>
          <cell r="F60">
            <v>0.99740000000000006</v>
          </cell>
          <cell r="H60">
            <v>1</v>
          </cell>
          <cell r="I60">
            <v>3</v>
          </cell>
          <cell r="J60">
            <v>13</v>
          </cell>
        </row>
        <row r="61">
          <cell r="D61" t="str">
            <v xml:space="preserve">[냉장] 뉴비빔밥용고추장소스(PBOX) 2KG*10개입  </v>
          </cell>
          <cell r="E61" t="str">
            <v>D+1</v>
          </cell>
          <cell r="F61">
            <v>2.8006000000000002</v>
          </cell>
          <cell r="H61">
            <v>5</v>
          </cell>
          <cell r="I61">
            <v>9</v>
          </cell>
          <cell r="J61">
            <v>59</v>
          </cell>
        </row>
        <row r="62">
          <cell r="D62" t="str">
            <v>[냉장] 다시마조미식초소스(PBOX) 2KG*10개입</v>
          </cell>
          <cell r="E62" t="str">
            <v>D+1</v>
          </cell>
          <cell r="F62">
            <v>3.2000000000000001E-2</v>
          </cell>
          <cell r="J62">
            <v>0</v>
          </cell>
        </row>
        <row r="63">
          <cell r="D63" t="str">
            <v>[냉장] 대파크림소스(PBOX) 2KG*9개입</v>
          </cell>
          <cell r="E63" t="str">
            <v>D+1</v>
          </cell>
          <cell r="F63">
            <v>1.8052222222222223</v>
          </cell>
          <cell r="G63" t="str">
            <v>7/7삭제</v>
          </cell>
          <cell r="J63">
            <v>0</v>
          </cell>
        </row>
        <row r="64">
          <cell r="D64" t="str">
            <v>[냉장] 돈까스소스(소포장) 30g*420개입</v>
          </cell>
          <cell r="E64" t="str">
            <v>D+1</v>
          </cell>
          <cell r="F64">
            <v>4.5</v>
          </cell>
          <cell r="J64">
            <v>0</v>
          </cell>
        </row>
        <row r="65">
          <cell r="D65" t="str">
            <v>[냉장] 돈까스소스-FS(PBOX) 2KG*10개입  </v>
          </cell>
          <cell r="E65" t="str">
            <v>D+1</v>
          </cell>
          <cell r="F65">
            <v>0.65650000000000008</v>
          </cell>
          <cell r="H65">
            <v>4</v>
          </cell>
          <cell r="I65">
            <v>8</v>
          </cell>
          <cell r="J65">
            <v>48</v>
          </cell>
        </row>
        <row r="66">
          <cell r="D66" t="str">
            <v>[냉장]땡초간장소스(PBOX) 2KG*10개입</v>
          </cell>
          <cell r="E66" t="str">
            <v>D+1</v>
          </cell>
          <cell r="F66" t="str">
            <v/>
          </cell>
          <cell r="H66">
            <v>1</v>
          </cell>
          <cell r="I66">
            <v>8</v>
          </cell>
          <cell r="J66">
            <v>18</v>
          </cell>
        </row>
        <row r="67">
          <cell r="D67" t="str">
            <v>[냉장] 매운돈까스소스 (2kg*10ea)</v>
          </cell>
          <cell r="E67" t="str">
            <v>D+1</v>
          </cell>
          <cell r="F67">
            <v>0.29020000000000001</v>
          </cell>
          <cell r="H67">
            <v>2</v>
          </cell>
          <cell r="I67">
            <v>5</v>
          </cell>
          <cell r="J67">
            <v>25</v>
          </cell>
        </row>
        <row r="68">
          <cell r="D68" t="str">
            <v>[냉장] 매콤닭강정소스(2kg*10봉)</v>
          </cell>
          <cell r="E68" t="str">
            <v>D+1</v>
          </cell>
          <cell r="F68">
            <v>0.55759999999999998</v>
          </cell>
          <cell r="H68">
            <v>1</v>
          </cell>
          <cell r="I68">
            <v>7</v>
          </cell>
          <cell r="J68">
            <v>17</v>
          </cell>
        </row>
        <row r="69">
          <cell r="D69" t="str">
            <v>[냉장] NEW매콤닭강정소스(PBOX) 2KG*10개입</v>
          </cell>
          <cell r="E69" t="str">
            <v>D+1</v>
          </cell>
          <cell r="F69">
            <v>0.57409999999999994</v>
          </cell>
          <cell r="G69" t="str">
            <v>6/26삭제</v>
          </cell>
          <cell r="J69">
            <v>0</v>
          </cell>
        </row>
        <row r="70">
          <cell r="D70" t="str">
            <v>[냉장]매콤흑당갈비치킨소스(PBOX) 2KG*10개입</v>
          </cell>
          <cell r="E70" t="str">
            <v>D+1</v>
          </cell>
          <cell r="J70">
            <v>0</v>
          </cell>
        </row>
        <row r="71">
          <cell r="D71" t="str">
            <v>[냉장]빨간어묵볶이소스(PBOX) 2KG*10개입 </v>
          </cell>
          <cell r="E71" t="str">
            <v>D+1</v>
          </cell>
          <cell r="F71" t="str">
            <v/>
          </cell>
          <cell r="H71">
            <v>4</v>
          </cell>
          <cell r="I71">
            <v>5</v>
          </cell>
          <cell r="J71">
            <v>37</v>
          </cell>
        </row>
        <row r="72">
          <cell r="D72" t="str">
            <v>[냉장] 볶음김치소스Y(PBOX) 2KG*10개입</v>
          </cell>
          <cell r="E72" t="str">
            <v>D+1</v>
          </cell>
          <cell r="F72">
            <v>0.32429999999999998</v>
          </cell>
          <cell r="J72">
            <v>0</v>
          </cell>
        </row>
        <row r="73">
          <cell r="D73" t="str">
            <v>[냉장] 비빔밥용고추장소스H(PBOX) 2KG*10개입</v>
          </cell>
          <cell r="E73" t="str">
            <v>D+2</v>
          </cell>
          <cell r="F73">
            <v>0.94410000000000005</v>
          </cell>
          <cell r="J73">
            <v>0</v>
          </cell>
        </row>
        <row r="74">
          <cell r="D74" t="str">
            <v xml:space="preserve">[냉장] 삼각용다시마취반소스(PBOX) 2KG*10개입	</v>
          </cell>
          <cell r="E74" t="str">
            <v>D+1</v>
          </cell>
          <cell r="F74">
            <v>0.88119999999999998</v>
          </cell>
          <cell r="J74">
            <v>0</v>
          </cell>
        </row>
        <row r="75">
          <cell r="D75" t="str">
            <v>[냉장] 삼각치킨조미소스(PBOX) 2KG*10개입 </v>
          </cell>
          <cell r="E75" t="str">
            <v>D+1</v>
          </cell>
          <cell r="F75">
            <v>1.0210000000000001</v>
          </cell>
          <cell r="H75">
            <v>10</v>
          </cell>
          <cell r="J75">
            <v>100</v>
          </cell>
        </row>
        <row r="76">
          <cell r="D76" t="str">
            <v>[냉장]스윗닭강정소스(PBOX) 2KG*10개입</v>
          </cell>
          <cell r="E76" t="str">
            <v>D+1</v>
          </cell>
          <cell r="G76" t="str">
            <v>9/1신상</v>
          </cell>
          <cell r="H76">
            <v>1</v>
          </cell>
          <cell r="I76">
            <v>2</v>
          </cell>
          <cell r="J76">
            <v>12</v>
          </cell>
        </row>
        <row r="77">
          <cell r="D77" t="str">
            <v>[냉장] 쏘야볶음소스H (2kg*10ea)</v>
          </cell>
          <cell r="E77" t="str">
            <v>D+1</v>
          </cell>
          <cell r="F77">
            <v>0.46369999999999995</v>
          </cell>
          <cell r="J77">
            <v>5</v>
          </cell>
        </row>
        <row r="78">
          <cell r="D78" t="str">
            <v>[냉장] 오삼불고기소스(PBOX) 2KG*10개입</v>
          </cell>
          <cell r="E78" t="str">
            <v>D+1</v>
          </cell>
          <cell r="F78" t="str">
            <v/>
          </cell>
          <cell r="H78">
            <v>3</v>
          </cell>
          <cell r="I78">
            <v>2</v>
          </cell>
          <cell r="J78">
            <v>32</v>
          </cell>
        </row>
        <row r="79">
          <cell r="D79" t="str">
            <v>[냉장] 우엉볶음용간장소스(저염)(2kg*10ea)</v>
          </cell>
          <cell r="E79" t="str">
            <v>D+1</v>
          </cell>
          <cell r="F79">
            <v>0.40499999999999997</v>
          </cell>
          <cell r="H79">
            <v>1</v>
          </cell>
          <cell r="I79">
            <v>4</v>
          </cell>
          <cell r="J79">
            <v>14</v>
          </cell>
        </row>
        <row r="80">
          <cell r="D80" t="str">
            <v>[냉장] 조미식초소스(2kg*10봉)</v>
          </cell>
          <cell r="E80" t="str">
            <v>D+1</v>
          </cell>
          <cell r="F80">
            <v>2.6840999999999999</v>
          </cell>
          <cell r="J80">
            <v>0</v>
          </cell>
        </row>
        <row r="81">
          <cell r="D81" t="str">
            <v>[냉장]조청닭강정소스(2kg*10ea)</v>
          </cell>
          <cell r="E81" t="str">
            <v>D+1</v>
          </cell>
          <cell r="F81">
            <v>0.80589999999999995</v>
          </cell>
          <cell r="H81">
            <v>1</v>
          </cell>
          <cell r="J81">
            <v>10</v>
          </cell>
        </row>
        <row r="82">
          <cell r="D82" t="str">
            <v>[냉장]청양식매운맛간장소스(PBOX) 2KG*10개입</v>
          </cell>
          <cell r="E82" t="str">
            <v>D+1</v>
          </cell>
          <cell r="F82">
            <v>0.63380000000000003</v>
          </cell>
          <cell r="H82">
            <v>2</v>
          </cell>
          <cell r="J82">
            <v>20</v>
          </cell>
        </row>
        <row r="83">
          <cell r="D83" t="str">
            <v>[냉장] 츠쿠네소스 (2kg*10ea)</v>
          </cell>
          <cell r="E83" t="str">
            <v>D+1</v>
          </cell>
          <cell r="F83">
            <v>0.3755</v>
          </cell>
          <cell r="J83">
            <v>0</v>
          </cell>
        </row>
        <row r="84">
          <cell r="D84" t="str">
            <v>[냉장] 치킨바베큐양념소스 (2kg*10ea)</v>
          </cell>
          <cell r="E84" t="str">
            <v>D+1</v>
          </cell>
          <cell r="F84">
            <v>0.56609999999999994</v>
          </cell>
          <cell r="H84">
            <v>1</v>
          </cell>
          <cell r="I84">
            <v>6</v>
          </cell>
          <cell r="J84">
            <v>16</v>
          </cell>
        </row>
        <row r="85">
          <cell r="D85" t="str">
            <v>[냉장]후천)파프리카소스(2kg*8ea)</v>
          </cell>
          <cell r="E85" t="str">
            <v>D+1</v>
          </cell>
          <cell r="F85">
            <v>0.36399999999999999</v>
          </cell>
          <cell r="I85">
            <v>5</v>
          </cell>
          <cell r="J85">
            <v>5</v>
          </cell>
        </row>
        <row r="86">
          <cell r="D86" t="str">
            <v>[냉장]소세지야채볶음용소스(PBOX) 2KG*10개입</v>
          </cell>
          <cell r="E86" t="str">
            <v>D+1</v>
          </cell>
          <cell r="F86" t="str">
            <v/>
          </cell>
          <cell r="I86">
            <v>7</v>
          </cell>
          <cell r="J86">
            <v>7</v>
          </cell>
        </row>
        <row r="87">
          <cell r="D87" t="str">
            <v>[냉장]겨자소스(PBOX) 15G*800개입</v>
          </cell>
          <cell r="E87" t="str">
            <v>D+1</v>
          </cell>
          <cell r="F87" t="str">
            <v/>
          </cell>
          <cell r="H87">
            <v>5</v>
          </cell>
          <cell r="J87">
            <v>4000</v>
          </cell>
        </row>
        <row r="88">
          <cell r="D88" t="str">
            <v>[냉장]광장김밥조미액FS(PBOX) 2KG*10개입</v>
          </cell>
          <cell r="E88" t="str">
            <v>D+1</v>
          </cell>
          <cell r="F88" t="str">
            <v/>
          </cell>
          <cell r="H88">
            <v>3</v>
          </cell>
          <cell r="I88">
            <v>8</v>
          </cell>
          <cell r="J88">
            <v>38</v>
          </cell>
        </row>
        <row r="89">
          <cell r="D89" t="str">
            <v>[냉장]W갈릭마요소스(PBOX) 25G*480개입</v>
          </cell>
          <cell r="E89" t="str">
            <v>D+1</v>
          </cell>
          <cell r="F89" t="str">
            <v/>
          </cell>
          <cell r="H89">
            <v>8</v>
          </cell>
          <cell r="J89">
            <v>3840</v>
          </cell>
        </row>
        <row r="90">
          <cell r="D90" t="str">
            <v>[냉장] 종가)맛김치 (10kg*2ea)</v>
          </cell>
          <cell r="E90" t="str">
            <v>D+2</v>
          </cell>
          <cell r="F90">
            <v>9.0694999999999997</v>
          </cell>
          <cell r="H90">
            <v>17</v>
          </cell>
          <cell r="I90">
            <v>1</v>
          </cell>
          <cell r="J90">
            <v>35</v>
          </cell>
        </row>
        <row r="91">
          <cell r="D91" t="str">
            <v>[냉장] 미니백볶음김치(3kg*8ea)</v>
          </cell>
          <cell r="E91" t="str">
            <v>D+2</v>
          </cell>
          <cell r="F91">
            <v>3.262</v>
          </cell>
          <cell r="H91">
            <v>15</v>
          </cell>
          <cell r="I91">
            <v>15</v>
          </cell>
          <cell r="J91">
            <v>135</v>
          </cell>
        </row>
        <row r="92">
          <cell r="D92" t="str">
            <v>[냉장] 어묵볶음용소스-FS(3kg*4봉)</v>
          </cell>
          <cell r="E92" t="str">
            <v>D+2</v>
          </cell>
          <cell r="F92">
            <v>0.46174999999999999</v>
          </cell>
          <cell r="H92">
            <v>1</v>
          </cell>
          <cell r="I92">
            <v>3</v>
          </cell>
          <cell r="J92">
            <v>7</v>
          </cell>
        </row>
        <row r="93">
          <cell r="D93" t="str">
            <v>[냉장] 우엉채 (3kg×5pk)-반찬단지</v>
          </cell>
          <cell r="E93" t="str">
            <v>D+2</v>
          </cell>
          <cell r="F93">
            <v>8.4176000000000002</v>
          </cell>
          <cell r="H93">
            <v>19</v>
          </cell>
          <cell r="I93">
            <v>25</v>
          </cell>
          <cell r="J93">
            <v>120</v>
          </cell>
        </row>
        <row r="94">
          <cell r="D94" t="str">
            <v>[냉장] 진미채견과볶음(1kg*10ea)</v>
          </cell>
          <cell r="E94" t="str">
            <v>D+2</v>
          </cell>
          <cell r="F94">
            <v>2.0404</v>
          </cell>
          <cell r="H94">
            <v>3</v>
          </cell>
          <cell r="I94">
            <v>15</v>
          </cell>
          <cell r="J94">
            <v>45</v>
          </cell>
        </row>
        <row r="95">
          <cell r="D95" t="str">
            <v>[냉장]건새우복음(냉장)BOX(1KG*10EA)</v>
          </cell>
          <cell r="E95" t="str">
            <v>D+2</v>
          </cell>
          <cell r="F95" t="str">
            <v/>
          </cell>
          <cell r="H95">
            <v>4</v>
          </cell>
          <cell r="I95">
            <v>14</v>
          </cell>
          <cell r="J95">
            <v>54</v>
          </cell>
        </row>
        <row r="96">
          <cell r="D96" t="str">
            <v>[냉장]볶음김치G(냉장)BOX(5KG*3EA)</v>
          </cell>
          <cell r="E96" t="str">
            <v>D+2</v>
          </cell>
          <cell r="F96" t="str">
            <v/>
          </cell>
          <cell r="H96">
            <v>9</v>
          </cell>
          <cell r="I96">
            <v>7</v>
          </cell>
          <cell r="J96">
            <v>34</v>
          </cell>
        </row>
        <row r="97">
          <cell r="D97" t="str">
            <v>[냉장]실비오그락지1KG(냉장)BOX(1kg*12ea)</v>
          </cell>
          <cell r="E97" t="str">
            <v>D+2</v>
          </cell>
          <cell r="F97">
            <v>1.4684166666666665</v>
          </cell>
          <cell r="H97">
            <v>8</v>
          </cell>
          <cell r="I97">
            <v>9</v>
          </cell>
          <cell r="J97">
            <v>105</v>
          </cell>
        </row>
        <row r="98">
          <cell r="D98" t="str">
            <v>[냉장]8mm김밥단무지2.5kg(냉장)BOX(2.5KG*4EA)</v>
          </cell>
          <cell r="E98" t="str">
            <v>D+2</v>
          </cell>
          <cell r="F98" t="str">
            <v/>
          </cell>
          <cell r="H98">
            <v>24</v>
          </cell>
          <cell r="I98">
            <v>1</v>
          </cell>
          <cell r="J98">
            <v>97</v>
          </cell>
        </row>
        <row r="99">
          <cell r="D99" t="str">
            <v>[냉장]프릴아이스 4KG</v>
          </cell>
          <cell r="E99" t="str">
            <v>D+2</v>
          </cell>
          <cell r="G99" t="str">
            <v>8/25신상</v>
          </cell>
          <cell r="H99">
            <v>0.5</v>
          </cell>
          <cell r="J99">
            <v>0.5</v>
          </cell>
        </row>
        <row r="100">
          <cell r="D100" t="str">
            <v>[냉장] 깐대파(2kg/box)</v>
          </cell>
          <cell r="E100" t="str">
            <v>D+1</v>
          </cell>
          <cell r="F100">
            <v>6.19</v>
          </cell>
          <cell r="H100">
            <v>6</v>
          </cell>
          <cell r="J100">
            <v>6</v>
          </cell>
        </row>
        <row r="101">
          <cell r="D101" t="str">
            <v>[냉장] 깐도라지채(2kg*1봉 - 10kg*1box)</v>
          </cell>
          <cell r="E101" t="str">
            <v>D+1</v>
          </cell>
          <cell r="F101">
            <v>2.0960000000000001</v>
          </cell>
          <cell r="H101">
            <v>8</v>
          </cell>
          <cell r="I101">
            <v>2</v>
          </cell>
          <cell r="J101">
            <v>42</v>
          </cell>
        </row>
        <row r="102">
          <cell r="D102" t="str">
            <v>[냉장] 깐양파(10kg*1box)</v>
          </cell>
          <cell r="E102" t="str">
            <v>D+1</v>
          </cell>
          <cell r="F102">
            <v>4.4219999999999997</v>
          </cell>
          <cell r="H102">
            <v>33</v>
          </cell>
          <cell r="J102">
            <v>33</v>
          </cell>
        </row>
        <row r="103">
          <cell r="D103" t="str">
            <v>[냉장] 깐쪽파 (1kg*2ea)</v>
          </cell>
          <cell r="E103" t="str">
            <v>D+1</v>
          </cell>
          <cell r="F103">
            <v>3.5059999999999998</v>
          </cell>
          <cell r="H103">
            <v>13</v>
          </cell>
          <cell r="I103">
            <v>1</v>
          </cell>
          <cell r="J103">
            <v>27</v>
          </cell>
        </row>
        <row r="104">
          <cell r="D104" t="str">
            <v>[냉장] 깻잎(2kg*1box)</v>
          </cell>
          <cell r="E104" t="str">
            <v>D+1</v>
          </cell>
          <cell r="F104">
            <v>8.8719999999999999</v>
          </cell>
          <cell r="H104">
            <v>34</v>
          </cell>
          <cell r="J104">
            <v>34</v>
          </cell>
        </row>
        <row r="105">
          <cell r="D105" t="str">
            <v>[냉장] 당근(10kg*1box)</v>
          </cell>
          <cell r="E105" t="str">
            <v>D+1</v>
          </cell>
          <cell r="F105">
            <v>0.59399999999999997</v>
          </cell>
          <cell r="H105">
            <v>2.6</v>
          </cell>
          <cell r="J105">
            <v>2.6</v>
          </cell>
        </row>
        <row r="106">
          <cell r="D106" t="str">
            <v>[냉장] 다온정단무지(12kg*1box)</v>
          </cell>
          <cell r="E106" t="str">
            <v>D+1</v>
          </cell>
          <cell r="F106" t="str">
            <v/>
          </cell>
          <cell r="G106">
            <v>46300</v>
          </cell>
          <cell r="J106">
            <v>0</v>
          </cell>
        </row>
        <row r="107">
          <cell r="D107" t="str">
            <v>[냉장] 마늘쫑(7kg*1box)</v>
          </cell>
          <cell r="E107" t="str">
            <v>D+1</v>
          </cell>
          <cell r="F107" t="str">
            <v/>
          </cell>
          <cell r="G107" t="str">
            <v>냉동김밥</v>
          </cell>
          <cell r="J107">
            <v>0</v>
          </cell>
        </row>
        <row r="108">
          <cell r="D108" t="str">
            <v>[냉장] 부추 (4kg*1box)</v>
          </cell>
          <cell r="E108" t="str">
            <v>D+1</v>
          </cell>
          <cell r="F108">
            <v>0.63</v>
          </cell>
          <cell r="H108">
            <v>5</v>
          </cell>
          <cell r="J108">
            <v>5</v>
          </cell>
        </row>
        <row r="109">
          <cell r="D109" t="str">
            <v>[냉장] 양배추(10kg*box)</v>
          </cell>
          <cell r="E109" t="str">
            <v>D+1</v>
          </cell>
          <cell r="F109">
            <v>16.805</v>
          </cell>
          <cell r="H109">
            <v>59</v>
          </cell>
          <cell r="J109">
            <v>59</v>
          </cell>
        </row>
        <row r="110">
          <cell r="D110" t="str">
            <v>[냉장] 온천콩나물(4kg*1box)</v>
          </cell>
          <cell r="E110" t="str">
            <v>D+1</v>
          </cell>
          <cell r="F110">
            <v>6.3529999999999998</v>
          </cell>
          <cell r="H110">
            <v>48</v>
          </cell>
          <cell r="J110">
            <v>48</v>
          </cell>
        </row>
        <row r="111">
          <cell r="D111" t="str">
            <v>[냉장] 청상추(2kg*1box)</v>
          </cell>
          <cell r="E111" t="str">
            <v>D+1</v>
          </cell>
          <cell r="F111">
            <v>0.26800000000000002</v>
          </cell>
          <cell r="H111">
            <v>1</v>
          </cell>
          <cell r="J111">
            <v>1</v>
          </cell>
        </row>
        <row r="112">
          <cell r="D112" t="str">
            <v>[냉장] 청양고추(1kg*5ea)</v>
          </cell>
          <cell r="E112" t="str">
            <v>D+1</v>
          </cell>
          <cell r="F112" t="str">
            <v/>
          </cell>
          <cell r="H112">
            <v>1</v>
          </cell>
          <cell r="I112">
            <v>4</v>
          </cell>
          <cell r="J112">
            <v>9</v>
          </cell>
        </row>
        <row r="113">
          <cell r="D113" t="str">
            <v>[냉장] 신슈단무지 찹핑 (1kg*10pk )</v>
          </cell>
          <cell r="E113" t="str">
            <v>D+2</v>
          </cell>
          <cell r="H113">
            <v>5</v>
          </cell>
          <cell r="J113">
            <v>50</v>
          </cell>
        </row>
        <row r="114">
          <cell r="D114" t="str">
            <v>[냉동] 건새우마늘쫑볶음(1kg*6ea)</v>
          </cell>
          <cell r="E114" t="str">
            <v>D+2</v>
          </cell>
          <cell r="F114">
            <v>6.3</v>
          </cell>
          <cell r="H114">
            <v>8</v>
          </cell>
          <cell r="J114">
            <v>48</v>
          </cell>
        </row>
        <row r="115">
          <cell r="D115" t="str">
            <v>[냉동] 열무나물(1KG*6봉) - 현대그린</v>
          </cell>
          <cell r="E115" t="str">
            <v>D+2</v>
          </cell>
          <cell r="F115">
            <v>6.1749999999999998</v>
          </cell>
          <cell r="J115">
            <v>0</v>
          </cell>
        </row>
        <row r="116">
          <cell r="D116" t="str">
            <v>[냉동] 매콤고추장제육불고기 (3kg*6ea)</v>
          </cell>
          <cell r="E116" t="str">
            <v>D+1</v>
          </cell>
          <cell r="F116">
            <v>2.2688333333333333</v>
          </cell>
          <cell r="H116">
            <v>6</v>
          </cell>
          <cell r="J116">
            <v>36</v>
          </cell>
        </row>
        <row r="117">
          <cell r="D117" t="str">
            <v>[냉동]곤드레나물(PBOX) 1KG*10개입 </v>
          </cell>
          <cell r="E117" t="str">
            <v>D+1</v>
          </cell>
          <cell r="F117">
            <v>0.58319999999999994</v>
          </cell>
          <cell r="H117">
            <v>4</v>
          </cell>
          <cell r="J117">
            <v>40</v>
          </cell>
        </row>
        <row r="118">
          <cell r="D118" t="str">
            <v>[냉동]유채나물무침(PBOX) 1KG*10개입</v>
          </cell>
          <cell r="E118" t="str">
            <v>D+2</v>
          </cell>
          <cell r="G118" t="str">
            <v>9/1신상</v>
          </cell>
          <cell r="H118">
            <v>3</v>
          </cell>
          <cell r="I118">
            <v>6</v>
          </cell>
          <cell r="J118">
            <v>36</v>
          </cell>
        </row>
        <row r="119">
          <cell r="D119" t="str">
            <v>[냉동]궁채느타리들깨볶음(PBOX) 1KG*10개입 </v>
          </cell>
          <cell r="E119" t="str">
            <v>D+2</v>
          </cell>
          <cell r="H119">
            <v>1</v>
          </cell>
          <cell r="J119">
            <v>10</v>
          </cell>
        </row>
        <row r="120">
          <cell r="D120" t="str">
            <v>[냉동]무나물볶음(PBOX) 1KG*10봉 </v>
          </cell>
          <cell r="E120" t="str">
            <v>D+2</v>
          </cell>
          <cell r="J120">
            <v>0</v>
          </cell>
        </row>
        <row r="121">
          <cell r="D121" t="str">
            <v>[냉동] 크레잇)고추장돼지불고기(3KG*3EA)</v>
          </cell>
          <cell r="E121" t="str">
            <v>D+1</v>
          </cell>
          <cell r="F121">
            <v>0.57166666666666666</v>
          </cell>
          <cell r="J121">
            <v>0</v>
          </cell>
        </row>
        <row r="122">
          <cell r="D122" t="str">
            <v>[냉동] 간장돼지불고기(3KG*3EA)</v>
          </cell>
          <cell r="E122" t="str">
            <v>D+1</v>
          </cell>
          <cell r="F122">
            <v>11.671999999999999</v>
          </cell>
          <cell r="J122">
            <v>0</v>
          </cell>
        </row>
        <row r="123">
          <cell r="D123" t="str">
            <v>[냉동]계란옷입은동그랑땡(1kg*8ea)</v>
          </cell>
          <cell r="E123" t="str">
            <v>D+1</v>
          </cell>
          <cell r="F123">
            <v>3.6038749999999999</v>
          </cell>
          <cell r="J123">
            <v>0</v>
          </cell>
        </row>
        <row r="124">
          <cell r="D124" t="str">
            <v>[냉동] 크레잇꼬마돈카츠(1kg(90ea)*8봉)</v>
          </cell>
          <cell r="E124" t="str">
            <v>D+1</v>
          </cell>
          <cell r="F124">
            <v>6.4720000000000004</v>
          </cell>
          <cell r="H124">
            <v>14</v>
          </cell>
          <cell r="J124">
            <v>112</v>
          </cell>
        </row>
        <row r="125">
          <cell r="D125" t="str">
            <v>[냉동] 크레잇직화함박스테이크</v>
          </cell>
          <cell r="E125" t="str">
            <v>D+3</v>
          </cell>
          <cell r="F125">
            <v>0.45819469026548676</v>
          </cell>
          <cell r="J125">
            <v>0</v>
          </cell>
        </row>
        <row r="126">
          <cell r="D126" t="str">
            <v>[냉동]더진한고추장돼지불고기2kg</v>
          </cell>
          <cell r="E126" t="str">
            <v>D+2</v>
          </cell>
          <cell r="F126" t="str">
            <v/>
          </cell>
          <cell r="H126">
            <v>38</v>
          </cell>
          <cell r="J126">
            <v>190</v>
          </cell>
        </row>
        <row r="127">
          <cell r="D127" t="str">
            <v>[냉동]간장돼지불고기A(파우치) PK(2kg)★(D-2)</v>
          </cell>
          <cell r="E127" t="str">
            <v>D+2</v>
          </cell>
          <cell r="F127">
            <v>6.1811999999999996</v>
          </cell>
          <cell r="G127" t="str">
            <v>대체</v>
          </cell>
          <cell r="H127">
            <v>5</v>
          </cell>
          <cell r="J127">
            <v>25</v>
          </cell>
        </row>
        <row r="128">
          <cell r="D128" t="str">
            <v>[냉동]고추장돼지불고기A(파우치)(냉동) PK(2kg)</v>
          </cell>
          <cell r="E128" t="str">
            <v>D+2</v>
          </cell>
          <cell r="F128">
            <v>24.799199999999999</v>
          </cell>
          <cell r="H128">
            <v>4</v>
          </cell>
          <cell r="J128">
            <v>20</v>
          </cell>
        </row>
        <row r="129">
          <cell r="D129" t="str">
            <v>[냉동] 고추장돼지불고기토핑 (2kg*5봉)</v>
          </cell>
          <cell r="E129" t="str">
            <v>D+2</v>
          </cell>
          <cell r="F129">
            <v>17.915799999999997</v>
          </cell>
          <cell r="H129">
            <v>9</v>
          </cell>
          <cell r="J129">
            <v>45</v>
          </cell>
        </row>
        <row r="130">
          <cell r="D130" t="str">
            <v>[냉동] 매운마늘맛불고기(2kg*5ea)</v>
          </cell>
          <cell r="E130" t="str">
            <v>D+2</v>
          </cell>
          <cell r="F130">
            <v>0.33260000000000001</v>
          </cell>
          <cell r="H130">
            <v>3</v>
          </cell>
          <cell r="I130">
            <v>7</v>
          </cell>
          <cell r="J130">
            <v>22</v>
          </cell>
        </row>
        <row r="131">
          <cell r="D131" t="str">
            <v>[냉동] 세블락후랑크 CVS(1kg*10ea)</v>
          </cell>
          <cell r="E131" t="str">
            <v>D+2</v>
          </cell>
          <cell r="F131">
            <v>1.0150000000000001</v>
          </cell>
          <cell r="H131">
            <v>3</v>
          </cell>
          <cell r="I131">
            <v>1</v>
          </cell>
          <cell r="J131">
            <v>31</v>
          </cell>
        </row>
        <row r="132">
          <cell r="D132" t="str">
            <v>[냉동]청정원떡갈비(1kg*8ea)</v>
          </cell>
          <cell r="E132" t="str">
            <v>D+2</v>
          </cell>
          <cell r="F132">
            <v>2.5505</v>
          </cell>
          <cell r="H132">
            <v>5</v>
          </cell>
          <cell r="I132">
            <v>3</v>
          </cell>
          <cell r="J132">
            <v>43</v>
          </cell>
        </row>
        <row r="133">
          <cell r="D133" t="str">
            <v>[냉동] 반숙계란후라이 (900g( 45g* 20개)*8봉)-변경</v>
          </cell>
          <cell r="E133" t="str">
            <v>D+2</v>
          </cell>
          <cell r="H133">
            <v>8</v>
          </cell>
          <cell r="J133">
            <v>64</v>
          </cell>
        </row>
        <row r="134">
          <cell r="D134" t="str">
            <v>[냉동]뚝배기용돼지불고기 (2kg*5봉)</v>
          </cell>
          <cell r="E134" t="str">
            <v>D+2</v>
          </cell>
          <cell r="H134">
            <v>5</v>
          </cell>
          <cell r="J134">
            <v>25</v>
          </cell>
        </row>
        <row r="135">
          <cell r="D135" t="str">
            <v>[냉동]크리스피 순살치킨 1kg(저온)BOX(1kg*10ea)</v>
          </cell>
          <cell r="E135" t="str">
            <v>D+2</v>
          </cell>
          <cell r="F135" t="str">
            <v/>
          </cell>
          <cell r="J135">
            <v>0</v>
          </cell>
        </row>
        <row r="136">
          <cell r="D136" t="str">
            <v>[냉동] 알찬해물부추전 (1kg(30g*33ea) * 5pk)</v>
          </cell>
          <cell r="E136" t="str">
            <v>D+2</v>
          </cell>
          <cell r="F136" t="str">
            <v/>
          </cell>
          <cell r="H136">
            <v>16</v>
          </cell>
          <cell r="I136">
            <v>2</v>
          </cell>
          <cell r="J136">
            <v>82</v>
          </cell>
        </row>
        <row r="137">
          <cell r="D137" t="str">
            <v>[냉동]계란옷입은고기완자(1kg*6)</v>
          </cell>
          <cell r="E137" t="str">
            <v>D+2</v>
          </cell>
          <cell r="F137" t="str">
            <v/>
          </cell>
          <cell r="G137" t="str">
            <v>대체</v>
          </cell>
          <cell r="H137">
            <v>9</v>
          </cell>
          <cell r="I137">
            <v>2</v>
          </cell>
          <cell r="J137">
            <v>56</v>
          </cell>
        </row>
        <row r="138">
          <cell r="D138" t="str">
            <v>[냉동]갈비함박40 PK(40g*25ea)</v>
          </cell>
          <cell r="E138" t="str">
            <v>D+2</v>
          </cell>
          <cell r="F138" t="str">
            <v/>
          </cell>
          <cell r="H138">
            <v>29</v>
          </cell>
          <cell r="I138">
            <v>7</v>
          </cell>
          <cell r="J138">
            <v>297</v>
          </cell>
        </row>
        <row r="139">
          <cell r="D139" t="str">
            <v>[냉동] 냉동비프불고기토핑(1kg*10봉)</v>
          </cell>
          <cell r="E139" t="str">
            <v>D+2</v>
          </cell>
          <cell r="F139">
            <v>0.7843</v>
          </cell>
          <cell r="H139">
            <v>8</v>
          </cell>
          <cell r="I139">
            <v>5</v>
          </cell>
          <cell r="J139">
            <v>85</v>
          </cell>
        </row>
        <row r="140">
          <cell r="D140" t="str">
            <v>[냉동] 대파불고기양념육(2kg*6ea)</v>
          </cell>
          <cell r="E140" t="str">
            <v>D+2</v>
          </cell>
          <cell r="F140">
            <v>5.8566666666666665</v>
          </cell>
          <cell r="H140">
            <v>14</v>
          </cell>
          <cell r="J140">
            <v>84</v>
          </cell>
        </row>
        <row r="141">
          <cell r="D141" t="str">
            <v>[냉동] 선진)선진오징어제육 PK(2,000g*6PK)</v>
          </cell>
          <cell r="E141" t="str">
            <v>D+2</v>
          </cell>
          <cell r="F141" t="str">
            <v/>
          </cell>
          <cell r="H141">
            <v>18</v>
          </cell>
          <cell r="J141">
            <v>108</v>
          </cell>
        </row>
        <row r="142">
          <cell r="D142" t="str">
            <v>[냉동] 미트볼골드(1kg*10ea)</v>
          </cell>
          <cell r="E142" t="str">
            <v>D+2</v>
          </cell>
          <cell r="F142">
            <v>0.98230000000000006</v>
          </cell>
          <cell r="H142">
            <v>3</v>
          </cell>
          <cell r="I142">
            <v>5</v>
          </cell>
          <cell r="J142">
            <v>35</v>
          </cell>
        </row>
        <row r="143">
          <cell r="D143" t="str">
            <v>[냉동] 찌개용어슷후랑크(1kg*10ea)</v>
          </cell>
          <cell r="E143" t="str">
            <v>D+2</v>
          </cell>
          <cell r="F143">
            <v>2.9114999999999998</v>
          </cell>
          <cell r="J143">
            <v>0</v>
          </cell>
        </row>
        <row r="144">
          <cell r="D144" t="str">
            <v>[냉동] 한돈프리미엄돈카츠 (160g*8ea*8ea)</v>
          </cell>
          <cell r="E144" t="str">
            <v>D+2</v>
          </cell>
          <cell r="F144">
            <v>11.50625</v>
          </cell>
          <cell r="H144">
            <v>22</v>
          </cell>
          <cell r="I144">
            <v>3</v>
          </cell>
          <cell r="J144">
            <v>179</v>
          </cell>
        </row>
        <row r="145">
          <cell r="D145" t="str">
            <v>[냉동] 혜자토네이도소시지 [(55g*14ea) *12봉]</v>
          </cell>
          <cell r="E145" t="str">
            <v>D+2</v>
          </cell>
          <cell r="F145">
            <v>4.9783333333333335</v>
          </cell>
          <cell r="H145">
            <v>38</v>
          </cell>
          <cell r="J145">
            <v>456</v>
          </cell>
        </row>
        <row r="146">
          <cell r="D146" t="str">
            <v>[냉동]도톰한멘츠카츠S50 PK(50g*20ea)</v>
          </cell>
          <cell r="E146" t="str">
            <v>D+2</v>
          </cell>
          <cell r="F146" t="str">
            <v/>
          </cell>
          <cell r="H146">
            <v>10</v>
          </cell>
          <cell r="I146">
            <v>6</v>
          </cell>
          <cell r="J146">
            <v>106</v>
          </cell>
        </row>
        <row r="147">
          <cell r="D147" t="str">
            <v>[냉동]한입직화 떡갈비(20g*50ea)*10봉</v>
          </cell>
          <cell r="E147" t="str">
            <v>D+2</v>
          </cell>
          <cell r="F147" t="str">
            <v/>
          </cell>
          <cell r="H147">
            <v>8</v>
          </cell>
          <cell r="I147">
            <v>9</v>
          </cell>
          <cell r="J147">
            <v>89</v>
          </cell>
        </row>
        <row r="148">
          <cell r="D148" t="str">
            <v>[냉동]김밥용남도떡갈비140 PK(140g*10ea)★ </v>
          </cell>
          <cell r="E148" t="str">
            <v>D+2</v>
          </cell>
          <cell r="F148" t="str">
            <v/>
          </cell>
          <cell r="H148">
            <v>37</v>
          </cell>
          <cell r="J148">
            <v>370</v>
          </cell>
        </row>
        <row r="149">
          <cell r="D149" t="str">
            <v>[냉동] 70미니등심돈까스(1.05kg*8봉)-리뉴얼</v>
          </cell>
          <cell r="E149" t="str">
            <v>D+2</v>
          </cell>
          <cell r="F149">
            <v>21.220874999999999</v>
          </cell>
          <cell r="H149">
            <v>17</v>
          </cell>
          <cell r="I149">
            <v>3</v>
          </cell>
          <cell r="J149">
            <v>139</v>
          </cell>
        </row>
        <row r="150">
          <cell r="D150" t="str">
            <v>[냉동] 나트륨줄인치킨가라야게(1kg*10봉)</v>
          </cell>
          <cell r="E150" t="str">
            <v>D+2</v>
          </cell>
          <cell r="F150">
            <v>8.3570999999999991</v>
          </cell>
          <cell r="H150">
            <v>11</v>
          </cell>
          <cell r="I150">
            <v>5</v>
          </cell>
          <cell r="J150">
            <v>115</v>
          </cell>
        </row>
        <row r="151">
          <cell r="D151" t="str">
            <v>[냉동] 등심돈까스140((140g*10ea)8ea)</v>
          </cell>
          <cell r="E151" t="str">
            <v>D+2</v>
          </cell>
          <cell r="F151">
            <v>11.05</v>
          </cell>
          <cell r="H151">
            <v>18</v>
          </cell>
          <cell r="I151">
            <v>5</v>
          </cell>
          <cell r="J151">
            <v>149</v>
          </cell>
        </row>
        <row r="152">
          <cell r="D152" t="str">
            <v>[냉동] 치킨스테이크 행복한맛남 (1.2kg*8ea)</v>
          </cell>
          <cell r="E152" t="str">
            <v>D+2</v>
          </cell>
          <cell r="F152">
            <v>4.3561249999999996</v>
          </cell>
          <cell r="H152">
            <v>6</v>
          </cell>
          <cell r="J152">
            <v>48</v>
          </cell>
        </row>
        <row r="153">
          <cell r="D153" t="str">
            <v>[냉동] 계란옷입은소시지전 (1kg*10pk)</v>
          </cell>
          <cell r="E153" t="str">
            <v>D+1</v>
          </cell>
          <cell r="F153">
            <v>2.0019</v>
          </cell>
          <cell r="H153">
            <v>3</v>
          </cell>
          <cell r="I153">
            <v>3</v>
          </cell>
          <cell r="J153">
            <v>33</v>
          </cell>
        </row>
        <row r="154">
          <cell r="D154" t="str">
            <v>[냉동] 엠아이)불제육두루치기(종이BOX) 2KG*7팩</v>
          </cell>
          <cell r="E154" t="str">
            <v>D+1</v>
          </cell>
          <cell r="F154" t="str">
            <v/>
          </cell>
          <cell r="H154">
            <v>12</v>
          </cell>
          <cell r="J154">
            <v>84</v>
          </cell>
        </row>
        <row r="155">
          <cell r="D155" t="str">
            <v>[냉동] 엠아이)간장두루치기(종이BOX) 2KG*7팩</v>
          </cell>
          <cell r="E155" t="str">
            <v>D+1</v>
          </cell>
          <cell r="F155" t="str">
            <v/>
          </cell>
          <cell r="H155">
            <v>14</v>
          </cell>
          <cell r="J155">
            <v>98</v>
          </cell>
        </row>
        <row r="156">
          <cell r="D156" t="str">
            <v>[냉동] 맥적구이용양념육(종이BOX) 2KG*7팩</v>
          </cell>
          <cell r="E156" t="str">
            <v>D+1</v>
          </cell>
          <cell r="F156" t="str">
            <v/>
          </cell>
          <cell r="H156">
            <v>14</v>
          </cell>
          <cell r="J156">
            <v>98</v>
          </cell>
        </row>
        <row r="157">
          <cell r="D157" t="str">
            <v>[냉동] 두부두루치기용다짐육(2kg*6ea)</v>
          </cell>
          <cell r="E157" t="str">
            <v>D+1</v>
          </cell>
          <cell r="F157">
            <v>9.9999999999999992E-2</v>
          </cell>
          <cell r="J157">
            <v>0</v>
          </cell>
        </row>
        <row r="158">
          <cell r="D158" t="str">
            <v>[냉동] 마일드순살치킨 (95g(10ea)*12pk)</v>
          </cell>
          <cell r="E158" t="str">
            <v>D+2</v>
          </cell>
          <cell r="F158">
            <v>2.3249999999999997</v>
          </cell>
          <cell r="G158" t="str">
            <v>6/26삭제</v>
          </cell>
          <cell r="J158">
            <v>0</v>
          </cell>
        </row>
        <row r="159">
          <cell r="D159" t="str">
            <v>[냉동] 더 잘군 불향가득 츠쿠네 (2kg*5ea)</v>
          </cell>
          <cell r="E159" t="str">
            <v>D+1</v>
          </cell>
          <cell r="F159">
            <v>4.1818</v>
          </cell>
          <cell r="J159">
            <v>0</v>
          </cell>
        </row>
        <row r="160">
          <cell r="D160" t="str">
            <v>[냉동] 코주부사각어묵 (5kg*2ea)</v>
          </cell>
          <cell r="E160" t="str">
            <v>D-2</v>
          </cell>
          <cell r="F160" t="str">
            <v/>
          </cell>
          <cell r="H160">
            <v>39</v>
          </cell>
          <cell r="J160">
            <v>78</v>
          </cell>
        </row>
        <row r="161">
          <cell r="D161" t="str">
            <v>[냉동] 코주부채어묵 (5kg*2ea)</v>
          </cell>
          <cell r="E161" t="str">
            <v>D-2</v>
          </cell>
          <cell r="F161" t="str">
            <v/>
          </cell>
          <cell r="H161">
            <v>3</v>
          </cell>
          <cell r="J161">
            <v>6</v>
          </cell>
        </row>
        <row r="162">
          <cell r="D162" t="str">
            <v>[냉동] (푸른원)냉동 혼합야채 4종(1kg*10ea)</v>
          </cell>
          <cell r="E162" t="str">
            <v>D+2</v>
          </cell>
          <cell r="F162">
            <v>0.72950000000000004</v>
          </cell>
          <cell r="H162">
            <v>1</v>
          </cell>
          <cell r="I162">
            <v>3</v>
          </cell>
          <cell r="J162">
            <v>13</v>
          </cell>
        </row>
        <row r="163">
          <cell r="D163" t="str">
            <v>[냉동] (푸른원)냉동대파슬라이스(1kg*10봉)</v>
          </cell>
          <cell r="E163" t="str">
            <v>D+2</v>
          </cell>
          <cell r="F163">
            <v>0.57400000000000007</v>
          </cell>
          <cell r="H163">
            <v>3</v>
          </cell>
          <cell r="I163">
            <v>5</v>
          </cell>
          <cell r="J163">
            <v>35</v>
          </cell>
        </row>
        <row r="164">
          <cell r="D164" t="str">
            <v>[냉동] 냉동시금치(1kg*10봉)</v>
          </cell>
          <cell r="E164" t="str">
            <v>D+2</v>
          </cell>
          <cell r="F164">
            <v>11.9214</v>
          </cell>
          <cell r="H164">
            <v>17</v>
          </cell>
          <cell r="I164">
            <v>5</v>
          </cell>
          <cell r="J164">
            <v>175</v>
          </cell>
        </row>
        <row r="165">
          <cell r="D165" t="str">
            <v>[냉동] 양파슬라이스(2kg*5ea)</v>
          </cell>
          <cell r="E165" t="str">
            <v>D+2</v>
          </cell>
          <cell r="F165">
            <v>7.5144000000000002</v>
          </cell>
          <cell r="H165">
            <v>7</v>
          </cell>
          <cell r="I165">
            <v>2</v>
          </cell>
          <cell r="J165">
            <v>37</v>
          </cell>
        </row>
        <row r="166">
          <cell r="D166" t="str">
            <v>[냉동] (푸른원)냉동알마늘(1kg*10봉)</v>
          </cell>
          <cell r="E166" t="str">
            <v>D+2</v>
          </cell>
          <cell r="F166">
            <v>1.1164000000000001</v>
          </cell>
          <cell r="H166">
            <v>4</v>
          </cell>
          <cell r="I166">
            <v>2</v>
          </cell>
          <cell r="J166">
            <v>42</v>
          </cell>
        </row>
        <row r="167">
          <cell r="D167" t="str">
            <v>[냉동] (푸른원)다진마늘(1kg*10봉)</v>
          </cell>
          <cell r="E167" t="str">
            <v>D+2</v>
          </cell>
          <cell r="F167">
            <v>0.99049999999999994</v>
          </cell>
          <cell r="H167">
            <v>5</v>
          </cell>
          <cell r="J167">
            <v>50</v>
          </cell>
        </row>
        <row r="168">
          <cell r="D168" t="str">
            <v>[냉동] 스크램블드에그(1kg*10) 업무용</v>
          </cell>
          <cell r="E168" t="str">
            <v>D+1</v>
          </cell>
          <cell r="F168">
            <v>3.4552</v>
          </cell>
          <cell r="H168">
            <v>27</v>
          </cell>
          <cell r="J168">
            <v>270</v>
          </cell>
        </row>
        <row r="169">
          <cell r="D169" t="str">
            <v>[냉동] 얇은고명지단H700G</v>
          </cell>
          <cell r="E169" t="str">
            <v>D+1</v>
          </cell>
          <cell r="H169">
            <v>18</v>
          </cell>
          <cell r="J169">
            <v>180</v>
          </cell>
        </row>
        <row r="170">
          <cell r="D170" t="str">
            <v>[냉동]떡강정(1kg*10봉)(1봉=150ea)</v>
          </cell>
          <cell r="E170" t="str">
            <v>D+1</v>
          </cell>
          <cell r="J170">
            <v>0</v>
          </cell>
        </row>
        <row r="171">
          <cell r="D171" t="str">
            <v>[냉동] 핫도그번 ((1봉*6EA)*6봉))</v>
          </cell>
          <cell r="E171" t="str">
            <v>D+2</v>
          </cell>
          <cell r="F171">
            <v>5.6388888888888893</v>
          </cell>
          <cell r="H171">
            <v>21</v>
          </cell>
          <cell r="J171">
            <v>126</v>
          </cell>
        </row>
        <row r="172">
          <cell r="D172" t="str">
            <v>[냉동]통살새우볼(15g*60)*10pk</v>
          </cell>
          <cell r="E172" t="str">
            <v>D+1</v>
          </cell>
          <cell r="H172">
            <v>6</v>
          </cell>
          <cell r="I172">
            <v>4</v>
          </cell>
          <cell r="J172">
            <v>64</v>
          </cell>
        </row>
        <row r="173">
          <cell r="D173" t="str">
            <v>[냉동]목살스테이크양념육(2kg*6ea)</v>
          </cell>
          <cell r="E173" t="str">
            <v>D+2</v>
          </cell>
          <cell r="H173">
            <v>5</v>
          </cell>
          <cell r="J173">
            <v>30</v>
          </cell>
        </row>
        <row r="174">
          <cell r="D174" t="str">
            <v>[냉동]순살치킨까스J(20ea*8pk)</v>
          </cell>
          <cell r="E174" t="str">
            <v>D+2</v>
          </cell>
          <cell r="H174">
            <v>18</v>
          </cell>
          <cell r="J174">
            <v>144</v>
          </cell>
        </row>
        <row r="175">
          <cell r="D175" t="str">
            <v>[냉동]통등심돈까스J(10ea*10pk)</v>
          </cell>
          <cell r="E175" t="str">
            <v>D+2</v>
          </cell>
          <cell r="H175">
            <v>21</v>
          </cell>
          <cell r="J175">
            <v>210</v>
          </cell>
        </row>
        <row r="176">
          <cell r="D176" t="str">
            <v>[냉동]후지(3kg*4pk)</v>
          </cell>
          <cell r="E176" t="str">
            <v>D+2</v>
          </cell>
          <cell r="H176">
            <v>7</v>
          </cell>
          <cell r="J176">
            <v>28</v>
          </cell>
        </row>
        <row r="177">
          <cell r="D177" t="str">
            <v>[냉동]사조오양)굿픽한입물만두</v>
          </cell>
          <cell r="E177" t="str">
            <v>D+2</v>
          </cell>
          <cell r="H177">
            <v>6</v>
          </cell>
          <cell r="I177">
            <v>1</v>
          </cell>
          <cell r="J177">
            <v>19</v>
          </cell>
        </row>
        <row r="178">
          <cell r="D178" t="str">
            <v>[상온] 평화햅쌀(500kg/포)</v>
          </cell>
          <cell r="E178" t="str">
            <v>D+1</v>
          </cell>
          <cell r="F178">
            <v>6.4757319999999998</v>
          </cell>
          <cell r="H178">
            <v>28</v>
          </cell>
          <cell r="J178">
            <v>14000</v>
          </cell>
        </row>
        <row r="179">
          <cell r="D179" t="str">
            <v>[상온] 그래도푸드)노란단무지13mm (2.5kg*4ea)</v>
          </cell>
          <cell r="E179" t="str">
            <v>D+1</v>
          </cell>
          <cell r="F179">
            <v>43.797499999999999</v>
          </cell>
          <cell r="H179">
            <v>54</v>
          </cell>
          <cell r="J179">
            <v>216</v>
          </cell>
        </row>
        <row r="180">
          <cell r="D180" t="str">
            <v>[상온]1/2김(100*190mm)(실온)PK(200EA)*50pk</v>
          </cell>
          <cell r="E180" t="str">
            <v>D+2</v>
          </cell>
          <cell r="G180">
            <v>46315</v>
          </cell>
          <cell r="H180">
            <v>28</v>
          </cell>
          <cell r="J180">
            <v>1400</v>
          </cell>
        </row>
        <row r="181">
          <cell r="D181" t="str">
            <v>[상온] 비빔소스[30g*400ea(소포장)]</v>
          </cell>
          <cell r="E181" t="str">
            <v>D+2</v>
          </cell>
          <cell r="J181">
            <v>0</v>
          </cell>
        </row>
        <row r="182">
          <cell r="D182" t="str">
            <v>[상온] 쇠고기 실속다시(2kg*6EA)</v>
          </cell>
          <cell r="E182" t="str">
            <v>D+2</v>
          </cell>
          <cell r="F182">
            <v>0.85483333333333322</v>
          </cell>
          <cell r="H182">
            <v>8</v>
          </cell>
          <cell r="J182">
            <v>48</v>
          </cell>
        </row>
        <row r="183">
          <cell r="D183" t="str">
            <v>[상온] 조미삼각김(100매*32팩)/ 외관변경</v>
          </cell>
          <cell r="E183" t="str">
            <v>D+1</v>
          </cell>
          <cell r="F183" t="str">
            <v/>
          </cell>
          <cell r="G183" t="str">
            <v>6/2삭제</v>
          </cell>
          <cell r="J183">
            <v>0</v>
          </cell>
        </row>
        <row r="184">
          <cell r="D184" t="str">
            <v>[상온] 쉐프원 두번자른화영당면 (1kg*10ea)</v>
          </cell>
          <cell r="E184" t="str">
            <v>D+2</v>
          </cell>
          <cell r="F184">
            <v>1.2444999999999999</v>
          </cell>
          <cell r="H184">
            <v>3</v>
          </cell>
          <cell r="I184">
            <v>5</v>
          </cell>
          <cell r="J184">
            <v>35</v>
          </cell>
        </row>
        <row r="185">
          <cell r="D185" t="str">
            <v>[상온] 청정원_매운갈비양념(2kg*8ea)</v>
          </cell>
          <cell r="E185" t="str">
            <v>D+2</v>
          </cell>
          <cell r="F185">
            <v>0.96887500000000004</v>
          </cell>
          <cell r="J185">
            <v>0</v>
          </cell>
        </row>
        <row r="186">
          <cell r="D186" t="str">
            <v>[상온]혜자도시락김(소포장)</v>
          </cell>
          <cell r="E186" t="str">
            <v>D+2</v>
          </cell>
          <cell r="H186">
            <v>18</v>
          </cell>
          <cell r="J186">
            <v>5400</v>
          </cell>
        </row>
        <row r="187">
          <cell r="D187" t="str">
            <v>[상온] 청정원)진간장골드(13L)</v>
          </cell>
          <cell r="E187" t="str">
            <v>D+1</v>
          </cell>
          <cell r="F187" t="str">
            <v/>
          </cell>
          <cell r="H187">
            <v>2</v>
          </cell>
          <cell r="J187">
            <v>2</v>
          </cell>
        </row>
        <row r="188">
          <cell r="D188" t="str">
            <v>[상온] 삼각김(투명_들기름) 100매*32개입</v>
          </cell>
          <cell r="E188" t="str">
            <v>D+1</v>
          </cell>
          <cell r="F188">
            <v>1.6581250000000001</v>
          </cell>
          <cell r="H188">
            <v>2</v>
          </cell>
          <cell r="J188">
            <v>64</v>
          </cell>
        </row>
        <row r="189">
          <cell r="D189" t="str">
            <v xml:space="preserve">[상온] 더원씨푸드)1/2절김 200매*30개입 </v>
          </cell>
          <cell r="E189" t="str">
            <v>D+1</v>
          </cell>
          <cell r="F189">
            <v>1.1273000000000002</v>
          </cell>
          <cell r="H189">
            <v>1</v>
          </cell>
          <cell r="J189">
            <v>30</v>
          </cell>
        </row>
        <row r="190">
          <cell r="D190" t="str">
            <v>[상온] 삼각김(무조미/100매*32ea)</v>
          </cell>
          <cell r="E190" t="str">
            <v>D+1</v>
          </cell>
          <cell r="F190" t="str">
            <v/>
          </cell>
          <cell r="G190" t="str">
            <v>6/2삭제</v>
          </cell>
          <cell r="J190">
            <v>0</v>
          </cell>
        </row>
        <row r="191">
          <cell r="D191" t="str">
            <v xml:space="preserve">[상온] 점보롤김 450매*8롤 </v>
          </cell>
          <cell r="E191" t="str">
            <v>D+1</v>
          </cell>
          <cell r="F191">
            <v>2.2897500000000002</v>
          </cell>
          <cell r="H191">
            <v>6</v>
          </cell>
          <cell r="J191">
            <v>48</v>
          </cell>
        </row>
        <row r="192">
          <cell r="D192" t="str">
            <v>[상온]데리야끼소스 2KG*6개입</v>
          </cell>
          <cell r="E192" t="str">
            <v>D+1</v>
          </cell>
          <cell r="F192" t="str">
            <v/>
          </cell>
          <cell r="J192">
            <v>0</v>
          </cell>
        </row>
        <row r="193">
          <cell r="D193" t="str">
            <v xml:space="preserve">[상온] 김밥김 3절 300매*50개입  </v>
          </cell>
          <cell r="E193" t="str">
            <v>D+1</v>
          </cell>
          <cell r="F193">
            <v>0.1033</v>
          </cell>
          <cell r="H193">
            <v>1</v>
          </cell>
          <cell r="I193">
            <v>22</v>
          </cell>
          <cell r="J193">
            <v>72</v>
          </cell>
        </row>
        <row r="194">
          <cell r="D194" t="str">
            <v>[상온] 점보삼각김(투명패턴) 100매*32개입</v>
          </cell>
          <cell r="E194" t="str">
            <v>D+1</v>
          </cell>
          <cell r="F194">
            <v>6.538125</v>
          </cell>
          <cell r="H194">
            <v>18</v>
          </cell>
          <cell r="J194">
            <v>576</v>
          </cell>
        </row>
        <row r="195">
          <cell r="D195" t="str">
            <v>[상온] 참치(2kg*5봉)-사조대림</v>
          </cell>
          <cell r="E195" t="str">
            <v>D+2</v>
          </cell>
          <cell r="F195">
            <v>9.1219999999999999</v>
          </cell>
          <cell r="J195">
            <v>0</v>
          </cell>
        </row>
        <row r="196">
          <cell r="D196" t="str">
            <v>[상온] 고운고추분 1kg*20봉</v>
          </cell>
          <cell r="E196" t="str">
            <v>D+2</v>
          </cell>
          <cell r="F196">
            <v>9.6799999999999997E-2</v>
          </cell>
          <cell r="H196">
            <v>1</v>
          </cell>
          <cell r="I196">
            <v>10</v>
          </cell>
          <cell r="J196">
            <v>30</v>
          </cell>
        </row>
        <row r="197">
          <cell r="D197" t="str">
            <v>[상온] 케찹파우치(3kg*4봉)</v>
          </cell>
          <cell r="E197" t="str">
            <v>D+2</v>
          </cell>
          <cell r="F197">
            <v>1.3220000000000001</v>
          </cell>
          <cell r="H197">
            <v>4</v>
          </cell>
          <cell r="J197">
            <v>16</v>
          </cell>
        </row>
        <row r="198">
          <cell r="D198" t="str">
            <v>성경)돌자반(500g*6ea)</v>
          </cell>
          <cell r="E198" t="str">
            <v>D+1</v>
          </cell>
          <cell r="F198">
            <v>3.0656666666666665</v>
          </cell>
          <cell r="H198">
            <v>3</v>
          </cell>
          <cell r="J198">
            <v>18</v>
          </cell>
        </row>
        <row r="199">
          <cell r="D199" t="str">
            <v>[상온] 성경식품)재래도시락김 2G*10ea*24봉</v>
          </cell>
          <cell r="E199" t="str">
            <v>D+1</v>
          </cell>
          <cell r="F199">
            <v>15.9625</v>
          </cell>
          <cell r="H199">
            <v>40</v>
          </cell>
          <cell r="J199">
            <v>960</v>
          </cell>
        </row>
        <row r="200">
          <cell r="D200" t="str">
            <v>[상온] 대두유(18L*통)</v>
          </cell>
          <cell r="E200" t="str">
            <v>D+1</v>
          </cell>
          <cell r="F200">
            <v>16.893999999999998</v>
          </cell>
          <cell r="H200">
            <v>106</v>
          </cell>
          <cell r="J200">
            <v>106</v>
          </cell>
        </row>
        <row r="201">
          <cell r="D201" t="str">
            <v>[상온] 스팸(340g*20캔)</v>
          </cell>
          <cell r="E201" t="str">
            <v>D+1</v>
          </cell>
          <cell r="F201">
            <v>29.8447</v>
          </cell>
          <cell r="J201">
            <v>0</v>
          </cell>
        </row>
        <row r="202">
          <cell r="D202" t="str">
            <v>[상온] 하얀설탕(3kg*6봉)</v>
          </cell>
          <cell r="E202" t="str">
            <v>D+1</v>
          </cell>
          <cell r="F202">
            <v>1.4044999999999999</v>
          </cell>
          <cell r="J202">
            <v>0</v>
          </cell>
        </row>
        <row r="203">
          <cell r="D203" t="str">
            <v>[상온] CJ백설 돼지갈비양념(10KG*1EA)</v>
          </cell>
          <cell r="E203" t="str">
            <v>D+1</v>
          </cell>
          <cell r="F203">
            <v>1.07</v>
          </cell>
          <cell r="J203">
            <v>0</v>
          </cell>
        </row>
        <row r="204">
          <cell r="D204" t="str">
            <v>[상온]다담/강된장찌개양념(2kg*6ea)</v>
          </cell>
          <cell r="E204" t="str">
            <v>D+1</v>
          </cell>
          <cell r="J204">
            <v>0</v>
          </cell>
        </row>
        <row r="205">
          <cell r="D205" t="str">
            <v>[상온]해찬들고추장14kg</v>
          </cell>
          <cell r="E205" t="str">
            <v>D+1</v>
          </cell>
          <cell r="H205">
            <v>1</v>
          </cell>
          <cell r="J205">
            <v>1</v>
          </cell>
        </row>
        <row r="206">
          <cell r="D206" t="str">
            <v>[상온] 오뚜기GS마요네즈 (10kg*1ea)</v>
          </cell>
          <cell r="E206" t="str">
            <v>D+1</v>
          </cell>
          <cell r="F206">
            <v>16.436</v>
          </cell>
          <cell r="H206">
            <v>71</v>
          </cell>
          <cell r="J206">
            <v>71</v>
          </cell>
        </row>
        <row r="207">
          <cell r="D207" t="str">
            <v>[상온] 오쉐프_허니마스타드 드레싱 (2kg*6ea)</v>
          </cell>
          <cell r="E207" t="str">
            <v>D+1</v>
          </cell>
          <cell r="F207">
            <v>0.39300000000000002</v>
          </cell>
          <cell r="H207">
            <v>2</v>
          </cell>
          <cell r="J207">
            <v>12</v>
          </cell>
        </row>
        <row r="208">
          <cell r="D208" t="str">
            <v>[상온]이금기_팬더굴소스(PE) 2.4KG</v>
          </cell>
          <cell r="E208" t="str">
            <v>D+1</v>
          </cell>
          <cell r="F208">
            <v>5.45E-2</v>
          </cell>
          <cell r="I208">
            <v>2</v>
          </cell>
          <cell r="J208">
            <v>2</v>
          </cell>
        </row>
        <row r="209">
          <cell r="D209" t="str">
            <v>[상온] 치킨파우더(1KG*12EA)</v>
          </cell>
          <cell r="E209" t="str">
            <v>D+1</v>
          </cell>
          <cell r="F209">
            <v>6.9166666666666668E-2</v>
          </cell>
          <cell r="J209">
            <v>0</v>
          </cell>
        </row>
        <row r="210">
          <cell r="D210" t="str">
            <v>[상온] 고추맛기름(1.5L*9통)-NS유통</v>
          </cell>
          <cell r="E210" t="str">
            <v>D+2</v>
          </cell>
          <cell r="F210">
            <v>0.25744444444444448</v>
          </cell>
          <cell r="H210">
            <v>2</v>
          </cell>
          <cell r="I210">
            <v>5</v>
          </cell>
          <cell r="J210">
            <v>23</v>
          </cell>
        </row>
        <row r="211">
          <cell r="D211" t="str">
            <v>[상온]빵가루(상온)PK(10kg)</v>
          </cell>
          <cell r="E211" t="str">
            <v>D+2</v>
          </cell>
          <cell r="H211">
            <v>6</v>
          </cell>
          <cell r="J211">
            <v>6</v>
          </cell>
        </row>
        <row r="212">
          <cell r="D212" t="str">
            <v>[상온] 화풍표고버섯채(종이BOX) 2.84KG*6캔</v>
          </cell>
          <cell r="E212" t="str">
            <v>D+1</v>
          </cell>
          <cell r="F212">
            <v>1.3</v>
          </cell>
          <cell r="H212">
            <v>11</v>
          </cell>
          <cell r="I212">
            <v>3</v>
          </cell>
          <cell r="J212">
            <v>69</v>
          </cell>
        </row>
        <row r="213">
          <cell r="D213" t="str">
            <v>크레잇)허니머스타드드레싱(2kg*6ea)</v>
          </cell>
          <cell r="E213" t="str">
            <v>D+1</v>
          </cell>
          <cell r="F213">
            <v>0.39300000000000002</v>
          </cell>
          <cell r="J213">
            <v>0</v>
          </cell>
        </row>
        <row r="214">
          <cell r="D214" t="str">
            <v>[상온] 리챔 (340g*24ea)</v>
          </cell>
          <cell r="E214" t="str">
            <v>D+1</v>
          </cell>
          <cell r="F214">
            <v>5.9444583333333334</v>
          </cell>
          <cell r="J214">
            <v>0</v>
          </cell>
        </row>
        <row r="215">
          <cell r="D215" t="str">
            <v>[상온] 맛소금 (5KG*4EA) - NS유통</v>
          </cell>
          <cell r="E215" t="str">
            <v>D+1</v>
          </cell>
          <cell r="F215">
            <v>2.0750000000000001E-2</v>
          </cell>
          <cell r="J215">
            <v>0</v>
          </cell>
        </row>
        <row r="216">
          <cell r="D216" t="str">
            <v>[상온] 동원)참치다시(1kg*10ea)</v>
          </cell>
          <cell r="E216" t="str">
            <v>D+1</v>
          </cell>
          <cell r="F216">
            <v>0.11699999999999999</v>
          </cell>
          <cell r="J216">
            <v>0</v>
          </cell>
        </row>
        <row r="217">
          <cell r="D217" t="str">
            <v>[상온] 진간장(1.8L*6통)-NS유통</v>
          </cell>
          <cell r="E217" t="str">
            <v>D+2</v>
          </cell>
          <cell r="F217">
            <v>0.1915</v>
          </cell>
          <cell r="J217">
            <v>0</v>
          </cell>
        </row>
        <row r="218">
          <cell r="D218" t="str">
            <v>[상온] 유니믹스HG(5kg*4봉)</v>
          </cell>
          <cell r="E218" t="str">
            <v>D+1</v>
          </cell>
          <cell r="F218">
            <v>0.12875</v>
          </cell>
          <cell r="J218">
            <v>0</v>
          </cell>
        </row>
        <row r="219">
          <cell r="D219" t="str">
            <v>[상온] 유니믹스N2(5kg*4봉)</v>
          </cell>
          <cell r="E219" t="str">
            <v>D+1</v>
          </cell>
          <cell r="F219">
            <v>9.4500000000000001E-2</v>
          </cell>
          <cell r="J219">
            <v>0</v>
          </cell>
        </row>
        <row r="220">
          <cell r="D220" t="str">
            <v xml:space="preserve">[상온] 구운롤김 600매*8롤 </v>
          </cell>
          <cell r="E220" t="str">
            <v>D+1</v>
          </cell>
          <cell r="F220">
            <v>0.98987499999999995</v>
          </cell>
          <cell r="G220" t="str">
            <v>슈퍼/냉동김밥</v>
          </cell>
          <cell r="J220">
            <v>0</v>
          </cell>
        </row>
        <row r="221">
          <cell r="D221" t="str">
            <v>[상온] 모아하우스머스타드(3.628kg*4ea)</v>
          </cell>
          <cell r="E221" t="str">
            <v>D+2</v>
          </cell>
          <cell r="F221">
            <v>0.47449999999999998</v>
          </cell>
          <cell r="H221">
            <v>2</v>
          </cell>
          <cell r="J221">
            <v>8</v>
          </cell>
        </row>
        <row r="222">
          <cell r="D222" t="str">
            <v>[상온]치킨난방용마요BOX(2kg*5ea)</v>
          </cell>
          <cell r="E222" t="str">
            <v>D+2</v>
          </cell>
          <cell r="H222">
            <v>4</v>
          </cell>
          <cell r="J222">
            <v>20</v>
          </cell>
        </row>
        <row r="223">
          <cell r="D223" t="str">
            <v>[상온] 살코기참치(3kg*5팩)-S&amp;P</v>
          </cell>
          <cell r="E223" t="str">
            <v>D+2</v>
          </cell>
          <cell r="F223">
            <v>9.1219999999999999</v>
          </cell>
          <cell r="H223">
            <v>104</v>
          </cell>
          <cell r="J223">
            <v>520</v>
          </cell>
        </row>
        <row r="224">
          <cell r="D224" t="str">
            <v>[상온] 건국연유(5kg*2봉)</v>
          </cell>
          <cell r="E224" t="str">
            <v>D+2/1</v>
          </cell>
          <cell r="F224">
            <v>0.70150000000000001</v>
          </cell>
          <cell r="J224">
            <v>0</v>
          </cell>
        </row>
        <row r="225">
          <cell r="D225" t="str">
            <v>[상온] 농가참기름(소포장) (3ml*2000ea)-이우유통</v>
          </cell>
          <cell r="E225" t="str">
            <v>D+2/1</v>
          </cell>
          <cell r="F225">
            <v>3.3500000000000002E-2</v>
          </cell>
          <cell r="H225">
            <v>1</v>
          </cell>
          <cell r="J225">
            <v>2000</v>
          </cell>
        </row>
        <row r="226">
          <cell r="D226" t="str">
            <v>[상온] 늘푸른할라피뇨랠리쉬 (3kg*6캔)</v>
          </cell>
          <cell r="E226" t="str">
            <v>D+2/1</v>
          </cell>
          <cell r="F226">
            <v>0.59433333333333327</v>
          </cell>
          <cell r="I226">
            <v>2</v>
          </cell>
          <cell r="J226">
            <v>2</v>
          </cell>
        </row>
        <row r="227">
          <cell r="D227" t="str">
            <v>[상온] 미원(1kg*20봉)</v>
          </cell>
          <cell r="E227" t="str">
            <v>D+2/1</v>
          </cell>
          <cell r="F227">
            <v>2.0749999999999998E-2</v>
          </cell>
          <cell r="I227">
            <v>5</v>
          </cell>
          <cell r="J227">
            <v>5</v>
          </cell>
        </row>
        <row r="228">
          <cell r="D228" t="str">
            <v>[상온] 수연소면(400g*20ea)</v>
          </cell>
          <cell r="E228" t="str">
            <v>D+2/1</v>
          </cell>
          <cell r="F228" t="str">
            <v/>
          </cell>
          <cell r="J228">
            <v>0</v>
          </cell>
        </row>
        <row r="229">
          <cell r="D229" t="str">
            <v>[상온] 스위트콘 (3kg*6ea)</v>
          </cell>
          <cell r="E229" t="str">
            <v>D+2/1</v>
          </cell>
          <cell r="J229">
            <v>0</v>
          </cell>
        </row>
        <row r="230">
          <cell r="D230" t="str">
            <v>[상온] 서원)K2순후추(200g*50ea)</v>
          </cell>
          <cell r="E230" t="str">
            <v>D+1</v>
          </cell>
          <cell r="F230">
            <v>5.7699999999999994E-2</v>
          </cell>
          <cell r="J230">
            <v>0</v>
          </cell>
        </row>
        <row r="231">
          <cell r="D231" t="str">
            <v>[상온] 신슈단무지(꼬들단무지) (1kg*10pk )</v>
          </cell>
          <cell r="E231" t="str">
            <v>D+2/1</v>
          </cell>
          <cell r="F231">
            <v>5.3673000000000002</v>
          </cell>
          <cell r="H231">
            <v>28</v>
          </cell>
          <cell r="J231">
            <v>280</v>
          </cell>
        </row>
        <row r="232">
          <cell r="D232" t="str">
            <v>[상온] 오이피클랠리쉬</v>
          </cell>
          <cell r="E232" t="str">
            <v>D+1</v>
          </cell>
          <cell r="I232">
            <v>2</v>
          </cell>
          <cell r="J232">
            <v>2</v>
          </cell>
        </row>
        <row r="233">
          <cell r="D233" t="str">
            <v>[상온] 이온물엿 (8L*1통)</v>
          </cell>
          <cell r="E233" t="str">
            <v>D+2/1</v>
          </cell>
          <cell r="F233">
            <v>1.05</v>
          </cell>
          <cell r="G233" t="str">
            <v>업체변경</v>
          </cell>
          <cell r="H233">
            <v>7</v>
          </cell>
          <cell r="J233">
            <v>7</v>
          </cell>
        </row>
        <row r="234">
          <cell r="D234" t="str">
            <v>[상온] 중국산정제염(25kg*포)-이우유통</v>
          </cell>
          <cell r="E234" t="str">
            <v>D+2/1</v>
          </cell>
          <cell r="F234">
            <v>1.2270000000000001</v>
          </cell>
          <cell r="H234">
            <v>5</v>
          </cell>
          <cell r="J234">
            <v>5</v>
          </cell>
        </row>
        <row r="235">
          <cell r="D235" t="str">
            <v>[상온] 카라멜소스(2.4KG*5EA)</v>
          </cell>
          <cell r="E235" t="str">
            <v>D+2/1</v>
          </cell>
          <cell r="F235">
            <v>6.7799999999999999E-2</v>
          </cell>
          <cell r="I235">
            <v>4</v>
          </cell>
          <cell r="J235">
            <v>4</v>
          </cell>
        </row>
        <row r="236">
          <cell r="D236" t="str">
            <v>[상온] 혼다시(1kg*12통)</v>
          </cell>
          <cell r="E236" t="str">
            <v>D+2/1</v>
          </cell>
          <cell r="F236">
            <v>0.18533333333333335</v>
          </cell>
          <cell r="G236" t="str">
            <v>업체변경</v>
          </cell>
          <cell r="H236">
            <v>1</v>
          </cell>
          <cell r="J236">
            <v>12</v>
          </cell>
        </row>
        <row r="237">
          <cell r="D237" t="str">
            <v>[상온] 흑미 10KG*1개입</v>
          </cell>
          <cell r="E237" t="str">
            <v>D+2/1</v>
          </cell>
          <cell r="F237" t="str">
            <v/>
          </cell>
          <cell r="H237">
            <v>10</v>
          </cell>
          <cell r="J237">
            <v>10</v>
          </cell>
        </row>
        <row r="238">
          <cell r="D238" t="str">
            <v>[상온] 큐원백설탕(15kg)</v>
          </cell>
          <cell r="E238" t="str">
            <v>D+2/1</v>
          </cell>
          <cell r="F238">
            <v>2.4390000000000001</v>
          </cell>
          <cell r="H238">
            <v>5</v>
          </cell>
          <cell r="J238">
            <v>5</v>
          </cell>
        </row>
        <row r="239">
          <cell r="D239" t="str">
            <v>[상온] 샘표금F3진간장 (1.7L*6ea)</v>
          </cell>
          <cell r="E239" t="str">
            <v>D+2/1</v>
          </cell>
          <cell r="F239" t="str">
            <v/>
          </cell>
          <cell r="I239">
            <v>3</v>
          </cell>
          <cell r="J239">
            <v>3</v>
          </cell>
        </row>
        <row r="240">
          <cell r="D240" t="str">
            <v>[상온] 매원(1.5L*8ea)</v>
          </cell>
          <cell r="E240" t="str">
            <v>D+2/1</v>
          </cell>
          <cell r="F240" t="str">
            <v/>
          </cell>
          <cell r="H240">
            <v>1</v>
          </cell>
          <cell r="I240">
            <v>3</v>
          </cell>
          <cell r="J240">
            <v>11</v>
          </cell>
        </row>
        <row r="241">
          <cell r="D241" t="str">
            <v>[상온] 미향(1.8L*6ea)</v>
          </cell>
          <cell r="E241" t="str">
            <v>D+2/1</v>
          </cell>
          <cell r="F241" t="str">
            <v/>
          </cell>
          <cell r="I241">
            <v>4</v>
          </cell>
          <cell r="J241">
            <v>4</v>
          </cell>
        </row>
        <row r="242">
          <cell r="D242" t="str">
            <v>[상온] 국내산들기름1.8L*6</v>
          </cell>
          <cell r="E242" t="str">
            <v>D+2/1</v>
          </cell>
          <cell r="F242" t="str">
            <v/>
          </cell>
          <cell r="I242">
            <v>4</v>
          </cell>
          <cell r="J242">
            <v>4</v>
          </cell>
        </row>
        <row r="243">
          <cell r="D243" t="str">
            <v>[상온] 채단무지(2.8kg*4ea)</v>
          </cell>
          <cell r="E243" t="str">
            <v>D+2/1</v>
          </cell>
          <cell r="F243">
            <v>2.8125</v>
          </cell>
          <cell r="H243">
            <v>7</v>
          </cell>
          <cell r="I243">
            <v>1</v>
          </cell>
          <cell r="J243">
            <v>29</v>
          </cell>
        </row>
        <row r="244">
          <cell r="D244" t="str">
            <v>[상온] 검은깨(1kg*10ea)</v>
          </cell>
          <cell r="E244" t="str">
            <v>D+2</v>
          </cell>
          <cell r="F244">
            <v>8.8999999999999999E-3</v>
          </cell>
          <cell r="I244">
            <v>7</v>
          </cell>
          <cell r="J244">
            <v>7</v>
          </cell>
        </row>
        <row r="245">
          <cell r="D245" t="str">
            <v>[상온] 들기름 (1.8L*6ea)</v>
          </cell>
          <cell r="E245" t="str">
            <v>D+2</v>
          </cell>
          <cell r="F245">
            <v>0.20983333333333332</v>
          </cell>
          <cell r="J245">
            <v>0</v>
          </cell>
        </row>
        <row r="246">
          <cell r="D246" t="str">
            <v>[상온] 청학/볶음참깨(1kg*10봉)</v>
          </cell>
          <cell r="E246" t="str">
            <v>D+2</v>
          </cell>
          <cell r="F246">
            <v>3.2907999999999999</v>
          </cell>
          <cell r="H246">
            <v>5</v>
          </cell>
          <cell r="I246">
            <v>6</v>
          </cell>
          <cell r="J246">
            <v>56</v>
          </cell>
        </row>
        <row r="247">
          <cell r="D247" t="str">
            <v>[상온] 청학/청학동참기름(1.8L*6EA)</v>
          </cell>
          <cell r="E247" t="str">
            <v>D+2</v>
          </cell>
          <cell r="F247">
            <v>4.1938333333333331</v>
          </cell>
          <cell r="H247">
            <v>15</v>
          </cell>
          <cell r="J247">
            <v>90</v>
          </cell>
        </row>
        <row r="248">
          <cell r="D248" t="str">
            <v>[상온] 청학/청학동참기름(16.5kg/통)</v>
          </cell>
          <cell r="E248" t="str">
            <v>D+2</v>
          </cell>
          <cell r="F248">
            <v>1.087</v>
          </cell>
          <cell r="J248">
            <v>0</v>
          </cell>
        </row>
        <row r="249">
          <cell r="D249" t="str">
            <v>[상온]바릴라스파게티면(종이BOX) 5KG*3EA</v>
          </cell>
          <cell r="E249" t="str">
            <v>D+1</v>
          </cell>
          <cell r="F249">
            <v>2.0036666666666667</v>
          </cell>
          <cell r="H249">
            <v>4</v>
          </cell>
          <cell r="J249">
            <v>12</v>
          </cell>
        </row>
        <row r="250">
          <cell r="D250" t="str">
            <v>[상온] 고미트햄 (340G*24EA)-한성</v>
          </cell>
          <cell r="E250" t="str">
            <v>D+1</v>
          </cell>
          <cell r="F250">
            <v>7.8003333333333336</v>
          </cell>
          <cell r="H250">
            <v>55</v>
          </cell>
          <cell r="J250">
            <v>1320</v>
          </cell>
        </row>
        <row r="251">
          <cell r="D251" t="str">
            <v>오뚜기)2배사과식초(900ml*15통)</v>
          </cell>
          <cell r="E251" t="str">
            <v>D+1</v>
          </cell>
          <cell r="F251" t="str">
            <v/>
          </cell>
          <cell r="G251" t="str">
            <v>냉동김밥</v>
          </cell>
          <cell r="J251">
            <v>0</v>
          </cell>
        </row>
        <row r="252">
          <cell r="D252" t="str">
            <v>쏘이마루)콩단백(1kg*10pk)</v>
          </cell>
          <cell r="E252" t="str">
            <v>D+1</v>
          </cell>
          <cell r="F252" t="str">
            <v/>
          </cell>
          <cell r="G252" t="str">
            <v>냉동김밥</v>
          </cell>
          <cell r="J252">
            <v>0</v>
          </cell>
        </row>
        <row r="253">
          <cell r="D253" t="str">
            <v>움트리)와사비분말(200g*10pk)</v>
          </cell>
          <cell r="E253" t="str">
            <v>D+1</v>
          </cell>
          <cell r="F253" t="str">
            <v/>
          </cell>
          <cell r="G253" t="str">
            <v>냉동김밥</v>
          </cell>
          <cell r="J253">
            <v>0</v>
          </cell>
        </row>
        <row r="254">
          <cell r="D254" t="str">
            <v>조청쌀엿(5kg*4ea)</v>
          </cell>
          <cell r="E254" t="str">
            <v>D+1</v>
          </cell>
          <cell r="F254" t="str">
            <v/>
          </cell>
          <cell r="G254" t="str">
            <v>냉동김밥</v>
          </cell>
          <cell r="J254">
            <v>0</v>
          </cell>
        </row>
        <row r="255">
          <cell r="D255" t="str">
            <v>[상온] 고소한 마요네즈 행복한맛남 (2kg*1봉)</v>
          </cell>
          <cell r="E255" t="str">
            <v>D+2</v>
          </cell>
          <cell r="F255" t="str">
            <v/>
          </cell>
          <cell r="G255" t="str">
            <v>순성김밥</v>
          </cell>
          <cell r="J255">
            <v>0</v>
          </cell>
        </row>
        <row r="256">
          <cell r="D256" t="str">
            <v>[상온] 참치(2kg*5봉)-NS유통</v>
          </cell>
          <cell r="E256" t="str">
            <v>D+2</v>
          </cell>
          <cell r="F256" t="str">
            <v/>
          </cell>
          <cell r="G256" t="str">
            <v>냉동김밥</v>
          </cell>
          <cell r="J256">
            <v>0</v>
          </cell>
        </row>
        <row r="257">
          <cell r="D257" t="str">
            <v>[상온] 진골뱅이(300g*24ea)</v>
          </cell>
          <cell r="J257">
            <v>0</v>
          </cell>
        </row>
        <row r="258">
          <cell r="D258" t="str">
            <v>[상온]곱창삼각김밥김소프트PK(125g)</v>
          </cell>
          <cell r="E258" t="str">
            <v>D+1</v>
          </cell>
          <cell r="H258">
            <v>2</v>
          </cell>
          <cell r="J258">
            <v>64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29" sqref="E29"/>
    </sheetView>
  </sheetViews>
  <sheetFormatPr defaultRowHeight="16.5" x14ac:dyDescent="0.3"/>
  <sheetData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00000000-0001-0000-0100-000000000000}">
  <sheetPr codeName="Sheet2">
    <tabColor rgb="FF92D050"/>
  </sheetPr>
  <dimension ref="A1:AT363"/>
  <sheetViews>
    <sheetView showGridLines="0" zoomScale="80" zoomScaleNormal="80" workbookViewId="0">
      <pane xSplit="5" ySplit="4" topLeftCell="F5" activePane="bottomRight" state="frozen"/>
      <selection activeCell="C386" sqref="C386"/>
      <selection pane="topRight" activeCell="C386" sqref="C386"/>
      <selection pane="bottomLeft" activeCell="C386" sqref="C386"/>
      <selection pane="bottomRight" activeCell="D40" sqref="D40"/>
    </sheetView>
  </sheetViews>
  <sheetFormatPr defaultRowHeight="16.5" ns3:dyDescent="0.3"/>
  <cols>
    <col min="1" max="1" width="7.625" customWidth="1"/>
    <col min="2" max="2" width="40.5" bestFit="1" customWidth="1"/>
    <col min="3" max="3" width="7" customWidth="1"/>
    <col min="4" max="4" width="7.25" customWidth="1"/>
    <col min="5" max="5" width="10.125" customWidth="1"/>
    <col min="6" max="6" width="9.125" customWidth="1"/>
    <col min="7" max="7" width="7.75" customWidth="1"/>
    <col min="8" max="8" width="8.75" customWidth="1"/>
    <col min="9" max="10" width="8.125" customWidth="1"/>
    <col min="11" max="15" width="7.75" customWidth="1"/>
    <col min="16" max="16" width="10.25" bestFit="1" customWidth="1"/>
    <col min="17" max="17" width="9.25" customWidth="1"/>
    <col min="18" max="18" width="8.875" customWidth="1"/>
    <col min="19" max="19" width="9.25" customWidth="1"/>
    <col min="20" max="20" width="8.875" customWidth="1"/>
    <col min="21" max="27" width="9.25" customWidth="1"/>
    <col min="28" max="31" width="8.25" customWidth="1"/>
    <col min="32" max="32" width="8.25" hidden="1" customWidth="1"/>
    <col min="33" max="43" width="8.25" customWidth="1"/>
    <col min="44" max="45" width="9" customWidth="1"/>
  </cols>
  <sheetData>
    <row r="1" spans="1:46" ht="27" thickBot="1" ns3:dyDescent="0.35">
      <c r="B1" s="338" t="s">
        <v>22</v>
      </c>
      <c r="C1" s="338"/>
      <c r="D1" s="338"/>
      <c r="E1" s="338"/>
      <c r="F1" s="35">
        <f>F3*1.03</f>
        <v>3244.5</v>
      </c>
      <c r="G1" s="35">
        <f>G3*1.03</f>
        <v>6210.9000000000005</v>
      </c>
      <c r="H1" s="35">
        <f t="shared" ref="H1:L1" si="0">H3*1.03</f>
        <v>2152.7000000000003</v>
      </c>
      <c r="I1" s="35">
        <f>I3*1.03</f>
        <v>1133</v>
      </c>
      <c r="J1" s="35">
        <f>J3*1.03</f>
        <v>453.2</v>
      </c>
      <c r="K1" s="35">
        <f t="shared" si="0"/>
        <v>4552.6000000000004</v>
      </c>
      <c r="L1" s="35">
        <f t="shared" si="0"/>
        <v>5047</v>
      </c>
      <c r="M1" s="35">
        <f t="shared" ref="M1:X1" si="1">M3*1.03</f>
        <v>1895.2</v>
      </c>
      <c r="N1" s="35">
        <f t="shared" ref="N1:P1" si="2">N3*1.03</f>
        <v>3728.6</v>
      </c>
      <c r="O1" s="35">
        <f t="shared" ref="O1" si="3">O3*1.03</f>
        <v>1678.9</v>
      </c>
      <c r="P1" s="35">
        <f t="shared" si="2"/>
        <v>0</v>
      </c>
      <c r="Q1" s="35">
        <f t="shared" si="1"/>
        <v>1328.7</v>
      </c>
      <c r="R1" s="35">
        <f t="shared" si="1"/>
        <v>175.1</v>
      </c>
      <c r="S1" s="35">
        <f t="shared" si="1"/>
        <v>1133</v>
      </c>
      <c r="T1" s="35">
        <f t="shared" si="1"/>
        <v>144.20000000000002</v>
      </c>
      <c r="U1" s="35">
        <f>U3*1.03</f>
        <v>1833.4</v>
      </c>
      <c r="V1" s="35">
        <f t="shared" si="1"/>
        <v>1225.7</v>
      </c>
      <c r="W1" s="35">
        <f t="shared" ref="W1" si="4">W3*1.03</f>
        <v>1380.2</v>
      </c>
      <c r="X1" s="35">
        <f t="shared" si="1"/>
        <v>1081.5</v>
      </c>
      <c r="Y1" s="35">
        <f t="shared" ref="Y1:AC1" si="5">Y3*1.03</f>
        <v>2925.2000000000003</v>
      </c>
      <c r="Z1" s="35">
        <f t="shared" ref="Z1" si="6">Z3*1.03</f>
        <v>741.6</v>
      </c>
      <c r="AA1" s="35">
        <f t="shared" si="5"/>
        <v>1874.6000000000001</v>
      </c>
      <c r="AB1" s="35">
        <f t="shared" ref="AB1" si="7">AB3*1.03</f>
        <v>1133</v>
      </c>
      <c r="AC1" s="35">
        <f t="shared" si="5"/>
        <v>0</v>
      </c>
      <c r="AD1" s="35">
        <f t="shared" ref="AD1:AJ1" si="8">AD3*1.03</f>
        <v>2266</v>
      </c>
      <c r="AE1" s="35">
        <f t="shared" si="8"/>
        <v>56.65</v>
      </c>
      <c r="AF1" s="35">
        <f t="shared" si="8"/>
        <v>0</v>
      </c>
      <c r="AG1" s="35">
        <f t="shared" si="8"/>
        <v>834.30000000000007</v>
      </c>
      <c r="AH1" s="35">
        <f>AH3*1.03</f>
        <v>30.900000000000002</v>
      </c>
      <c r="AI1" s="35">
        <f t="shared" ref="AI1" si="9">AI3*1.03</f>
        <v>2080.6</v>
      </c>
      <c r="AJ1" s="35">
        <f t="shared" si="8"/>
        <v>1730.4</v>
      </c>
      <c r="AK1" s="35">
        <f t="shared" ref="AK1:AS1" si="10">AK3*1.03</f>
        <v>659.2</v>
      </c>
      <c r="AL1" s="35">
        <f t="shared" si="10"/>
        <v>0</v>
      </c>
      <c r="AM1" s="35">
        <f t="shared" ref="AM1:AP1" si="11">AM3*1.03</f>
        <v>1112.4000000000001</v>
      </c>
      <c r="AN1" s="35">
        <f t="shared" ref="AN1" si="12">AN3*1.03</f>
        <v>1514.1000000000001</v>
      </c>
      <c r="AO1" s="35">
        <f t="shared" si="11"/>
        <v>1205.1000000000001</v>
      </c>
      <c r="AP1" s="35">
        <f t="shared" si="11"/>
        <v>566.5</v>
      </c>
      <c r="AQ1" s="35">
        <f t="shared" si="10"/>
        <v>0</v>
      </c>
      <c r="AR1" s="35">
        <f t="shared" si="10"/>
        <v>132.87</v>
      </c>
      <c r="AS1" s="35">
        <f t="shared" si="10"/>
        <v>107.12</v>
      </c>
    </row>
    <row r="2" spans="1:46" ht="93" customHeight="1" thickBot="1" ns3:dyDescent="0.35">
      <c r="B2" s="339" t="s">
        <v>173</v>
      </c>
      <c r="C2" s="339"/>
      <c r="D2" s="339"/>
      <c r="E2" s="171" t="s">
        <v>566</v>
      </c>
      <c r="F2" s="101" t="s">
        <v>16</v>
      </c>
      <c r="G2" s="102" t="s">
        <v>302</v>
      </c>
      <c r="H2" s="102" t="s">
        <v>489</v>
      </c>
      <c r="I2" s="102" t="s">
        <v>575</v>
      </c>
      <c r="J2" s="102" t="s">
        <v>599</v>
      </c>
      <c r="K2" s="102" t="s">
        <v>491</v>
      </c>
      <c r="L2" s="102" t="s">
        <v>297</v>
      </c>
      <c r="M2" s="102" t="s">
        <v>576</v>
      </c>
      <c r="N2" s="102" t="s">
        <v>303</v>
      </c>
      <c r="O2" s="102" t="s">
        <v>722</v>
      </c>
      <c r="P2" s="314" t="s">
        <v>880</v>
      </c>
      <c r="Q2" s="145" t="s">
        <v>261</v>
      </c>
      <c r="R2" s="145" t="s">
        <v>175</v>
      </c>
      <c r="S2" s="145" t="s">
        <v>268</v>
      </c>
      <c r="T2" s="145" t="s">
        <v>190</v>
      </c>
      <c r="U2" s="145" t="s">
        <v>564</v>
      </c>
      <c r="V2" s="145" t="s">
        <v>326</v>
      </c>
      <c r="W2" s="145" t="s">
        <v>443</v>
      </c>
      <c r="X2" s="145" t="s">
        <v>269</v>
      </c>
      <c r="Y2" s="145" t="s">
        <v>256</v>
      </c>
      <c r="Z2" s="145" t="s">
        <v>649</v>
      </c>
      <c r="AA2" s="145" t="s">
        <v>797</v>
      </c>
      <c r="AB2" s="145" t="s">
        <v>881</v>
      </c>
      <c r="AC2" s="312" t="s">
        <v>879</v>
      </c>
      <c r="AD2" s="65" t="s">
        <v>759</v>
      </c>
      <c r="AE2" s="65" t="s">
        <v>573</v>
      </c>
      <c r="AF2" s="282" t="s">
        <v>276</v>
      </c>
      <c r="AG2" s="65" t="s">
        <v>571</v>
      </c>
      <c r="AH2" s="65" t="s">
        <v>299</v>
      </c>
      <c r="AI2" s="65" t="s">
        <v>798</v>
      </c>
      <c r="AJ2" s="65" t="s">
        <v>709</v>
      </c>
      <c r="AK2" s="65" t="s">
        <v>494</v>
      </c>
      <c r="AL2" s="65" t="s">
        <v>495</v>
      </c>
      <c r="AM2" s="65" t="s">
        <v>623</v>
      </c>
      <c r="AN2" s="65" t="s">
        <v>638</v>
      </c>
      <c r="AO2" s="65" t="s">
        <v>624</v>
      </c>
      <c r="AP2" s="65" t="s">
        <v>867</v>
      </c>
      <c r="AQ2" s="65" t="s">
        <v>667</v>
      </c>
      <c r="AR2" s="149" t="s">
        <v>211</v>
      </c>
      <c r="AS2" s="149" t="s">
        <v>209</v>
      </c>
    </row>
    <row r="3" spans="1:46" s="27" customFormat="1" ht="21.75" thickTop="1" thickBot="1" ns3:dyDescent="0.35">
      <c r="B3" s="25"/>
      <c r="C3" s="25"/>
      <c r="D3" s="25" t="s">
        <v>23</v>
      </c>
      <c r="E3" s="26">
        <f>SUM(F3:AS3)</f>
        <v>36438</v>
      </c>
      <c r="F3" s="203">
        <v>3824</v>
      </c>
      <c r="G3" s="203">
        <v>5117</v>
      </c>
      <c r="H3" s="203">
        <v>1403</v>
      </c>
      <c r="I3" s="203">
        <v>0</v>
      </c>
      <c r="J3" s="203">
        <v>0</v>
      </c>
      <c r="K3" s="203">
        <v>1840</v>
      </c>
      <c r="L3" s="203">
        <v>3188</v>
      </c>
      <c r="M3" s="203">
        <v>0</v>
      </c>
      <c r="N3" s="203">
        <v>2917</v>
      </c>
      <c r="O3" s="203">
        <v>0</v>
      </c>
      <c r="P3" s="203">
        <v>0</v>
      </c>
      <c r="Q3" s="203">
        <v>1288</v>
      </c>
      <c r="R3" s="203">
        <v>0</v>
      </c>
      <c r="S3" s="203">
        <v>1582</v>
      </c>
      <c r="T3" s="203">
        <v>0</v>
      </c>
      <c r="U3" s="203">
        <v>0</v>
      </c>
      <c r="V3" s="203">
        <v>2504</v>
      </c>
      <c r="W3" s="203">
        <v>3188</v>
      </c>
      <c r="X3" s="203">
        <v>1192</v>
      </c>
      <c r="Y3" s="203">
        <v>2598</v>
      </c>
      <c r="Z3" s="203">
        <v>0</v>
      </c>
      <c r="AA3" s="203">
        <v>0</v>
      </c>
      <c r="AB3" s="203">
        <v>0</v>
      </c>
      <c r="AC3" s="203">
        <v>0</v>
      </c>
      <c r="AD3" s="203">
        <v>778</v>
      </c>
      <c r="AE3" s="203">
        <v>0</v>
      </c>
      <c r="AF3" s="203">
        <v>0</v>
      </c>
      <c r="AG3" s="203">
        <v>1046</v>
      </c>
      <c r="AH3" s="203">
        <v>0</v>
      </c>
      <c r="AI3" s="203">
        <v>0</v>
      </c>
      <c r="AJ3" s="203">
        <v>0</v>
      </c>
      <c r="AK3" s="203">
        <v>851</v>
      </c>
      <c r="AL3" s="203">
        <v>1889</v>
      </c>
      <c r="AM3" s="203">
        <v>1233</v>
      </c>
      <c r="AN3" s="293">
        <v>0</v>
      </c>
      <c r="AO3" s="293">
        <v>0</v>
      </c>
      <c r="AP3" s="293">
        <v>0</v>
      </c>
      <c r="AQ3" s="293">
        <v>0</v>
      </c>
      <c r="AR3" s="203">
        <v>0</v>
      </c>
      <c r="AS3" s="203">
        <v>0</v>
      </c>
    </row>
    <row r="4" spans="1:46" ht="17.25" thickBot="1" ns3:dyDescent="0.35">
      <c r="B4" s="97" t="s">
        <v>1</v>
      </c>
      <c r="C4" s="98" t="s">
        <v>24</v>
      </c>
      <c r="D4" s="98" t="s">
        <v>25</v>
      </c>
      <c r="E4" s="98" t="s">
        <v>26</v>
      </c>
      <c r="F4" s="99" t="s">
        <v>27</v>
      </c>
      <c r="G4" s="99" t="s">
        <v>28</v>
      </c>
      <c r="H4" s="99" t="s">
        <v>27</v>
      </c>
      <c r="I4" s="99" t="s">
        <v>27</v>
      </c>
      <c r="J4" s="99" t="s">
        <v>27</v>
      </c>
      <c r="K4" s="99" t="s">
        <v>27</v>
      </c>
      <c r="L4" s="99" t="s">
        <v>27</v>
      </c>
      <c r="M4" s="99" t="s">
        <v>27</v>
      </c>
      <c r="N4" s="99" t="s">
        <v>27</v>
      </c>
      <c r="O4" s="99" t="s">
        <v>27</v>
      </c>
      <c r="P4" s="99" t="s">
        <v>27</v>
      </c>
      <c r="Q4" s="99" t="s">
        <v>27</v>
      </c>
      <c r="R4" s="99" t="s">
        <v>27</v>
      </c>
      <c r="S4" s="99" t="s">
        <v>27</v>
      </c>
      <c r="T4" s="99" t="s">
        <v>27</v>
      </c>
      <c r="U4" s="99" t="s">
        <v>27</v>
      </c>
      <c r="V4" s="99" t="s">
        <v>27</v>
      </c>
      <c r="W4" s="99" t="s">
        <v>27</v>
      </c>
      <c r="X4" s="99" t="s">
        <v>27</v>
      </c>
      <c r="Y4" s="99" t="s">
        <v>27</v>
      </c>
      <c r="Z4" s="99" t="s">
        <v>27</v>
      </c>
      <c r="AA4" s="99" t="s">
        <v>27</v>
      </c>
      <c r="AB4" s="99" t="s">
        <v>27</v>
      </c>
      <c r="AC4" s="99" t="s">
        <v>27</v>
      </c>
      <c r="AD4" s="99" t="s">
        <v>27</v>
      </c>
      <c r="AE4" s="99" t="s">
        <v>27</v>
      </c>
      <c r="AF4" s="99" t="s">
        <v>27</v>
      </c>
      <c r="AG4" s="99" t="s">
        <v>27</v>
      </c>
      <c r="AH4" s="99" t="s">
        <v>27</v>
      </c>
      <c r="AI4" s="99" t="s">
        <v>27</v>
      </c>
      <c r="AJ4" s="99" t="s">
        <v>27</v>
      </c>
      <c r="AK4" s="99" t="s">
        <v>27</v>
      </c>
      <c r="AL4" s="99" t="s">
        <v>27</v>
      </c>
      <c r="AM4" s="99" t="s">
        <v>27</v>
      </c>
      <c r="AN4" s="99" t="s">
        <v>27</v>
      </c>
      <c r="AO4" s="99" t="s">
        <v>27</v>
      </c>
      <c r="AP4" s="99" t="s">
        <v>27</v>
      </c>
      <c r="AQ4" s="99" t="s">
        <v>27</v>
      </c>
      <c r="AR4" s="100" t="s">
        <v>27</v>
      </c>
      <c r="AS4" s="100" t="s">
        <v>27</v>
      </c>
    </row>
    <row r="5" spans="1:46" s="44" customFormat="1" ht="17.25" hidden="1" thickTop="1" ns3:dyDescent="0.3">
      <c r="A5" s="44" t="s">
        <v>37</v>
      </c>
      <c r="B5" s="103" t="s">
        <v>9</v>
      </c>
      <c r="C5" s="104">
        <f>D5*1</f>
        <v>0</v>
      </c>
      <c r="D5" s="104">
        <f>E5/3</f>
        <v>0</v>
      </c>
      <c r="E5" s="105">
        <f>SUMPRODUCT(F$3:AS$3,F5:AS5)/1000</f>
        <v>0</v>
      </c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7"/>
      <c r="S5" s="106"/>
      <c r="T5" s="106"/>
      <c r="U5" s="106"/>
      <c r="V5" s="106"/>
      <c r="W5" s="106"/>
      <c r="X5" s="106"/>
      <c r="Y5" s="106"/>
      <c r="Z5" s="106"/>
      <c r="AA5" s="106"/>
      <c r="AB5" s="108"/>
      <c r="AC5" s="108"/>
      <c r="AD5" s="108"/>
      <c r="AE5" s="106"/>
      <c r="AF5" s="106"/>
      <c r="AG5" s="106"/>
      <c r="AH5" s="106"/>
      <c r="AI5" s="106"/>
      <c r="AJ5" s="106"/>
      <c r="AK5" s="108"/>
      <c r="AL5" s="106"/>
      <c r="AM5" s="106"/>
      <c r="AN5" s="106"/>
      <c r="AO5" s="106"/>
      <c r="AP5" s="106"/>
      <c r="AQ5" s="106"/>
      <c r="AR5" s="106"/>
      <c r="AS5" s="106"/>
      <c r="AT5" s="44">
        <f t="shared" ref="AT5:AT27" si="13">COUNTA(F5:AS5)</f>
        <v>0</v>
      </c>
    </row>
    <row r="6" spans="1:46" ht="17.25" thickTop="1" ns3:dyDescent="0.3">
      <c r="A6" t="s">
        <v>37</v>
      </c>
      <c r="B6" s="201" t="s">
        <v>8</v>
      </c>
      <c r="C6" s="28">
        <f>D6*1</f>
        <v>60.689768800000003</v>
      </c>
      <c r="D6" s="28">
        <f>E6/4</f>
        <v>60.689768800000003</v>
      </c>
      <c r="E6" s="29">
        <f>SUMPRODUCT(F$3:AS$3,F6:AS6)/1000*0.92</f>
        <v>242.75907520000001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50">
        <v>23.63</v>
      </c>
      <c r="S6" s="30"/>
      <c r="T6" s="30">
        <f>'[1]착한김치김밥(250612)슈퍼'!$B$8</f>
        <v>15.074</v>
      </c>
      <c r="U6" s="30">
        <v>12.13</v>
      </c>
      <c r="V6" s="30">
        <v>20.170000000000002</v>
      </c>
      <c r="W6" s="30">
        <v>22.22</v>
      </c>
      <c r="X6" s="30">
        <v>0</v>
      </c>
      <c r="Y6" s="30">
        <v>32.19</v>
      </c>
      <c r="Z6" s="30">
        <v>25.38</v>
      </c>
      <c r="AA6" s="30">
        <v>30.18</v>
      </c>
      <c r="AB6" s="30">
        <v>15.27</v>
      </c>
      <c r="AC6" s="30"/>
      <c r="AD6" s="30"/>
      <c r="AE6" s="30">
        <f>'[1]착한비빔밥(25.10.23)'!$B$7</f>
        <v>17.36</v>
      </c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>
        <f t="shared" si="13"/>
        <v>11</v>
      </c>
    </row>
    <row r="7" spans="1:46" ns3:dyDescent="0.3">
      <c r="B7" s="168" t="s">
        <v>10</v>
      </c>
      <c r="C7" s="135">
        <f t="shared" ref="C7:C14" si="14">D7*1</f>
        <v>26.78116</v>
      </c>
      <c r="D7" s="135">
        <f>E7/10</f>
        <v>26.78116</v>
      </c>
      <c r="E7" s="29">
        <f>SUMPRODUCT(F$3:AS$3,F7:AS7)/1000</f>
        <v>267.8116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>
        <v>42.86</v>
      </c>
      <c r="R7" s="32"/>
      <c r="S7" s="31">
        <v>67.400000000000006</v>
      </c>
      <c r="T7" s="31"/>
      <c r="U7" s="31">
        <v>19.04</v>
      </c>
      <c r="V7" s="31"/>
      <c r="W7" s="31">
        <v>30.54</v>
      </c>
      <c r="X7" s="31"/>
      <c r="Y7" s="31"/>
      <c r="Z7" s="31"/>
      <c r="AA7" s="31">
        <v>32.869999999999997</v>
      </c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>
        <f>'[1]혜자)직화불고기&amp;오징어제육(25.9.16)'!$B$27</f>
        <v>3.56</v>
      </c>
      <c r="AM7" s="31"/>
      <c r="AN7" s="31"/>
      <c r="AO7" s="31"/>
      <c r="AP7" s="31"/>
      <c r="AQ7" s="31">
        <v>31.9</v>
      </c>
      <c r="AR7" s="31"/>
      <c r="AS7" s="31">
        <f>'[1]슈퍼)착한1900핫도그-사라다(25.09.02)'!$B$4</f>
        <v>36</v>
      </c>
      <c r="AT7">
        <f t="shared" si="13"/>
        <v>8</v>
      </c>
    </row>
    <row r="8" spans="1:46" ns3:dyDescent="0.3">
      <c r="B8" s="238" t="s">
        <v>11</v>
      </c>
      <c r="C8" s="135">
        <f t="shared" si="14"/>
        <v>9.4675779000000002</v>
      </c>
      <c r="D8" s="135">
        <f>E8/10</f>
        <v>9.4675779000000002</v>
      </c>
      <c r="E8" s="29">
        <f>SUMPRODUCT(F$3:AS$3,F8:AS8)/1000*1.1</f>
        <v>94.675779000000006</v>
      </c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2"/>
      <c r="S8" s="30"/>
      <c r="T8" s="30"/>
      <c r="U8" s="30"/>
      <c r="V8" s="30"/>
      <c r="W8" s="30"/>
      <c r="X8" s="30"/>
      <c r="Y8" s="30"/>
      <c r="Z8" s="30"/>
      <c r="AA8" s="30"/>
      <c r="AB8" s="31"/>
      <c r="AC8" s="31"/>
      <c r="AD8" s="31">
        <f>'[1]혜자)돌아온 명불허전(25.9.18)리뉴얼'!$B$14</f>
        <v>28.450000000000003</v>
      </c>
      <c r="AE8" s="30"/>
      <c r="AF8" s="30">
        <v>17.55</v>
      </c>
      <c r="AG8" s="30"/>
      <c r="AH8" s="30">
        <v>38.43</v>
      </c>
      <c r="AI8" s="30">
        <v>5.28</v>
      </c>
      <c r="AJ8" s="30">
        <f>'[1]혜자)돈까스&amp;고추장제육(25.11.13)'!$B$13</f>
        <v>1.68</v>
      </c>
      <c r="AK8" s="31"/>
      <c r="AL8" s="30">
        <f>'[1]혜자)직화불고기&amp;오징어제육(25.9.16)'!$B$18</f>
        <v>5.07</v>
      </c>
      <c r="AM8" s="30">
        <v>2.04</v>
      </c>
      <c r="AN8" s="30"/>
      <c r="AO8" s="30"/>
      <c r="AP8" s="30">
        <v>6.08</v>
      </c>
      <c r="AQ8" s="30"/>
      <c r="AR8" s="30">
        <f>'[1]슈퍼)착한1900핫도그-오리지널(25.09.02)'!$B$5</f>
        <v>25.51</v>
      </c>
      <c r="AS8" s="30"/>
      <c r="AT8">
        <f t="shared" si="13"/>
        <v>9</v>
      </c>
    </row>
    <row r="9" spans="1:46" ns3:dyDescent="0.3">
      <c r="A9" t="s">
        <v>38</v>
      </c>
      <c r="B9" s="168" t="s">
        <v>160</v>
      </c>
      <c r="C9" s="135">
        <f t="shared" si="14"/>
        <v>6.3366999999999996</v>
      </c>
      <c r="D9" s="135">
        <f>E9/2</f>
        <v>6.3366999999999996</v>
      </c>
      <c r="E9" s="29">
        <f>SUMPRODUCT(F$3:AS$3,F9:AS9)/1000</f>
        <v>12.673399999999999</v>
      </c>
      <c r="F9" s="33">
        <v>3.76</v>
      </c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2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>
        <f>'[1]착한비빔밥(25.10.23)'!$B$8</f>
        <v>15.08</v>
      </c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>
        <f t="shared" si="13"/>
        <v>2</v>
      </c>
    </row>
    <row r="10" spans="1:46" ns3:dyDescent="0.3">
      <c r="B10" s="201" t="s">
        <v>13</v>
      </c>
      <c r="C10" s="28">
        <f t="shared" si="14"/>
        <v>0.37170000000000003</v>
      </c>
      <c r="D10" s="28">
        <f>E10/10</f>
        <v>0.37170000000000003</v>
      </c>
      <c r="E10" s="29">
        <f>SUMPRODUCT(F$3:AS$3,F10:AS10)/1000</f>
        <v>3.7170000000000001</v>
      </c>
      <c r="F10" s="31">
        <v>1.18</v>
      </c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2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>
        <f t="shared" si="13"/>
        <v>1</v>
      </c>
    </row>
    <row r="11" spans="1:46" ns3:dyDescent="0.3">
      <c r="B11" s="201" t="s">
        <v>506</v>
      </c>
      <c r="C11" s="28">
        <f t="shared" si="14"/>
        <v>0</v>
      </c>
      <c r="D11" s="28">
        <f>E11/10</f>
        <v>0</v>
      </c>
      <c r="E11" s="29">
        <f>SUMPRODUCT(F$3:AS$3,F11:AS11)/1000</f>
        <v>0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2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>
        <f t="shared" si="13"/>
        <v>0</v>
      </c>
    </row>
    <row r="12" spans="1:46" ns3:dyDescent="0.3">
      <c r="A12" t="s">
        <v>39</v>
      </c>
      <c r="B12" s="201" t="s">
        <v>14</v>
      </c>
      <c r="C12" s="28">
        <f t="shared" si="14"/>
        <v>12.509398124999999</v>
      </c>
      <c r="D12" s="28">
        <f>E12/4</f>
        <v>12.509398124999999</v>
      </c>
      <c r="E12" s="29">
        <f>SUMPRODUCT(F$3:AS$3,F12:AS12)/1000*0.95</f>
        <v>50.037592499999995</v>
      </c>
      <c r="F12" s="30">
        <v>5.13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50"/>
      <c r="S12" s="30"/>
      <c r="T12" s="30"/>
      <c r="U12" s="30"/>
      <c r="V12" s="30"/>
      <c r="W12" s="30"/>
      <c r="X12" s="30"/>
      <c r="Y12" s="30"/>
      <c r="Z12" s="30"/>
      <c r="AA12" s="30"/>
      <c r="AB12" s="31"/>
      <c r="AC12" s="31"/>
      <c r="AD12" s="31"/>
      <c r="AE12" s="30">
        <f>'[1]착한비빔밥(25.10.23)'!$B$9</f>
        <v>24.39</v>
      </c>
      <c r="AF12" s="30"/>
      <c r="AG12" s="30"/>
      <c r="AH12" s="30"/>
      <c r="AI12" s="30"/>
      <c r="AJ12" s="30"/>
      <c r="AK12" s="31"/>
      <c r="AL12" s="30"/>
      <c r="AM12" s="30"/>
      <c r="AN12" s="30"/>
      <c r="AO12" s="30">
        <v>30.06</v>
      </c>
      <c r="AP12" s="30"/>
      <c r="AQ12" s="30"/>
      <c r="AR12" s="30"/>
      <c r="AS12" s="30"/>
      <c r="AT12">
        <f t="shared" si="13"/>
        <v>3</v>
      </c>
    </row>
    <row r="13" spans="1:46" ns3:dyDescent="0.3">
      <c r="A13" t="s">
        <v>40</v>
      </c>
      <c r="B13" s="168" t="s">
        <v>15</v>
      </c>
      <c r="C13" s="135">
        <f t="shared" si="14"/>
        <v>9.2771000000000008</v>
      </c>
      <c r="D13" s="135">
        <f>E13/2</f>
        <v>9.2771000000000008</v>
      </c>
      <c r="E13" s="29">
        <f>SUMPRODUCT(F$3:AS$3,F13:AS13)/1000</f>
        <v>18.554200000000002</v>
      </c>
      <c r="F13" s="31"/>
      <c r="G13" s="31"/>
      <c r="H13" s="31"/>
      <c r="I13" s="31"/>
      <c r="J13" s="31"/>
      <c r="K13" s="31"/>
      <c r="L13" s="31"/>
      <c r="M13" s="31">
        <v>2.13</v>
      </c>
      <c r="N13" s="31"/>
      <c r="O13" s="31"/>
      <c r="P13" s="31"/>
      <c r="Q13" s="31"/>
      <c r="R13" s="32">
        <v>3.02</v>
      </c>
      <c r="S13" s="31"/>
      <c r="T13" s="31">
        <f>'[1]착한김치김밥(250612)슈퍼'!$B$20</f>
        <v>3.12</v>
      </c>
      <c r="U13" s="31">
        <v>4.16</v>
      </c>
      <c r="V13" s="31">
        <v>2.78</v>
      </c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>
        <v>2.54</v>
      </c>
      <c r="AP13" s="31"/>
      <c r="AQ13" s="31"/>
      <c r="AR13" s="31"/>
      <c r="AS13" s="31"/>
      <c r="AT13">
        <f t="shared" si="13"/>
        <v>6</v>
      </c>
    </row>
    <row r="14" spans="1:46" ns3:dyDescent="0.3">
      <c r="A14" t="s">
        <v>41</v>
      </c>
      <c r="B14" s="168" t="s">
        <v>219</v>
      </c>
      <c r="C14" s="135">
        <f t="shared" si="14"/>
        <v>0.24695000000000003</v>
      </c>
      <c r="D14" s="135">
        <f>E14/2</f>
        <v>0.24695000000000003</v>
      </c>
      <c r="E14" s="29">
        <f>SUMPRODUCT(F$3:AS$3,F14:AS14)/1000</f>
        <v>0.49390000000000006</v>
      </c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5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>
        <f>'[1]착한비빔밥(25.10.23)'!$B$10</f>
        <v>8.98</v>
      </c>
      <c r="AF14" s="30"/>
      <c r="AG14" s="30"/>
      <c r="AH14" s="30"/>
      <c r="AI14" s="30"/>
      <c r="AJ14" s="30"/>
      <c r="AK14" s="31"/>
      <c r="AL14" s="30"/>
      <c r="AM14" s="30"/>
      <c r="AN14" s="30"/>
      <c r="AO14" s="30"/>
      <c r="AP14" s="30"/>
      <c r="AQ14" s="30"/>
      <c r="AR14" s="30"/>
      <c r="AS14" s="30"/>
      <c r="AT14">
        <f t="shared" si="13"/>
        <v>1</v>
      </c>
    </row>
    <row r="15" spans="1:46" ns3:dyDescent="0.3">
      <c r="B15" s="237" t="s">
        <v>249</v>
      </c>
      <c r="C15" s="52">
        <f t="shared" ref="C15:C22" si="15">D15*1</f>
        <v>7.8718899999999987</v>
      </c>
      <c r="D15" s="52">
        <f>E15/1</f>
        <v>7.8718899999999987</v>
      </c>
      <c r="E15" s="29">
        <f>SUMPRODUCT(F$3:AS$3,F15:AS15)/1000*0.95</f>
        <v>7.8718899999999987</v>
      </c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>
        <f>'[1]혜자)돌아온 명불허전(25.8.12)'!$B$26</f>
        <v>1.26</v>
      </c>
      <c r="AE15" s="31"/>
      <c r="AF15" s="31"/>
      <c r="AG15" s="31">
        <f>'[1]혜자)갈비양념제육도시락(25.9.30)'!$B$15</f>
        <v>0.56000000000000005</v>
      </c>
      <c r="AH15" s="31"/>
      <c r="AI15" s="31">
        <v>0.11</v>
      </c>
      <c r="AJ15" s="31">
        <v>1.1200000000000001</v>
      </c>
      <c r="AK15" s="31"/>
      <c r="AL15" s="31">
        <f>'[1]혜자)직화불고기&amp;오징어제육(25.9.16)'!$B$20</f>
        <v>1.1200000000000001</v>
      </c>
      <c r="AM15" s="31"/>
      <c r="AN15" s="31">
        <v>1.1200000000000001</v>
      </c>
      <c r="AO15" s="31">
        <v>1.1200000000000001</v>
      </c>
      <c r="AP15" s="31"/>
      <c r="AQ15" s="31"/>
      <c r="AR15" s="31"/>
      <c r="AS15" s="31"/>
      <c r="AT15">
        <f t="shared" si="13"/>
        <v>7</v>
      </c>
    </row>
    <row r="16" spans="1:46" ns3:dyDescent="0.3">
      <c r="A16" s="21"/>
      <c r="B16" s="64" t="s">
        <v>250</v>
      </c>
      <c r="C16" s="135">
        <f t="shared" si="15"/>
        <v>1.5756000000000001</v>
      </c>
      <c r="D16" s="135">
        <f>E16/2</f>
        <v>1.5756000000000001</v>
      </c>
      <c r="E16" s="29">
        <f t="shared" ref="E16:E27" si="16">SUMPRODUCT(F$3:AS$3,F16:AS16)/1000</f>
        <v>3.1512000000000002</v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2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>
        <v>1.56</v>
      </c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>
        <f t="shared" si="13"/>
        <v>1</v>
      </c>
    </row>
    <row r="17" spans="1:46" s="44" customFormat="1" ht="17.25" customHeight="1" ns3:dyDescent="0.3">
      <c r="A17" s="21"/>
      <c r="B17" s="252" t="s">
        <v>49</v>
      </c>
      <c r="C17" s="52">
        <f t="shared" si="15"/>
        <v>0.75349999999999995</v>
      </c>
      <c r="D17" s="52">
        <f>E17/4</f>
        <v>0.75349999999999995</v>
      </c>
      <c r="E17" s="53">
        <f t="shared" si="16"/>
        <v>3.0139999999999998</v>
      </c>
      <c r="F17" s="33"/>
      <c r="G17" s="33"/>
      <c r="H17" s="33"/>
      <c r="I17" s="33"/>
      <c r="J17" s="33"/>
      <c r="K17" s="33"/>
      <c r="L17" s="33"/>
      <c r="M17" s="33"/>
      <c r="N17" s="33">
        <v>0</v>
      </c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148"/>
      <c r="AC17" s="148"/>
      <c r="AD17" s="148">
        <f>'[1]혜자)돌아온 명불허전(25.8.12)'!$B$20</f>
        <v>0.94</v>
      </c>
      <c r="AE17" s="33"/>
      <c r="AF17" s="33"/>
      <c r="AG17" s="33"/>
      <c r="AH17" s="33"/>
      <c r="AI17" s="33"/>
      <c r="AJ17" s="33"/>
      <c r="AK17" s="33"/>
      <c r="AL17" s="33">
        <f>'[1]혜자)직화불고기&amp;오징어제육(25.9.16)'!$B$19</f>
        <v>1.8</v>
      </c>
      <c r="AM17" s="33"/>
      <c r="AN17" s="33"/>
      <c r="AO17" s="33"/>
      <c r="AP17" s="33">
        <v>1.72</v>
      </c>
      <c r="AQ17" s="33"/>
      <c r="AR17" s="33"/>
      <c r="AS17" s="33"/>
      <c r="AT17" s="44">
        <f t="shared" si="13"/>
        <v>4</v>
      </c>
    </row>
    <row r="18" spans="1:46" ns3:dyDescent="0.3">
      <c r="A18" s="21"/>
      <c r="B18" s="136" t="s">
        <v>655</v>
      </c>
      <c r="C18" s="135">
        <f t="shared" ref="C18" si="17">D18*1</f>
        <v>0</v>
      </c>
      <c r="D18" s="135">
        <f>E18/1</f>
        <v>0</v>
      </c>
      <c r="E18" s="29">
        <f t="shared" si="16"/>
        <v>0</v>
      </c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50"/>
      <c r="S18" s="30"/>
      <c r="T18" s="30"/>
      <c r="U18" s="30"/>
      <c r="V18" s="30"/>
      <c r="W18" s="30"/>
      <c r="X18" s="30"/>
      <c r="Y18" s="30"/>
      <c r="Z18" s="30"/>
      <c r="AA18" s="30"/>
      <c r="AB18" s="31"/>
      <c r="AC18" s="31"/>
      <c r="AD18" s="31"/>
      <c r="AE18" s="30"/>
      <c r="AF18" s="30"/>
      <c r="AG18" s="30"/>
      <c r="AH18" s="30"/>
      <c r="AI18" s="30"/>
      <c r="AJ18" s="30"/>
      <c r="AK18" s="31"/>
      <c r="AL18" s="30"/>
      <c r="AM18" s="30"/>
      <c r="AN18" s="30"/>
      <c r="AO18" s="30"/>
      <c r="AP18" s="30"/>
      <c r="AQ18" s="30">
        <v>12.43</v>
      </c>
      <c r="AR18" s="30"/>
      <c r="AS18" s="30"/>
      <c r="AT18">
        <f t="shared" si="13"/>
        <v>1</v>
      </c>
    </row>
    <row r="19" spans="1:46" hidden="1" ns3:dyDescent="0.3">
      <c r="A19" s="21"/>
      <c r="B19" s="288" t="s">
        <v>58</v>
      </c>
      <c r="C19" s="135">
        <f t="shared" si="15"/>
        <v>0</v>
      </c>
      <c r="D19" s="135">
        <f>E19/1</f>
        <v>0</v>
      </c>
      <c r="E19" s="29">
        <f t="shared" si="16"/>
        <v>0</v>
      </c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50"/>
      <c r="S19" s="30"/>
      <c r="T19" s="30"/>
      <c r="U19" s="30"/>
      <c r="V19" s="30"/>
      <c r="W19" s="30"/>
      <c r="X19" s="30"/>
      <c r="Y19" s="30"/>
      <c r="Z19" s="30"/>
      <c r="AA19" s="30"/>
      <c r="AB19" s="31"/>
      <c r="AC19" s="31"/>
      <c r="AD19" s="31"/>
      <c r="AE19" s="30"/>
      <c r="AF19" s="30"/>
      <c r="AG19" s="30"/>
      <c r="AH19" s="30"/>
      <c r="AI19" s="30"/>
      <c r="AJ19" s="30"/>
      <c r="AK19" s="31"/>
      <c r="AL19" s="30"/>
      <c r="AM19" s="30"/>
      <c r="AN19" s="30"/>
      <c r="AO19" s="30"/>
      <c r="AP19" s="30"/>
      <c r="AQ19" s="30"/>
      <c r="AR19" s="30"/>
      <c r="AS19" s="30"/>
      <c r="AT19">
        <f t="shared" si="13"/>
        <v>0</v>
      </c>
    </row>
    <row r="20" spans="1:46" ht="16.5" hidden="1" customHeight="1" ns3:dyDescent="0.3">
      <c r="A20" s="21"/>
      <c r="B20" s="163" t="s">
        <v>516</v>
      </c>
      <c r="C20" s="52">
        <f t="shared" ref="C20" si="18">D20*1</f>
        <v>0</v>
      </c>
      <c r="D20" s="52">
        <f>E20/0.15</f>
        <v>0</v>
      </c>
      <c r="E20" s="53">
        <f t="shared" si="16"/>
        <v>0</v>
      </c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3"/>
      <c r="AC20" s="33"/>
      <c r="AD20" s="33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>
        <f t="shared" si="13"/>
        <v>0</v>
      </c>
    </row>
    <row r="21" spans="1:46" ht="16.5" customHeight="1" ns3:dyDescent="0.3">
      <c r="A21" s="21"/>
      <c r="B21" s="251" t="s">
        <v>603</v>
      </c>
      <c r="C21" s="52">
        <f>D21*1</f>
        <v>1.7501000000000002</v>
      </c>
      <c r="D21" s="52">
        <f>E21/1</f>
        <v>1.7501000000000002</v>
      </c>
      <c r="E21" s="53">
        <f t="shared" si="16"/>
        <v>1.7501000000000002</v>
      </c>
      <c r="F21" s="31"/>
      <c r="G21" s="31"/>
      <c r="H21" s="31"/>
      <c r="I21" s="31"/>
      <c r="J21" s="31">
        <v>3.74</v>
      </c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3"/>
      <c r="AC21" s="33"/>
      <c r="AD21" s="33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>
        <v>0.19</v>
      </c>
      <c r="AQ21" s="31"/>
      <c r="AR21" s="31"/>
      <c r="AS21" s="31"/>
      <c r="AT21">
        <f t="shared" si="13"/>
        <v>2</v>
      </c>
    </row>
    <row r="22" spans="1:46" ht="16.5" customHeight="1" ns3:dyDescent="0.3">
      <c r="A22" s="21"/>
      <c r="B22" s="64" t="s">
        <v>63</v>
      </c>
      <c r="C22" s="52">
        <f t="shared" si="15"/>
        <v>0</v>
      </c>
      <c r="D22" s="52">
        <f>E22/7</f>
        <v>0</v>
      </c>
      <c r="E22" s="53">
        <f t="shared" si="16"/>
        <v>0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3"/>
      <c r="AC22" s="33"/>
      <c r="AD22" s="33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>
        <f t="shared" si="13"/>
        <v>0</v>
      </c>
    </row>
    <row r="23" spans="1:46" ht="16.5" hidden="1" customHeight="1" ns3:dyDescent="0.3">
      <c r="A23" s="21"/>
      <c r="B23" s="163" t="s">
        <v>151</v>
      </c>
      <c r="C23" s="52">
        <f t="shared" ref="C23:C27" si="19">D23*1</f>
        <v>0</v>
      </c>
      <c r="D23" s="52">
        <f>E23/6</f>
        <v>0</v>
      </c>
      <c r="E23" s="53">
        <f t="shared" si="16"/>
        <v>0</v>
      </c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3"/>
      <c r="AC23" s="33"/>
      <c r="AD23" s="33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>
        <f t="shared" si="13"/>
        <v>0</v>
      </c>
    </row>
    <row r="24" spans="1:46" s="44" customFormat="1" ht="17.25" hidden="1" customHeight="1" ns3:dyDescent="0.3">
      <c r="A24" s="21"/>
      <c r="B24" s="163" t="s">
        <v>52</v>
      </c>
      <c r="C24" s="52">
        <f t="shared" si="19"/>
        <v>0</v>
      </c>
      <c r="D24" s="52">
        <f>E24/2</f>
        <v>0</v>
      </c>
      <c r="E24" s="53">
        <f t="shared" si="16"/>
        <v>0</v>
      </c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44">
        <f t="shared" si="13"/>
        <v>0</v>
      </c>
    </row>
    <row r="25" spans="1:46" s="44" customFormat="1" ht="17.25" hidden="1" customHeight="1" ns3:dyDescent="0.3">
      <c r="A25" s="21"/>
      <c r="B25" s="163" t="s">
        <v>53</v>
      </c>
      <c r="C25" s="52">
        <f t="shared" si="19"/>
        <v>0</v>
      </c>
      <c r="D25" s="52">
        <f>E25/2</f>
        <v>0</v>
      </c>
      <c r="E25" s="53">
        <f t="shared" si="16"/>
        <v>0</v>
      </c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44">
        <f t="shared" si="13"/>
        <v>0</v>
      </c>
    </row>
    <row r="26" spans="1:46" s="44" customFormat="1" ht="17.25" hidden="1" customHeight="1" ns3:dyDescent="0.3">
      <c r="A26" s="21"/>
      <c r="B26" s="286" t="s">
        <v>536</v>
      </c>
      <c r="C26" s="52">
        <f t="shared" si="19"/>
        <v>0</v>
      </c>
      <c r="D26" s="52">
        <f>E26/10</f>
        <v>0</v>
      </c>
      <c r="E26" s="53">
        <f t="shared" si="16"/>
        <v>0</v>
      </c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44">
        <f t="shared" si="13"/>
        <v>0</v>
      </c>
    </row>
    <row r="27" spans="1:46" ht="16.5" hidden="1" customHeight="1" thickBot="1" ns3:dyDescent="0.35">
      <c r="A27" s="21"/>
      <c r="B27" s="287" t="s">
        <v>507</v>
      </c>
      <c r="C27" s="51">
        <f t="shared" si="19"/>
        <v>0</v>
      </c>
      <c r="D27" s="51">
        <f>E27/2</f>
        <v>0</v>
      </c>
      <c r="E27" s="54">
        <f t="shared" si="16"/>
        <v>0</v>
      </c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10"/>
      <c r="AC27" s="110"/>
      <c r="AD27" s="110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109"/>
      <c r="AT27">
        <f t="shared" si="13"/>
        <v>0</v>
      </c>
    </row>
    <row r="30" spans="1:46" ns3:dyDescent="0.3">
      <c r="F30">
        <v>3438</v>
      </c>
      <c r="G30">
        <v>5698</v>
      </c>
      <c r="H30">
        <v>1540</v>
      </c>
      <c r="I30">
        <v>647</v>
      </c>
      <c r="J30">
        <v>647</v>
      </c>
      <c r="K30">
        <v>2146</v>
      </c>
      <c r="L30">
        <v>3656</v>
      </c>
      <c r="M30">
        <v>1899</v>
      </c>
      <c r="N30">
        <v>3308</v>
      </c>
      <c r="O30">
        <v>3308</v>
      </c>
      <c r="P30">
        <v>3308</v>
      </c>
      <c r="Q30">
        <v>1228</v>
      </c>
      <c r="R30">
        <v>247</v>
      </c>
      <c r="S30">
        <v>1843</v>
      </c>
      <c r="T30">
        <v>198</v>
      </c>
      <c r="U30">
        <v>6200</v>
      </c>
      <c r="V30">
        <v>2102</v>
      </c>
      <c r="W30">
        <v>2603</v>
      </c>
      <c r="X30">
        <v>1223</v>
      </c>
      <c r="Y30">
        <v>2838</v>
      </c>
      <c r="Z30">
        <v>2838</v>
      </c>
      <c r="AA30">
        <v>2838</v>
      </c>
      <c r="AB30">
        <v>752</v>
      </c>
      <c r="AC30">
        <v>752</v>
      </c>
      <c r="AD30">
        <v>752</v>
      </c>
      <c r="AE30">
        <v>59</v>
      </c>
      <c r="AF30">
        <v>0</v>
      </c>
      <c r="AG30">
        <v>886</v>
      </c>
      <c r="AH30">
        <v>38</v>
      </c>
      <c r="AI30">
        <v>1656</v>
      </c>
      <c r="AJ30">
        <v>1656</v>
      </c>
      <c r="AK30">
        <v>802</v>
      </c>
      <c r="AL30">
        <v>1603</v>
      </c>
      <c r="AM30">
        <v>1136</v>
      </c>
      <c r="AN30">
        <v>1505</v>
      </c>
      <c r="AO30">
        <v>1505</v>
      </c>
      <c r="AP30">
        <v>250</v>
      </c>
      <c r="AQ30">
        <v>250</v>
      </c>
      <c r="AR30">
        <v>113</v>
      </c>
      <c r="AS30">
        <v>101</v>
      </c>
    </row>
    <row r="363" spans="3:3" ns3:dyDescent="0.3">
      <c r="C363" t="s">
        <v>194</v>
      </c>
    </row>
  </sheetData>
  <mergeCells count="2">
    <mergeCell ref="B1:E1"/>
    <mergeCell ref="B2:D2"/>
  </mergeCells>
  <phoneticPr fontId="3" type="noConversion"/>
  <pageMargins left="0.7" right="0.7" top="0.75" bottom="0.75" header="0.3" footer="0.3"/>
  <pageSetup paperSize="9" orientation="portrait" ns4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tabColor rgb="FFEBFAFF"/>
  </sheetPr>
  <dimension ref="B1:U1213"/>
  <sheetViews>
    <sheetView workbookViewId="0">
      <pane xSplit="2" topLeftCell="C1" activePane="topRight" state="frozen"/>
      <selection activeCell="B35" sqref="B35"/>
      <selection pane="topRight" activeCell="O23" sqref="O23"/>
    </sheetView>
  </sheetViews>
  <sheetFormatPr defaultRowHeight="16.5" x14ac:dyDescent="0.3"/>
  <cols>
    <col min="1" max="1" width="1.625" customWidth="1"/>
    <col min="2" max="2" width="9" style="46"/>
    <col min="3" max="3" width="16.75" customWidth="1"/>
    <col min="4" max="7" width="14.125" customWidth="1"/>
    <col min="8" max="8" width="15.25" customWidth="1"/>
    <col min="9" max="9" width="13.25" customWidth="1"/>
    <col min="10" max="10" width="16.375" customWidth="1"/>
    <col min="11" max="16" width="14.125" customWidth="1"/>
    <col min="17" max="17" width="11.25" bestFit="1" customWidth="1"/>
    <col min="18" max="24" width="10" customWidth="1"/>
  </cols>
  <sheetData>
    <row r="1" spans="2:17" ht="8.25" customHeight="1" thickBot="1" x14ac:dyDescent="0.35"/>
    <row r="2" spans="2:17" ht="27" thickBot="1" x14ac:dyDescent="0.35">
      <c r="B2" s="340" t="s">
        <v>51</v>
      </c>
      <c r="C2" s="341"/>
      <c r="D2" s="341"/>
      <c r="E2" s="342"/>
      <c r="F2" s="121" t="s">
        <v>179</v>
      </c>
      <c r="G2" s="132">
        <f>SUM(D8,M14,O20)</f>
        <v>53414.350000000006</v>
      </c>
    </row>
    <row r="3" spans="2:17" ht="9" customHeight="1" x14ac:dyDescent="0.3">
      <c r="B3" s="120"/>
      <c r="C3" s="120"/>
      <c r="D3" s="120"/>
      <c r="E3" s="120"/>
      <c r="F3" s="24"/>
      <c r="G3" s="119"/>
    </row>
    <row r="4" spans="2:17" s="113" customFormat="1" ht="37.5" customHeight="1" x14ac:dyDescent="0.3">
      <c r="B4" s="115" t="s">
        <v>29</v>
      </c>
      <c r="C4" s="116" t="s">
        <v>18</v>
      </c>
    </row>
    <row r="5" spans="2:17" x14ac:dyDescent="0.3">
      <c r="B5" s="233" t="s">
        <v>30</v>
      </c>
      <c r="C5" s="37">
        <v>0.72</v>
      </c>
    </row>
    <row r="6" spans="2:17" x14ac:dyDescent="0.3">
      <c r="B6" s="36" t="s">
        <v>31</v>
      </c>
      <c r="C6" s="114">
        <f>INDEX('야채 계산기'!3:3,MATCH(조미식초!C4,'야채 계산기'!2:2,0))</f>
        <v>3150</v>
      </c>
    </row>
    <row r="7" spans="2:17" x14ac:dyDescent="0.3">
      <c r="B7" s="36">
        <v>1.1000000000000001</v>
      </c>
      <c r="C7" s="114">
        <f>C6*$B$7</f>
        <v>3465.0000000000005</v>
      </c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2:17" x14ac:dyDescent="0.3">
      <c r="B8" s="36" t="s">
        <v>178</v>
      </c>
      <c r="C8" s="114">
        <f>C5*C7</f>
        <v>2494.8000000000002</v>
      </c>
      <c r="D8" s="27">
        <f>SUM(C8:C8)</f>
        <v>2494.8000000000002</v>
      </c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2:17" ht="6" customHeight="1" x14ac:dyDescent="0.3"/>
    <row r="10" spans="2:17" s="113" customFormat="1" ht="37.5" customHeight="1" x14ac:dyDescent="0.3">
      <c r="B10" s="117" t="s">
        <v>177</v>
      </c>
      <c r="C10" s="116" t="s">
        <v>297</v>
      </c>
      <c r="D10" s="116" t="s">
        <v>302</v>
      </c>
      <c r="E10" s="146" t="s">
        <v>489</v>
      </c>
      <c r="F10" s="146" t="s">
        <v>575</v>
      </c>
      <c r="G10" s="146" t="s">
        <v>599</v>
      </c>
      <c r="H10" s="116" t="s">
        <v>577</v>
      </c>
      <c r="I10" s="116" t="s">
        <v>303</v>
      </c>
      <c r="J10" s="116" t="s">
        <v>491</v>
      </c>
      <c r="K10" s="146" t="s">
        <v>721</v>
      </c>
      <c r="L10" s="116" t="s">
        <v>492</v>
      </c>
    </row>
    <row r="11" spans="2:17" x14ac:dyDescent="0.3">
      <c r="B11" s="233" t="s">
        <v>30</v>
      </c>
      <c r="C11" s="37">
        <v>1.0900000000000001</v>
      </c>
      <c r="D11" s="37">
        <v>1.1599999999999999</v>
      </c>
      <c r="E11" s="37">
        <v>1.22</v>
      </c>
      <c r="F11" s="265">
        <v>0.37</v>
      </c>
      <c r="G11" s="37">
        <v>1.22</v>
      </c>
      <c r="H11" s="37">
        <v>1.03</v>
      </c>
      <c r="I11" s="37">
        <v>1.03</v>
      </c>
      <c r="J11" s="37">
        <v>1.1200000000000001</v>
      </c>
      <c r="K11" s="37">
        <v>0.4</v>
      </c>
      <c r="L11" s="37">
        <v>1.8</v>
      </c>
    </row>
    <row r="12" spans="2:17" x14ac:dyDescent="0.3">
      <c r="B12" s="36" t="s">
        <v>31</v>
      </c>
      <c r="C12" s="114">
        <f>INDEX('야채 계산기'!3:3,MATCH(C10,'야채 계산기'!2:2,0))</f>
        <v>4900</v>
      </c>
      <c r="D12" s="114">
        <f>INDEX('야채 계산기'!3:3,MATCH(D10,'야채 계산기'!2:2,0))</f>
        <v>6030</v>
      </c>
      <c r="E12" s="114">
        <f>INDEX('야채 계산기'!3:3,MATCH(E10,'야채 계산기'!2:2,0))</f>
        <v>2090</v>
      </c>
      <c r="F12" s="266">
        <f>INDEX('야채 계산기'!3:3,MATCH(F10,'야채 계산기'!2:2,0))</f>
        <v>1100</v>
      </c>
      <c r="G12" s="114">
        <f>INDEX('야채 계산기'!3:3,MATCH(G10,'야채 계산기'!2:2,0))</f>
        <v>440</v>
      </c>
      <c r="H12" s="114">
        <f>INDEX('야채 계산기'!3:3,MATCH(H10,'야채 계산기'!2:2,0))</f>
        <v>1840</v>
      </c>
      <c r="I12" s="114">
        <f>INDEX('야채 계산기'!3:3,MATCH(I10,'야채 계산기'!2:2,0))</f>
        <v>3620</v>
      </c>
      <c r="J12" s="114">
        <f>INDEX('야채 계산기'!3:3,MATCH(J10,'야채 계산기'!2:2,0))</f>
        <v>4420</v>
      </c>
      <c r="K12" s="114">
        <f>INDEX('야채 계산기'!3:3,MATCH(K10,'야채 계산기'!2:2,0))</f>
        <v>1630</v>
      </c>
      <c r="L12" s="114">
        <f>INDEX('야채 계산기'!3:3,MATCH(L10,'야채 계산기'!2:2,0))</f>
        <v>55</v>
      </c>
    </row>
    <row r="13" spans="2:17" x14ac:dyDescent="0.3">
      <c r="B13" s="36">
        <v>1.1000000000000001</v>
      </c>
      <c r="C13" s="114">
        <f>C12*$B$13</f>
        <v>5390</v>
      </c>
      <c r="D13" s="114">
        <f t="shared" ref="D13:J13" si="0">D12*$B$13</f>
        <v>6633.0000000000009</v>
      </c>
      <c r="E13" s="114">
        <f t="shared" ref="E13:F13" si="1">E12*$B$13</f>
        <v>2299</v>
      </c>
      <c r="F13" s="266">
        <f t="shared" si="1"/>
        <v>1210</v>
      </c>
      <c r="G13" s="114">
        <f t="shared" si="0"/>
        <v>484.00000000000006</v>
      </c>
      <c r="H13" s="114">
        <f t="shared" ref="H13" si="2">H12*$B$13</f>
        <v>2024.0000000000002</v>
      </c>
      <c r="I13" s="114">
        <f t="shared" si="0"/>
        <v>3982.0000000000005</v>
      </c>
      <c r="J13" s="114">
        <f t="shared" si="0"/>
        <v>4862</v>
      </c>
      <c r="K13" s="114">
        <f t="shared" ref="K13" si="3">K12*$B$13</f>
        <v>1793.0000000000002</v>
      </c>
      <c r="L13" s="114">
        <f>L12*$B$13</f>
        <v>60.500000000000007</v>
      </c>
      <c r="M13" s="27"/>
      <c r="N13" s="27"/>
      <c r="O13" s="27"/>
      <c r="P13" s="27"/>
      <c r="Q13" s="27"/>
    </row>
    <row r="14" spans="2:17" x14ac:dyDescent="0.3">
      <c r="B14" s="36" t="s">
        <v>178</v>
      </c>
      <c r="C14" s="114">
        <f>C11*C13</f>
        <v>5875.1</v>
      </c>
      <c r="D14" s="114">
        <f t="shared" ref="D14:J14" si="4">D11*D13</f>
        <v>7694.2800000000007</v>
      </c>
      <c r="E14" s="114">
        <f t="shared" ref="E14:F14" si="5">E11*E13</f>
        <v>2804.7799999999997</v>
      </c>
      <c r="F14" s="266">
        <f t="shared" si="5"/>
        <v>447.7</v>
      </c>
      <c r="G14" s="114">
        <f t="shared" si="4"/>
        <v>590.48</v>
      </c>
      <c r="H14" s="114">
        <f t="shared" ref="H14" si="6">H11*H13</f>
        <v>2084.7200000000003</v>
      </c>
      <c r="I14" s="114">
        <f t="shared" si="4"/>
        <v>4101.4600000000009</v>
      </c>
      <c r="J14" s="114">
        <f t="shared" si="4"/>
        <v>5445.4400000000005</v>
      </c>
      <c r="K14" s="114">
        <f t="shared" ref="K14" si="7">K11*K13</f>
        <v>717.20000000000016</v>
      </c>
      <c r="L14" s="114">
        <f>L11*L13</f>
        <v>108.90000000000002</v>
      </c>
      <c r="M14" s="27">
        <f>SUM(C14:L14)</f>
        <v>29870.060000000009</v>
      </c>
      <c r="N14" s="27"/>
      <c r="O14" s="27"/>
      <c r="P14" s="27"/>
      <c r="Q14" s="27"/>
    </row>
    <row r="15" spans="2:17" ht="6" customHeight="1" x14ac:dyDescent="0.3"/>
    <row r="16" spans="2:17" s="113" customFormat="1" ht="37.5" customHeight="1" x14ac:dyDescent="0.3">
      <c r="B16" s="118" t="s">
        <v>176</v>
      </c>
      <c r="C16" s="146" t="s">
        <v>758</v>
      </c>
      <c r="D16" s="116" t="s">
        <v>496</v>
      </c>
      <c r="E16" s="146" t="s">
        <v>495</v>
      </c>
      <c r="F16" s="116" t="s">
        <v>494</v>
      </c>
      <c r="G16" s="116" t="s">
        <v>276</v>
      </c>
      <c r="H16" s="116" t="s">
        <v>299</v>
      </c>
      <c r="I16" s="116" t="s">
        <v>624</v>
      </c>
      <c r="J16" s="304" t="s">
        <v>744</v>
      </c>
      <c r="K16" s="305" t="s">
        <v>714</v>
      </c>
      <c r="L16" s="146" t="s">
        <v>578</v>
      </c>
      <c r="M16" s="146" t="s">
        <v>568</v>
      </c>
      <c r="N16" s="309" t="s">
        <v>776</v>
      </c>
    </row>
    <row r="17" spans="2:21" x14ac:dyDescent="0.3">
      <c r="B17" s="233" t="s">
        <v>30</v>
      </c>
      <c r="C17" s="37">
        <f>'[1]혜자)돌아온 명불허전(25.8.12)'!$B$4</f>
        <v>2.06</v>
      </c>
      <c r="D17" s="37">
        <v>2.04</v>
      </c>
      <c r="E17" s="37">
        <v>1.04</v>
      </c>
      <c r="F17" s="37">
        <v>2.09</v>
      </c>
      <c r="G17" s="37">
        <v>1.8</v>
      </c>
      <c r="H17" s="37">
        <v>1.71</v>
      </c>
      <c r="I17" s="37">
        <v>0.94</v>
      </c>
      <c r="J17" s="37">
        <v>2.04</v>
      </c>
      <c r="K17" s="37">
        <v>1.04</v>
      </c>
      <c r="L17" s="37">
        <v>0.99</v>
      </c>
      <c r="M17" s="37">
        <v>1.1200000000000001</v>
      </c>
      <c r="N17" s="37">
        <v>2.27</v>
      </c>
    </row>
    <row r="18" spans="2:21" x14ac:dyDescent="0.3">
      <c r="B18" s="36" t="s">
        <v>31</v>
      </c>
      <c r="C18" s="114">
        <f>INDEX('야채 계산기'!3:3,MATCH(C16,'야채 계산기'!2:2,0))</f>
        <v>2200</v>
      </c>
      <c r="D18" s="114">
        <f>INDEX('야채 계산기'!3:3,MATCH(D16,'야채 계산기'!2:2,0))</f>
        <v>1080</v>
      </c>
      <c r="E18" s="114">
        <f>INDEX('야채 계산기'!3:3,MATCH(E16,'야채 계산기'!2:2,0))</f>
        <v>0</v>
      </c>
      <c r="F18" s="114">
        <f>INDEX('야채 계산기'!3:3,MATCH(F16,'야채 계산기'!2:2,0))</f>
        <v>640</v>
      </c>
      <c r="G18" s="114">
        <f>INDEX('야채 계산기'!3:3,MATCH(G16,'야채 계산기'!2:2,0))</f>
        <v>0</v>
      </c>
      <c r="H18" s="114">
        <f>INDEX('야채 계산기'!3:3,MATCH(H16,'야채 계산기'!2:2,0))</f>
        <v>30</v>
      </c>
      <c r="I18" s="114">
        <f>INDEX('야채 계산기'!3:3,MATCH(I16,'야채 계산기'!2:2,0))</f>
        <v>1170</v>
      </c>
      <c r="J18" s="114">
        <f>INDEX('야채 계산기'!3:3,MATCH(J16,'야채 계산기'!2:2,0))</f>
        <v>2020</v>
      </c>
      <c r="K18" s="114">
        <f>INDEX('야채 계산기'!3:3,MATCH(K16,'야채 계산기'!2:2,0))</f>
        <v>1680</v>
      </c>
      <c r="L18" s="147">
        <f>INDEX('야채 계산기'!3:3,MATCH(L16,'야채 계산기'!2:2,0))</f>
        <v>810</v>
      </c>
      <c r="M18" s="147">
        <f>INDEX('야채 계산기'!3:3,MATCH(M16,'야채 계산기'!2:2,0))</f>
        <v>1780</v>
      </c>
      <c r="N18" s="147">
        <f>INDEX('야채 계산기'!3:3,MATCH(N16,'야채 계산기'!2:2,0))</f>
        <v>550</v>
      </c>
      <c r="O18" s="27"/>
      <c r="P18" s="27"/>
      <c r="Q18" s="27"/>
      <c r="R18" s="27"/>
      <c r="S18" s="27"/>
      <c r="T18" s="27"/>
      <c r="U18" s="27"/>
    </row>
    <row r="19" spans="2:21" x14ac:dyDescent="0.3">
      <c r="B19" s="36">
        <v>1.1000000000000001</v>
      </c>
      <c r="C19" s="114">
        <f t="shared" ref="C19:J19" si="8">C18*$B$19</f>
        <v>2420</v>
      </c>
      <c r="D19" s="114">
        <f t="shared" si="8"/>
        <v>1188</v>
      </c>
      <c r="E19" s="114">
        <f t="shared" si="8"/>
        <v>0</v>
      </c>
      <c r="F19" s="114">
        <f>F18*$B$19</f>
        <v>704</v>
      </c>
      <c r="G19" s="114">
        <f>G18*$B$19</f>
        <v>0</v>
      </c>
      <c r="H19" s="114">
        <f>H18*$B$19</f>
        <v>33</v>
      </c>
      <c r="I19" s="114">
        <f t="shared" si="8"/>
        <v>1287</v>
      </c>
      <c r="J19" s="114">
        <f t="shared" si="8"/>
        <v>2222</v>
      </c>
      <c r="K19" s="114">
        <f t="shared" ref="K19:N19" si="9">K18*$B$19</f>
        <v>1848.0000000000002</v>
      </c>
      <c r="L19" s="147">
        <f t="shared" si="9"/>
        <v>891.00000000000011</v>
      </c>
      <c r="M19" s="147">
        <f t="shared" si="9"/>
        <v>1958.0000000000002</v>
      </c>
      <c r="N19" s="147">
        <f t="shared" si="9"/>
        <v>605</v>
      </c>
      <c r="O19" s="27"/>
      <c r="P19" s="27"/>
      <c r="Q19" s="27"/>
      <c r="R19" s="27"/>
      <c r="S19" s="27"/>
      <c r="T19" s="27"/>
      <c r="U19" s="27"/>
    </row>
    <row r="20" spans="2:21" x14ac:dyDescent="0.3">
      <c r="B20" s="36" t="s">
        <v>178</v>
      </c>
      <c r="C20" s="114">
        <f t="shared" ref="C20:J20" si="10">C17*C19</f>
        <v>4985.2</v>
      </c>
      <c r="D20" s="114">
        <f t="shared" si="10"/>
        <v>2423.52</v>
      </c>
      <c r="E20" s="114">
        <f t="shared" si="10"/>
        <v>0</v>
      </c>
      <c r="F20" s="114">
        <f>F17*F19</f>
        <v>1471.36</v>
      </c>
      <c r="G20" s="114">
        <f>G17*G19</f>
        <v>0</v>
      </c>
      <c r="H20" s="114">
        <f>H17*H19</f>
        <v>56.43</v>
      </c>
      <c r="I20" s="114">
        <f t="shared" si="10"/>
        <v>1209.78</v>
      </c>
      <c r="J20" s="114">
        <f t="shared" si="10"/>
        <v>4532.88</v>
      </c>
      <c r="K20" s="114">
        <f t="shared" ref="K20:N20" si="11">K17*K19</f>
        <v>1921.9200000000003</v>
      </c>
      <c r="L20" s="147">
        <f t="shared" si="11"/>
        <v>882.09000000000015</v>
      </c>
      <c r="M20" s="147">
        <f t="shared" si="11"/>
        <v>2192.9600000000005</v>
      </c>
      <c r="N20" s="147">
        <f t="shared" si="11"/>
        <v>1373.35</v>
      </c>
      <c r="O20" s="35">
        <f>SUM(C20:N20)</f>
        <v>21049.49</v>
      </c>
    </row>
    <row r="21" spans="2:21" ht="6" customHeight="1" x14ac:dyDescent="0.3"/>
    <row r="381" spans="3:3" x14ac:dyDescent="0.3">
      <c r="C381" t="s">
        <v>194</v>
      </c>
    </row>
    <row r="1212" spans="3:8" x14ac:dyDescent="0.3">
      <c r="C1212" t="s">
        <v>195</v>
      </c>
      <c r="E1212">
        <v>4</v>
      </c>
      <c r="H1212">
        <f>ROUNDUP((B1213*C1213)/500,0)</f>
        <v>0</v>
      </c>
    </row>
    <row r="1213" spans="3:8" x14ac:dyDescent="0.3">
      <c r="C1213">
        <f>'[1]유우카의알찬정식(25.7.15)'!$B$27</f>
        <v>0.51</v>
      </c>
    </row>
  </sheetData>
  <mergeCells count="1">
    <mergeCell ref="B2:E2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00000000-0001-0000-0400-000000000000}">
  <sheetPr codeName="Sheet1"/>
  <dimension ref="A1:AI1332"/>
  <sheetViews>
    <sheetView tabSelected="1" zoomScale="70" zoomScaleNormal="70" workbookViewId="0">
      <pane xSplit="4" ySplit="1" topLeftCell="E54" activePane="bottomRight" state="frozen"/>
      <selection pane="topRight" activeCell="E1" sqref="E1"/>
      <selection pane="bottomLeft" activeCell="A2" sqref="A2"/>
      <selection pane="bottomRight" activeCell="U115" sqref="U115"/>
    </sheetView>
  </sheetViews>
  <sheetFormatPr defaultRowHeight="16.5" ns3:dyDescent="0.3"/>
  <cols>
    <col min="1" max="1" width="30.25" style="18" customWidth="1"/>
    <col min="2" max="2" width="16.375" style="18" customWidth="1"/>
    <col min="3" max="3" width="66" style="161" bestFit="1" customWidth="1"/>
    <col min="4" max="4" width="15.75" style="19" customWidth="1"/>
    <col min="5" max="5" width="7.5" style="20" customWidth="1"/>
    <col min="6" max="6" width="9.25" style="19" customWidth="1"/>
    <col min="7" max="7" width="9.25" style="1" customWidth="1"/>
    <col min="8" max="8" width="9.375" style="21" customWidth="1"/>
    <col min="9" max="9" width="11.125" style="1" customWidth="1"/>
    <col min="10" max="10" width="7.25" style="21" customWidth="1"/>
    <col min="11" max="11" width="9.375" style="21" customWidth="1"/>
    <col min="12" max="12" width="10.625" style="21" customWidth="1"/>
    <col min="13" max="13" width="9.25" style="81" customWidth="1"/>
    <col min="14" max="14" width="11.25" style="22" customWidth="1"/>
    <col min="15" max="15" width="7.5" style="1" hidden="1" customWidth="1"/>
    <col min="16" max="16" width="8.75" style="23" hidden="1" customWidth="1"/>
    <col min="17" max="17" width="10.125" style="23" hidden="1" customWidth="1"/>
    <col min="18" max="18" width="6.875" style="23" hidden="1" customWidth="1"/>
    <col min="19" max="19" width="12.625" style="41" customWidth="1"/>
    <col min="20" max="20" width="12.25" style="1" customWidth="1"/>
    <col min="21" max="21" width="12.875" style="1" customWidth="1"/>
    <col min="22" max="22" width="13.125" style="1" customWidth="1"/>
    <col min="23" max="24" width="12.25" style="1" customWidth="1"/>
    <col min="25" max="25" width="14.375" style="23" customWidth="1"/>
    <col min="26" max="26" width="11.75" style="139" customWidth="1"/>
    <col min="27" max="27" width="17.75" style="1" customWidth="1"/>
    <col min="28" max="28" width="17.5" style="1" customWidth="1"/>
    <col min="29" max="29" width="29.75" style="1" customWidth="1"/>
    <col min="30" max="31" width="9" style="1" customWidth="1"/>
    <col min="32" max="32" width="9" style="1"/>
    <col min="33" max="33" width="10.625" style="1" bestFit="1" customWidth="1"/>
    <col min="34" max="16384" width="9" style="1"/>
  </cols>
  <sheetData>
    <row r="1" spans="1:28" ht="22.5" customHeight="1" thickBot="1" ns3:dyDescent="0.35">
      <c r="A1" s="83" t="s">
        <v>66</v>
      </c>
      <c r="B1" s="84" t="s">
        <v>0</v>
      </c>
      <c r="C1" s="175" t="s">
        <v>1</v>
      </c>
      <c r="D1" s="85" t="s">
        <v>2</v>
      </c>
      <c r="E1" s="229" t="s">
        <v>3</v>
      </c>
      <c r="F1" s="85" t="s">
        <v>67</v>
      </c>
      <c r="G1" s="231" t="s">
        <v>4</v>
      </c>
      <c r="H1" s="230" t="s">
        <v>68</v>
      </c>
      <c r="I1" s="84" t="s">
        <v>5</v>
      </c>
      <c r="J1" s="232" t="s">
        <v>184</v>
      </c>
      <c r="K1" s="86" t="s">
        <v>69</v>
      </c>
      <c r="L1" s="86" t="s">
        <v>70</v>
      </c>
      <c r="M1" s="87" t="s">
        <v>6</v>
      </c>
      <c r="N1" s="88" t="s">
        <v>71</v>
      </c>
      <c r="O1" s="82" t="s">
        <v>72</v>
      </c>
      <c r="P1" s="77" t="s">
        <v>3</v>
      </c>
      <c r="Q1" s="77" t="s">
        <v>7</v>
      </c>
      <c r="R1" s="77" t="s">
        <v>73</v>
      </c>
      <c r="S1" s="89">
        <v>1</v>
      </c>
      <c r="T1" s="200" t="s">
        <v>874</v>
      </c>
      <c r="U1" s="222" t="s">
        <v>875</v>
      </c>
      <c r="V1" s="200" t="s">
        <v>919</v>
      </c>
      <c r="W1" s="200" t="s">
        <v>920</v>
      </c>
      <c r="X1" s="200" t="s">
        <v>921</v>
      </c>
      <c r="Y1" s="204" t="s">
        <v>922</v>
      </c>
      <c r="Z1" s="205" t="s">
        <v>923</v>
      </c>
      <c r="AA1" s="207" t="s">
        <v>341</v>
      </c>
    </row>
    <row r="2" spans="1:28" ns3:dyDescent="0.3">
      <c r="A2" s="66"/>
      <c r="B2" s="66"/>
      <c r="C2" s="158"/>
      <c r="D2" s="165"/>
      <c r="E2" s="67"/>
      <c r="F2" s="68"/>
      <c r="G2" s="69"/>
      <c r="H2" s="70"/>
      <c r="I2" s="71"/>
      <c r="J2" s="78" t="str">
        <f>IFERROR(VLOOKUP(C2,[2]Sheet1!$D:$J,7,0),"")</f>
        <v/>
      </c>
      <c r="K2" s="79"/>
      <c r="L2" s="72"/>
      <c r="M2" s="73"/>
      <c r="N2" s="74"/>
      <c r="O2" s="75"/>
      <c r="P2" s="76"/>
      <c r="Q2" s="76"/>
      <c r="R2" s="76"/>
      <c r="S2" s="41">
        <f>SUM(Y2,T2)</f>
        <v>0</v>
      </c>
      <c r="Y2" s="42"/>
    </row>
    <row r="3" spans="1:28" ns3:dyDescent="0.3">
      <c r="A3" s="208" t="s">
        <v>362</v>
      </c>
      <c r="B3" s="58" t="s">
        <v>342</v>
      </c>
      <c r="C3" s="154"/>
      <c r="D3" s="166"/>
      <c r="E3" s="4"/>
      <c r="F3" s="3"/>
      <c r="G3" s="5"/>
      <c r="H3" s="6"/>
      <c r="I3" s="34"/>
      <c r="J3" s="78" t="str">
        <f>IFERROR(VLOOKUP(C3,[2]Sheet1!$D:$J,7,0),"")</f>
        <v/>
      </c>
      <c r="K3" s="80"/>
      <c r="L3" s="7"/>
      <c r="M3" s="8"/>
      <c r="N3" s="57" t="str">
        <f>IFERROR((K3/H3),"")</f>
        <v/>
      </c>
      <c r="O3" s="9"/>
      <c r="P3" s="10"/>
      <c r="Q3" s="10"/>
      <c r="R3" s="40"/>
      <c r="Y3" s="42"/>
    </row>
    <row r="4" spans="1:28" ns3:dyDescent="0.3">
      <c r="A4" s="59"/>
      <c r="B4" s="11"/>
      <c r="C4" s="164" t="s">
        <v>76</v>
      </c>
      <c r="D4" s="166">
        <f t="shared" ref="D4:D15" si="0">IFERROR((F4/E4),"")</f>
        <v>5.4</v>
      </c>
      <c r="E4" s="4">
        <v>10</v>
      </c>
      <c r="F4" s="3">
        <f>IFERROR((L4-K4),"")</f>
        <v>54</v>
      </c>
      <c r="G4" s="5">
        <v>3.5</v>
      </c>
      <c r="H4" s="6">
        <f>ROUNDUP(SUMPRODUCT(B5:B7, C5:C7)/1000,1)</f>
        <v>44</v>
      </c>
      <c r="I4" s="34">
        <f t="shared" ref="I4:I13" si="1">IFERROR((S4*E4),"")</f>
        <v>40</v>
      </c>
      <c r="J4" s="78">
        <f>IFERROR(VLOOKUP(C4,[2]Sheet1!$D:$J,7,0),"")</f>
        <v>60</v>
      </c>
      <c r="K4" s="80">
        <f t="shared" ref="K4:K13" si="2">IFERROR((I4+J4),"")</f>
        <v>100</v>
      </c>
      <c r="L4" s="7">
        <f t="shared" ref="L4:L13" si="3">IFERROR((G4*H4),"")</f>
        <v>154</v>
      </c>
      <c r="M4" s="8">
        <f t="shared" ref="M4:M13" si="4">IFERROR(K4-L4,"")</f>
        <v>-54</v>
      </c>
      <c r="N4" s="57">
        <f>IFERROR((K4/H4),"")</f>
        <v>2.2727272727272729</v>
      </c>
      <c r="O4" s="9"/>
      <c r="P4" s="10">
        <v>10</v>
      </c>
      <c r="Q4" s="10">
        <v>5150</v>
      </c>
      <c r="R4" s="10">
        <f>O4*P4*Q4</f>
        <v>0</v>
      </c>
      <c r="S4" s="41">
        <f t="shared" ref="S4:S75" si="5">SUM(Y4,T4:X4)</f>
        <v>4</v>
      </c>
      <c r="T4" s="173"/>
      <c r="U4" s="173">
        <v>4</v>
      </c>
      <c r="V4" s="173"/>
      <c r="W4" s="173"/>
      <c r="X4" s="173"/>
      <c r="Y4" s="173"/>
      <c r="AA4" s="206">
        <f t="shared" ref="AA4:AA50" si="6">IFERROR(H4*7.5/E4/7,"")</f>
        <v>4.7142857142857144</v>
      </c>
    </row>
    <row r="5" spans="1:28" ns3:dyDescent="0.3">
      <c r="A5" s="13" t="s">
        <v>256</v>
      </c>
      <c r="B5" s="11">
        <f>ROUNDUP(HLOOKUP(A5,'야채 계산기'!$2:$3,2,0),0)</f>
        <v>2840</v>
      </c>
      <c r="C5" s="62">
        <v>8.16</v>
      </c>
      <c r="D5" s="166" t="str">
        <f t="shared" si="0"/>
        <v/>
      </c>
      <c r="E5" s="4"/>
      <c r="F5" s="3"/>
      <c r="G5" s="5"/>
      <c r="H5" s="6"/>
      <c r="I5" s="34">
        <f t="shared" si="1"/>
        <v>0</v>
      </c>
      <c r="J5" s="78" t="str">
        <f>IFERROR(VLOOKUP(C5,[2]Sheet1!$D:$J,7,0),"")</f>
        <v/>
      </c>
      <c r="K5" s="80" t="str">
        <f t="shared" si="2"/>
        <v/>
      </c>
      <c r="L5" s="7">
        <f t="shared" si="3"/>
        <v>0</v>
      </c>
      <c r="M5" s="8" t="str">
        <f t="shared" si="4"/>
        <v/>
      </c>
      <c r="N5" s="57"/>
      <c r="O5" s="9"/>
      <c r="P5" s="10"/>
      <c r="Q5" s="10"/>
      <c r="R5" s="10"/>
      <c r="S5" s="41">
        <f t="shared" si="5"/>
        <v>226600.00000000003</v>
      </c>
      <c r="T5" s="42">
        <f t="shared" ref="T5:Y5" si="7">51500*1.1*T4</f>
        <v>0</v>
      </c>
      <c r="U5" s="42">
        <f>51500*1.1*U4</f>
        <v>226600.00000000003</v>
      </c>
      <c r="V5" s="42">
        <f t="shared" si="7"/>
        <v>0</v>
      </c>
      <c r="W5" s="42">
        <f t="shared" si="7"/>
        <v>0</v>
      </c>
      <c r="X5" s="42">
        <f t="shared" si="7"/>
        <v>0</v>
      </c>
      <c r="Y5" s="42">
        <f t="shared" si="7"/>
        <v>0</v>
      </c>
      <c r="AA5" s="206" t="str">
        <f t="shared" si="6"/>
        <v/>
      </c>
    </row>
    <row r="6" spans="1:28" ns3:dyDescent="0.3">
      <c r="A6" s="13" t="s">
        <v>563</v>
      </c>
      <c r="B6" s="11">
        <f>ROUNDUP(HLOOKUP(A6,'야채 계산기'!$2:$3,2,0),0)</f>
        <v>1780</v>
      </c>
      <c r="C6" s="62">
        <v>8.39</v>
      </c>
      <c r="D6" s="166" t="str">
        <f t="shared" ref="D6" si="8">IFERROR((F6/E6),"")</f>
        <v/>
      </c>
      <c r="E6" s="4"/>
      <c r="F6" s="3"/>
      <c r="G6" s="5"/>
      <c r="H6" s="6"/>
      <c r="I6" s="34">
        <f t="shared" ref="I6" si="9">IFERROR((S6*E6),"")</f>
        <v>0</v>
      </c>
      <c r="J6" s="78" t="str">
        <f>IFERROR(VLOOKUP(C6,[2]Sheet1!$D:$J,7,0),"")</f>
        <v/>
      </c>
      <c r="K6" s="80" t="str">
        <f t="shared" ref="K6" si="10">IFERROR((I6+J6),"")</f>
        <v/>
      </c>
      <c r="L6" s="7">
        <f t="shared" ref="L6" si="11">IFERROR((G6*H6),"")</f>
        <v>0</v>
      </c>
      <c r="M6" s="8" t="str">
        <f t="shared" ref="M6" si="12">IFERROR(K6-L6,"")</f>
        <v/>
      </c>
      <c r="N6" s="57"/>
      <c r="O6" s="9"/>
      <c r="P6" s="10"/>
      <c r="Q6" s="10"/>
      <c r="R6" s="10"/>
      <c r="S6" s="41">
        <f t="shared" ref="S6" si="13">SUM(Y6,T6:X6)</f>
        <v>0</v>
      </c>
      <c r="Y6" s="1"/>
      <c r="AA6" s="206" t="str">
        <f t="shared" ref="AA6" si="14">IFERROR(H6*7.5/E6/7,"")</f>
        <v/>
      </c>
    </row>
    <row r="7" spans="1:28" ns3:dyDescent="0.3">
      <c r="A7" s="60" t="s">
        <v>649</v>
      </c>
      <c r="B7" s="11">
        <f>ROUNDUP(HLOOKUP(A7,'야채 계산기'!$2:$3,2,0),0)</f>
        <v>720</v>
      </c>
      <c r="C7" s="62">
        <f>'[1]플름)진미채치즈김밥(26.08.25)'!$B$15</f>
        <v>8.16</v>
      </c>
      <c r="D7" s="166" t="str">
        <f t="shared" si="0"/>
        <v/>
      </c>
      <c r="E7" s="4"/>
      <c r="F7" s="3"/>
      <c r="G7" s="5"/>
      <c r="H7" s="6"/>
      <c r="I7" s="34">
        <f t="shared" si="1"/>
        <v>0</v>
      </c>
      <c r="J7" s="78" t="str">
        <f>IFERROR(VLOOKUP(C7,[2]Sheet1!$D:$J,7,0),"")</f>
        <v/>
      </c>
      <c r="K7" s="80" t="str">
        <f t="shared" si="2"/>
        <v/>
      </c>
      <c r="L7" s="7">
        <f t="shared" si="3"/>
        <v>0</v>
      </c>
      <c r="M7" s="8" t="str">
        <f t="shared" si="4"/>
        <v/>
      </c>
      <c r="N7" s="57"/>
      <c r="O7" s="9"/>
      <c r="P7" s="10"/>
      <c r="Q7" s="10"/>
      <c r="R7" s="10"/>
      <c r="S7" s="41">
        <f t="shared" si="5"/>
        <v>0</v>
      </c>
      <c r="Y7" s="1"/>
      <c r="AA7" s="206" t="str">
        <f t="shared" si="6"/>
        <v/>
      </c>
    </row>
    <row r="8" spans="1:28" ns3:dyDescent="0.3">
      <c r="A8" s="59"/>
      <c r="B8" s="11"/>
      <c r="C8" s="247" t="s">
        <v>890</v>
      </c>
      <c r="D8" s="166" t="str">
        <f t="shared" ref="D8:D9" si="15">IFERROR((F8/E8),"")</f>
        <v/>
      </c>
      <c r="E8" s="4">
        <v>10</v>
      </c>
      <c r="F8" s="3" t="str">
        <f>IFERROR((L8-K8),"")</f>
        <v/>
      </c>
      <c r="G8" s="5">
        <v>3.5</v>
      </c>
      <c r="H8" s="6">
        <f>ROUNDUP(SUMPRODUCT(B9:B11, C9:C11)/1000,1)</f>
        <v>0</v>
      </c>
      <c r="I8" s="34">
        <f t="shared" ref="I8:I9" si="16">IFERROR((S8*E8),"")</f>
        <v>40</v>
      </c>
      <c r="J8" s="78" t="str">
        <f>IFERROR(VLOOKUP(C8,[2]Sheet1!$D:$J,7,0),"")</f>
        <v/>
      </c>
      <c r="K8" s="80" t="str">
        <f t="shared" ref="K8:K9" si="17">IFERROR((I8+J8),"")</f>
        <v/>
      </c>
      <c r="L8" s="7">
        <f t="shared" ref="L8:L9" si="18">IFERROR((G8*H8),"")</f>
        <v>0</v>
      </c>
      <c r="M8" s="8" t="str">
        <f t="shared" ref="M8:M9" si="19">IFERROR(K8-L8,"")</f>
        <v/>
      </c>
      <c r="N8" s="57" t="str">
        <f>IFERROR((K8/H8),"")</f>
        <v/>
      </c>
      <c r="O8" s="9"/>
      <c r="P8" s="10">
        <v>10</v>
      </c>
      <c r="Q8" s="10">
        <v>6900</v>
      </c>
      <c r="R8" s="10">
        <f>O8*P8*Q8</f>
        <v>0</v>
      </c>
      <c r="S8" s="41">
        <f t="shared" ref="S8:S9" si="20">SUM(Y8,T8:X8)</f>
        <v>4</v>
      </c>
      <c r="T8" s="173"/>
      <c r="U8" s="173">
        <v>2</v>
      </c>
      <c r="V8" s="173">
        <v>2</v>
      </c>
      <c r="W8" s="173"/>
      <c r="X8" s="173"/>
      <c r="Y8" s="173"/>
      <c r="AA8" s="206">
        <f t="shared" ref="AA8:AA9" si="21">IFERROR(H8*7.5/E8/7,"")</f>
        <v>0</v>
      </c>
    </row>
    <row r="9" spans="1:28" ns3:dyDescent="0.3">
      <c r="A9" s="248" t="s">
        <v>891</v>
      </c>
      <c r="B9" s="11">
        <f>ROUNDUP(HLOOKUP(A9,'야채 계산기'!$2:$3,2,0),0)</f>
        <v>0</v>
      </c>
      <c r="C9" s="62">
        <v>7.5</v>
      </c>
      <c r="D9" s="166" t="str">
        <f t="shared" si="15"/>
        <v/>
      </c>
      <c r="E9" s="4"/>
      <c r="F9" s="3"/>
      <c r="G9" s="5"/>
      <c r="H9" s="6"/>
      <c r="I9" s="34">
        <f t="shared" si="16"/>
        <v>0</v>
      </c>
      <c r="J9" s="78" t="str">
        <f>IFERROR(VLOOKUP(C9,[2]Sheet1!$D:$J,7,0),"")</f>
        <v/>
      </c>
      <c r="K9" s="80" t="str">
        <f t="shared" si="17"/>
        <v/>
      </c>
      <c r="L9" s="7">
        <f t="shared" si="18"/>
        <v>0</v>
      </c>
      <c r="M9" s="8" t="str">
        <f t="shared" si="19"/>
        <v/>
      </c>
      <c r="N9" s="57"/>
      <c r="O9" s="9"/>
      <c r="P9" s="10"/>
      <c r="Q9" s="10"/>
      <c r="R9" s="10"/>
      <c r="S9" s="41">
        <f t="shared" si="20"/>
        <v>303600</v>
      </c>
      <c r="T9" s="42">
        <f>69000*1.1*T8</f>
        <v>0</v>
      </c>
      <c r="U9" s="42">
        <f t="shared" ref="U9:Y9" si="22">69000*1.1*U8</f>
        <v>151800</v>
      </c>
      <c r="V9" s="42">
        <f t="shared" si="22"/>
        <v>151800</v>
      </c>
      <c r="W9" s="42">
        <f t="shared" si="22"/>
        <v>0</v>
      </c>
      <c r="X9" s="42">
        <f t="shared" si="22"/>
        <v>0</v>
      </c>
      <c r="Y9" s="42">
        <f t="shared" si="22"/>
        <v>0</v>
      </c>
      <c r="AA9" s="206" t="str">
        <f t="shared" si="21"/>
        <v/>
      </c>
    </row>
    <row r="10" spans="1:28" ns3:dyDescent="0.3">
      <c r="A10" s="11"/>
      <c r="B10" s="11"/>
      <c r="C10" s="164" t="s">
        <v>445</v>
      </c>
      <c r="D10" s="166">
        <f t="shared" si="0"/>
        <v>0.28500000000000014</v>
      </c>
      <c r="E10" s="4">
        <v>10</v>
      </c>
      <c r="F10" s="3">
        <f>IFERROR((L10-K10),"")</f>
        <v>2.8500000000000014</v>
      </c>
      <c r="G10" s="5">
        <f>G4</f>
        <v>3.5</v>
      </c>
      <c r="H10" s="6">
        <f>ROUNDUP(SUMPRODUCT(B12,C12)/1000,1)</f>
        <v>11.1</v>
      </c>
      <c r="I10" s="34">
        <f t="shared" si="1"/>
        <v>0</v>
      </c>
      <c r="J10" s="78">
        <f>IFERROR(VLOOKUP(C10,[2]Sheet1!$D:$J,7,0),"")</f>
        <v>36</v>
      </c>
      <c r="K10" s="80">
        <f>IFERROR((I10+J10),"")</f>
        <v>36</v>
      </c>
      <c r="L10" s="7">
        <f t="shared" si="3"/>
        <v>38.85</v>
      </c>
      <c r="M10" s="8">
        <f t="shared" si="4"/>
        <v>-2.8500000000000014</v>
      </c>
      <c r="N10" s="57">
        <f t="shared" ref="N10:N11" si="23">IFERROR((K10/H10),"")</f>
        <v>3.2432432432432434</v>
      </c>
      <c r="O10" s="9"/>
      <c r="P10" s="10">
        <v>10</v>
      </c>
      <c r="Q10" s="10">
        <v>5500</v>
      </c>
      <c r="R10" s="10">
        <f>O10*P10*Q10</f>
        <v>0</v>
      </c>
      <c r="S10" s="41">
        <f t="shared" si="5"/>
        <v>0</v>
      </c>
      <c r="T10" s="173"/>
      <c r="U10" s="173"/>
      <c r="V10" s="173"/>
      <c r="W10" s="173"/>
      <c r="X10" s="173"/>
      <c r="Y10" s="173"/>
      <c r="AA10" s="206">
        <f t="shared" si="6"/>
        <v>1.1892857142857143</v>
      </c>
    </row>
    <row r="11" spans="1:28" ns3:dyDescent="0.3">
      <c r="A11" s="61"/>
      <c r="B11" s="11"/>
      <c r="C11" s="162"/>
      <c r="D11" s="166" t="str">
        <f t="shared" si="0"/>
        <v/>
      </c>
      <c r="E11" s="4"/>
      <c r="F11" s="3"/>
      <c r="G11" s="5"/>
      <c r="H11" s="6"/>
      <c r="I11" s="34">
        <f t="shared" si="1"/>
        <v>0</v>
      </c>
      <c r="J11" s="78" t="str">
        <f>IFERROR(VLOOKUP(C11,[2]Sheet1!$D:$J,7,0),"")</f>
        <v/>
      </c>
      <c r="K11" s="80" t="str">
        <f>IFERROR((I11+J11),"")</f>
        <v/>
      </c>
      <c r="L11" s="7">
        <f t="shared" si="3"/>
        <v>0</v>
      </c>
      <c r="M11" s="8" t="str">
        <f t="shared" si="4"/>
        <v/>
      </c>
      <c r="N11" s="57" t="str">
        <f t="shared" si="23"/>
        <v/>
      </c>
      <c r="O11" s="9"/>
      <c r="P11" s="10"/>
      <c r="Q11" s="10"/>
      <c r="R11" s="10">
        <f>O11*P11*Q11</f>
        <v>0</v>
      </c>
      <c r="S11" s="41">
        <f t="shared" si="5"/>
        <v>0</v>
      </c>
      <c r="T11" s="180">
        <f t="shared" ref="T11" si="24">55000*1.1*T10</f>
        <v>0</v>
      </c>
      <c r="U11" s="180">
        <f>55000*1.1*U10</f>
        <v>0</v>
      </c>
      <c r="V11" s="180">
        <f t="shared" ref="V11:W11" si="25">55000*1.1*V10</f>
        <v>0</v>
      </c>
      <c r="W11" s="180">
        <f t="shared" si="25"/>
        <v>0</v>
      </c>
      <c r="X11" s="180">
        <f>55000*1.1*X10</f>
        <v>0</v>
      </c>
      <c r="Y11" s="180">
        <f>55000*1.1*Y10</f>
        <v>0</v>
      </c>
      <c r="AA11" s="206" t="str">
        <f t="shared" si="6"/>
        <v/>
      </c>
    </row>
    <row r="12" spans="1:28" ns3:dyDescent="0.3">
      <c r="A12" s="15" t="s">
        <v>624</v>
      </c>
      <c r="B12" s="11">
        <f>ROUNDUP(HLOOKUP(A12,'야채 계산기'!$2:$3,2,0),0)</f>
        <v>1170</v>
      </c>
      <c r="C12" s="62">
        <v>9.44</v>
      </c>
      <c r="D12" s="166" t="str">
        <f t="shared" si="0"/>
        <v/>
      </c>
      <c r="E12" s="4"/>
      <c r="F12" s="3"/>
      <c r="G12" s="5"/>
      <c r="H12" s="6"/>
      <c r="I12" s="34">
        <f t="shared" si="1"/>
        <v>0</v>
      </c>
      <c r="J12" s="78" t="str">
        <f>IFERROR(VLOOKUP(C12,[2]Sheet1!$D:$J,7,0),"")</f>
        <v/>
      </c>
      <c r="K12" s="80" t="str">
        <f t="shared" si="2"/>
        <v/>
      </c>
      <c r="L12" s="7">
        <f t="shared" si="3"/>
        <v>0</v>
      </c>
      <c r="M12" s="8" t="str">
        <f t="shared" si="4"/>
        <v/>
      </c>
      <c r="N12" s="57"/>
      <c r="O12" s="9"/>
      <c r="P12" s="10"/>
      <c r="Q12" s="10"/>
      <c r="R12" s="10"/>
      <c r="S12" s="41">
        <f t="shared" si="5"/>
        <v>908600</v>
      </c>
      <c r="T12" s="223">
        <v>378400</v>
      </c>
      <c r="U12" s="223">
        <f>U5+U11+U9</f>
        <v>378400</v>
      </c>
      <c r="V12" s="223">
        <f t="shared" ref="V12:Y12" si="26">V5+V11+V9</f>
        <v>151800</v>
      </c>
      <c r="W12" s="223">
        <f t="shared" si="26"/>
        <v>0</v>
      </c>
      <c r="X12" s="223">
        <f t="shared" si="26"/>
        <v>0</v>
      </c>
      <c r="Y12" s="223">
        <f t="shared" si="26"/>
        <v>0</v>
      </c>
      <c r="AA12" s="206" t="str">
        <f t="shared" si="6"/>
        <v/>
      </c>
      <c r="AB12" s="187"/>
    </row>
    <row r="13" spans="1:28" ht="18.75" customHeight="1" ns3:dyDescent="0.3">
      <c r="A13" s="2"/>
      <c r="B13" s="2"/>
      <c r="C13" s="62" t="s">
        <v>75</v>
      </c>
      <c r="D13" s="166" t="str">
        <f t="shared" si="0"/>
        <v/>
      </c>
      <c r="E13" s="4"/>
      <c r="F13" s="3"/>
      <c r="G13" s="5"/>
      <c r="H13" s="6"/>
      <c r="I13" s="34">
        <f t="shared" si="1"/>
        <v>0</v>
      </c>
      <c r="J13" s="78" t="str">
        <f>IFERROR(VLOOKUP(C13,[2]Sheet1!$D:$J,7,0),"")</f>
        <v/>
      </c>
      <c r="K13" s="80" t="str">
        <f t="shared" si="2"/>
        <v/>
      </c>
      <c r="L13" s="7">
        <f t="shared" si="3"/>
        <v>0</v>
      </c>
      <c r="M13" s="8" t="str">
        <f t="shared" si="4"/>
        <v/>
      </c>
      <c r="N13" s="57"/>
      <c r="O13" s="9"/>
      <c r="P13" s="10"/>
      <c r="Q13" s="10"/>
      <c r="R13" s="10"/>
      <c r="S13" s="41">
        <f t="shared" si="5"/>
        <v>0</v>
      </c>
      <c r="Y13" s="1"/>
      <c r="AA13" s="206" t="str">
        <f t="shared" si="6"/>
        <v/>
      </c>
    </row>
    <row r="14" spans="1:28" ns3:dyDescent="0.3">
      <c r="A14" s="208" t="s">
        <v>363</v>
      </c>
      <c r="B14" s="58" t="s">
        <v>343</v>
      </c>
      <c r="C14" s="154"/>
      <c r="D14" s="166" t="str">
        <f t="shared" si="0"/>
        <v/>
      </c>
      <c r="E14" s="4"/>
      <c r="F14" s="17"/>
      <c r="G14" s="5"/>
      <c r="H14" s="6"/>
      <c r="I14" s="34">
        <f t="shared" ref="I14:I34" si="27">IFERROR((S14*E14),"")</f>
        <v>0</v>
      </c>
      <c r="J14" s="78" t="str">
        <f>IFERROR(VLOOKUP(C14,[2]Sheet1!$D:$J,7,0),"")</f>
        <v/>
      </c>
      <c r="K14" s="80" t="str">
        <f t="shared" ref="K14:K34" si="28">IFERROR((I14+J14),"")</f>
        <v/>
      </c>
      <c r="L14" s="7">
        <f t="shared" ref="L14:L34" si="29">IFERROR((G14*H14),"")</f>
        <v>0</v>
      </c>
      <c r="M14" s="8" t="str">
        <f t="shared" ref="M14:M34" si="30">IFERROR(K14-L14,"")</f>
        <v/>
      </c>
      <c r="N14" s="57" t="str">
        <f>IFERROR((K14/H14),"")</f>
        <v/>
      </c>
      <c r="O14" s="9"/>
      <c r="P14" s="10"/>
      <c r="Q14" s="10"/>
      <c r="R14" s="10">
        <f>O14*P14*Q14</f>
        <v>0</v>
      </c>
      <c r="S14" s="41">
        <f t="shared" si="5"/>
        <v>0</v>
      </c>
      <c r="Y14" s="1"/>
      <c r="AA14" s="206" t="str">
        <f t="shared" si="6"/>
        <v/>
      </c>
    </row>
    <row r="15" spans="1:28" ns3:dyDescent="0.3">
      <c r="A15" s="59"/>
      <c r="B15" s="11"/>
      <c r="C15" s="62" t="s">
        <v>157</v>
      </c>
      <c r="D15" s="166">
        <f t="shared" si="0"/>
        <v>34.283333333333339</v>
      </c>
      <c r="E15" s="4">
        <v>3</v>
      </c>
      <c r="F15" s="3">
        <f>IFERROR((L15-K15),"")</f>
        <v>102.85000000000002</v>
      </c>
      <c r="G15" s="5">
        <v>5.5</v>
      </c>
      <c r="H15" s="6">
        <f>ROUNDUP(SUMPRODUCT(B16:B17,C16:C17)/3000,1)</f>
        <v>18.700000000000003</v>
      </c>
      <c r="I15" s="34">
        <f t="shared" si="27"/>
        <v>0</v>
      </c>
      <c r="J15" s="78">
        <f>IFERROR(VLOOKUP(C15,[2]Sheet1!$D:$J,7,0),"")</f>
        <v>0</v>
      </c>
      <c r="K15" s="80">
        <f t="shared" si="28"/>
        <v>0</v>
      </c>
      <c r="L15" s="7">
        <f t="shared" si="29"/>
        <v>102.85000000000002</v>
      </c>
      <c r="M15" s="8">
        <f t="shared" si="30"/>
        <v>-102.85000000000002</v>
      </c>
      <c r="N15" s="57">
        <f>IFERROR((K15/H15),"")</f>
        <v>0</v>
      </c>
      <c r="O15" s="9"/>
      <c r="P15" s="10"/>
      <c r="Q15" s="10">
        <v>21000</v>
      </c>
      <c r="R15" s="10">
        <f>O15*P15*Q15</f>
        <v>0</v>
      </c>
      <c r="S15" s="41">
        <f t="shared" si="5"/>
        <v>0</v>
      </c>
      <c r="T15" s="173"/>
      <c r="U15" s="173"/>
      <c r="V15" s="183"/>
      <c r="W15" s="183"/>
      <c r="X15" s="173"/>
      <c r="Y15" s="173"/>
      <c r="Z15" s="1"/>
      <c r="AA15" s="206">
        <f t="shared" si="6"/>
        <v>6.6785714285714297</v>
      </c>
    </row>
    <row r="16" spans="1:28" ns3:dyDescent="0.3">
      <c r="A16" s="273" t="s">
        <v>571</v>
      </c>
      <c r="B16" s="11"/>
      <c r="C16" s="62">
        <f>'[1]NEW혜자)백설갈비양념제육(26.07.28)'!$B$7</f>
        <v>125.54</v>
      </c>
      <c r="D16" s="166"/>
      <c r="E16" s="4"/>
      <c r="F16" s="3"/>
      <c r="G16" s="5"/>
      <c r="H16" s="6"/>
      <c r="I16" s="34">
        <f t="shared" ref="I16" si="31">IFERROR((S16*E16),"")</f>
        <v>0</v>
      </c>
      <c r="J16" s="78" t="str">
        <f>IFERROR(VLOOKUP(C16,[2]Sheet1!$D:$J,7,0),"")</f>
        <v/>
      </c>
      <c r="K16" s="80" t="str">
        <f t="shared" ref="K16" si="32">IFERROR((I16+J16),"")</f>
        <v/>
      </c>
      <c r="L16" s="7">
        <f t="shared" ref="L16" si="33">IFERROR((G16*H16),"")</f>
        <v>0</v>
      </c>
      <c r="M16" s="8" t="str">
        <f t="shared" ref="M16" si="34">IFERROR(K16-L16,"")</f>
        <v/>
      </c>
      <c r="N16" s="57"/>
      <c r="O16" s="9"/>
      <c r="P16" s="10"/>
      <c r="Q16" s="10"/>
      <c r="R16" s="10"/>
      <c r="S16" s="41">
        <f t="shared" ref="S16" si="35">SUM(Y16,T16:X16)</f>
        <v>318600</v>
      </c>
      <c r="T16" s="1">
        <v>53100</v>
      </c>
      <c r="U16" s="1">
        <v>53100</v>
      </c>
      <c r="V16" s="1">
        <v>53100</v>
      </c>
      <c r="W16" s="1">
        <v>53100</v>
      </c>
      <c r="X16" s="1">
        <v>53100</v>
      </c>
      <c r="Y16" s="1">
        <v>53100</v>
      </c>
      <c r="Z16" s="1"/>
      <c r="AA16" s="206" t="str">
        <f t="shared" ref="AA16" si="36">IFERROR(H16*7.5/E16/7,"")</f>
        <v/>
      </c>
    </row>
    <row r="17" spans="1:27" ns3:dyDescent="0.3">
      <c r="A17" s="60" t="s">
        <v>623</v>
      </c>
      <c r="B17" s="11">
        <f>ROUNDUP(HLOOKUP(A17,'야채 계산기'!$2:$3,2,0)*1.03,0)</f>
        <v>1113</v>
      </c>
      <c r="C17" s="62">
        <f>'[1]뭘좋아할지몰라다넣어봤어(26.08.11)'!$B$6</f>
        <v>50.22</v>
      </c>
      <c r="D17" s="166"/>
      <c r="E17" s="4"/>
      <c r="F17" s="3"/>
      <c r="G17" s="5"/>
      <c r="H17" s="6"/>
      <c r="I17" s="34">
        <f t="shared" si="27"/>
        <v>0</v>
      </c>
      <c r="J17" s="78" t="str">
        <f>IFERROR(VLOOKUP(C17,[2]Sheet1!$D:$J,7,0),"")</f>
        <v/>
      </c>
      <c r="K17" s="80" t="str">
        <f t="shared" si="28"/>
        <v/>
      </c>
      <c r="L17" s="7">
        <f t="shared" si="29"/>
        <v>0</v>
      </c>
      <c r="M17" s="8" t="str">
        <f t="shared" si="30"/>
        <v/>
      </c>
      <c r="N17" s="57"/>
      <c r="O17" s="9"/>
      <c r="P17" s="10"/>
      <c r="Q17" s="10"/>
      <c r="R17" s="10"/>
      <c r="S17" s="41">
        <f t="shared" si="5"/>
        <v>0</v>
      </c>
      <c r="Y17" s="1"/>
      <c r="Z17" s="1"/>
      <c r="AA17" s="206" t="str">
        <f t="shared" si="6"/>
        <v/>
      </c>
    </row>
    <row r="18" spans="1:27" ns3:dyDescent="0.3">
      <c r="A18" s="59"/>
      <c r="B18" s="11"/>
      <c r="C18" s="62" t="s">
        <v>167</v>
      </c>
      <c r="D18" s="166">
        <f>IFERROR((F18/E18),"")</f>
        <v>18.5625</v>
      </c>
      <c r="E18" s="4">
        <v>8</v>
      </c>
      <c r="F18" s="3">
        <f>IFERROR((L18-K18),"")</f>
        <v>148.5</v>
      </c>
      <c r="G18" s="5">
        <f>G15</f>
        <v>5.5</v>
      </c>
      <c r="H18" s="6">
        <f>ROUNDUP((B19*C19)/46,0)</f>
        <v>27</v>
      </c>
      <c r="I18" s="34">
        <f t="shared" si="27"/>
        <v>0</v>
      </c>
      <c r="J18" s="78">
        <f>IFERROR(VLOOKUP(C18,[2]Sheet1!$D:$J,7,0),"")</f>
        <v>0</v>
      </c>
      <c r="K18" s="80">
        <f t="shared" si="28"/>
        <v>0</v>
      </c>
      <c r="L18" s="7">
        <f t="shared" si="29"/>
        <v>148.5</v>
      </c>
      <c r="M18" s="8">
        <f t="shared" si="30"/>
        <v>-148.5</v>
      </c>
      <c r="N18" s="57">
        <f>IFERROR((K18/H18),"")</f>
        <v>0</v>
      </c>
      <c r="O18" s="9"/>
      <c r="P18" s="10"/>
      <c r="Q18" s="10">
        <v>7100</v>
      </c>
      <c r="R18" s="10">
        <f>O18*P18*Q18</f>
        <v>0</v>
      </c>
      <c r="S18" s="41">
        <f t="shared" si="5"/>
        <v>0</v>
      </c>
      <c r="T18" s="173"/>
      <c r="U18" s="193"/>
      <c r="V18" s="173"/>
      <c r="W18" s="173"/>
      <c r="X18" s="173"/>
      <c r="Y18" s="173"/>
      <c r="Z18" s="187"/>
      <c r="AA18" s="206">
        <f t="shared" si="6"/>
        <v>3.6160714285714284</v>
      </c>
    </row>
    <row r="19" spans="1:27" ns3:dyDescent="0.3">
      <c r="A19" s="60" t="s">
        <v>624</v>
      </c>
      <c r="B19" s="11">
        <f>ROUNDUP(HLOOKUP(A19,'야채 계산기'!$2:$3,2,0)*1.03,0)</f>
        <v>1206</v>
      </c>
      <c r="C19" s="164">
        <v>1</v>
      </c>
      <c r="D19" s="166"/>
      <c r="E19" s="4"/>
      <c r="F19" s="3"/>
      <c r="G19" s="5"/>
      <c r="H19" s="6"/>
      <c r="I19" s="34">
        <f t="shared" si="27"/>
        <v>0</v>
      </c>
      <c r="J19" s="78" t="str">
        <f>IFERROR(VLOOKUP(C19,[2]Sheet1!$D:$J,7,0),"")</f>
        <v/>
      </c>
      <c r="K19" s="80" t="str">
        <f t="shared" si="28"/>
        <v/>
      </c>
      <c r="L19" s="7">
        <f t="shared" si="29"/>
        <v>0</v>
      </c>
      <c r="M19" s="8" t="str">
        <f t="shared" si="30"/>
        <v/>
      </c>
      <c r="N19" s="57"/>
      <c r="O19" s="9"/>
      <c r="P19" s="10"/>
      <c r="Q19" s="10"/>
      <c r="R19" s="10"/>
      <c r="S19" s="41">
        <f t="shared" si="5"/>
        <v>0</v>
      </c>
      <c r="Y19" s="1"/>
      <c r="Z19" s="1"/>
      <c r="AA19" s="206" t="str">
        <f t="shared" si="6"/>
        <v/>
      </c>
    </row>
    <row r="20" spans="1:27" ns3:dyDescent="0.3">
      <c r="A20" s="59"/>
      <c r="B20" s="11"/>
      <c r="C20" s="164" t="s">
        <v>301</v>
      </c>
      <c r="D20" s="166">
        <f>IFERROR((F20/E20),"")</f>
        <v>2.75</v>
      </c>
      <c r="E20" s="4">
        <v>3</v>
      </c>
      <c r="F20" s="3">
        <f>IFERROR((L20-K20),"")</f>
        <v>8.25</v>
      </c>
      <c r="G20" s="5">
        <f>G15</f>
        <v>5.5</v>
      </c>
      <c r="H20" s="6">
        <f>ROUNDUP(SUMPRODUCT(B21,C21)/3000,1)</f>
        <v>1.5</v>
      </c>
      <c r="I20" s="34">
        <f>IFERROR((S20*E20),"")</f>
        <v>0</v>
      </c>
      <c r="J20" s="78">
        <f>IFERROR(VLOOKUP(C20,[2]Sheet1!$D:$J,7,0),"")</f>
        <v>0</v>
      </c>
      <c r="K20" s="80">
        <f>IFERROR((I20+J20),"")</f>
        <v>0</v>
      </c>
      <c r="L20" s="7">
        <f>IFERROR((G20*H20),"")</f>
        <v>8.25</v>
      </c>
      <c r="M20" s="8">
        <f>IFERROR(K20-L20,"")</f>
        <v>-8.25</v>
      </c>
      <c r="N20" s="57">
        <f>IFERROR((K20/H20),"")</f>
        <v>0</v>
      </c>
      <c r="O20" s="9"/>
      <c r="P20" s="10"/>
      <c r="Q20" s="10">
        <v>18323</v>
      </c>
      <c r="R20" s="10">
        <f>O20*P20*Q20</f>
        <v>0</v>
      </c>
      <c r="S20" s="41">
        <f t="shared" si="5"/>
        <v>0</v>
      </c>
      <c r="T20" s="173"/>
      <c r="U20" s="173"/>
      <c r="V20" s="173"/>
      <c r="W20" s="173"/>
      <c r="X20" s="173"/>
      <c r="Y20" s="173"/>
      <c r="Z20" s="1"/>
      <c r="AA20" s="206">
        <f t="shared" si="6"/>
        <v>0.5357142857142857</v>
      </c>
    </row>
    <row r="21" spans="1:27" ns3:dyDescent="0.3">
      <c r="A21" s="11" t="s">
        <v>299</v>
      </c>
      <c r="B21" s="11">
        <f>ROUNDUP(HLOOKUP(A21,'야채 계산기'!$2:$3,2,0)*1.03,0)</f>
        <v>31</v>
      </c>
      <c r="C21" s="164">
        <v>140.97</v>
      </c>
      <c r="D21" s="166"/>
      <c r="E21" s="4"/>
      <c r="F21" s="3"/>
      <c r="G21" s="5"/>
      <c r="H21" s="6"/>
      <c r="I21" s="34">
        <f>IFERROR((S21*E21),"")</f>
        <v>0</v>
      </c>
      <c r="J21" s="78" t="str">
        <f>IFERROR(VLOOKUP(C21,[2]Sheet1!$D:$J,7,0),"")</f>
        <v/>
      </c>
      <c r="K21" s="80" t="str">
        <f>IFERROR((I21+J21),"")</f>
        <v/>
      </c>
      <c r="L21" s="7">
        <f>IFERROR((G21*H21),"")</f>
        <v>0</v>
      </c>
      <c r="M21" s="8" t="str">
        <f>IFERROR(K21-L21,"")</f>
        <v/>
      </c>
      <c r="N21" s="57"/>
      <c r="O21" s="9"/>
      <c r="P21" s="10"/>
      <c r="Q21" s="10"/>
      <c r="R21" s="10"/>
      <c r="S21" s="41">
        <f t="shared" si="5"/>
        <v>0</v>
      </c>
      <c r="Y21" s="1"/>
      <c r="Z21" s="1"/>
      <c r="AA21" s="206"/>
    </row>
    <row r="22" spans="1:27" ns3:dyDescent="0.3">
      <c r="A22" s="176" t="s">
        <v>325</v>
      </c>
      <c r="B22" s="11">
        <f>ROUNDUP(HLOOKUP(A22,'야채 계산기'!$2:$3,2,0),0)</f>
        <v>1190</v>
      </c>
      <c r="C22" s="162">
        <f>73.27*0.78</f>
        <v>57.150599999999997</v>
      </c>
      <c r="D22" s="166" t="str">
        <f t="shared" ref="D22" si="37">IFERROR((F22/E22),"")</f>
        <v/>
      </c>
      <c r="E22" s="4"/>
      <c r="F22" s="3"/>
      <c r="G22" s="5"/>
      <c r="H22" s="6"/>
      <c r="I22" s="34">
        <f t="shared" ref="I22" si="38">IFERROR((S22*E22),"")</f>
        <v>0</v>
      </c>
      <c r="J22" s="78" t="str">
        <f>IFERROR(VLOOKUP(C22,[2]Sheet1!$D:$J,7,0),"")</f>
        <v/>
      </c>
      <c r="K22" s="80" t="str">
        <f t="shared" ref="K22" si="39">IFERROR((I22+J22),"")</f>
        <v/>
      </c>
      <c r="L22" s="7">
        <f t="shared" ref="L22" si="40">IFERROR((G22*H22),"")</f>
        <v>0</v>
      </c>
      <c r="M22" s="8" t="str">
        <f t="shared" ref="M22" si="41">IFERROR(K22-L22,"")</f>
        <v/>
      </c>
      <c r="N22" s="57" t="str">
        <f t="shared" ref="N22" si="42">IFERROR((K22/H22),"")</f>
        <v/>
      </c>
      <c r="O22" s="9"/>
      <c r="P22" s="10"/>
      <c r="Q22" s="10"/>
      <c r="R22" s="10">
        <f t="shared" ref="R22" si="43">O22*P22*Q22</f>
        <v>0</v>
      </c>
      <c r="S22" s="41">
        <f t="shared" si="5"/>
        <v>0</v>
      </c>
      <c r="Y22" s="1"/>
      <c r="Z22" s="1"/>
      <c r="AA22" s="206" t="str">
        <f t="shared" si="6"/>
        <v/>
      </c>
    </row>
    <row r="23" spans="1:27" ns3:dyDescent="0.3">
      <c r="A23" s="11"/>
      <c r="B23" s="134" t="s">
        <v>183</v>
      </c>
      <c r="C23" s="164" t="s">
        <v>200</v>
      </c>
      <c r="D23" s="166">
        <f>IFERROR((F23/E23),"")</f>
        <v>28.181249999999991</v>
      </c>
      <c r="E23" s="4">
        <v>8</v>
      </c>
      <c r="F23" s="3">
        <f>IFERROR((L23-K23),"")</f>
        <v>225.44999999999993</v>
      </c>
      <c r="G23" s="5">
        <v>5.5</v>
      </c>
      <c r="H23" s="6">
        <f>ROUNDUP(SUMPRODUCT(B24:B25,C24:C25)/90,1)</f>
        <v>75.899999999999991</v>
      </c>
      <c r="I23" s="34">
        <f t="shared" si="27"/>
        <v>80</v>
      </c>
      <c r="J23" s="78">
        <f>IFERROR(VLOOKUP(C23,[2]Sheet1!$D:$J,7,0),"")</f>
        <v>112</v>
      </c>
      <c r="K23" s="80">
        <f t="shared" si="28"/>
        <v>192</v>
      </c>
      <c r="L23" s="7">
        <f t="shared" si="29"/>
        <v>417.44999999999993</v>
      </c>
      <c r="M23" s="8">
        <f t="shared" si="30"/>
        <v>-225.44999999999993</v>
      </c>
      <c r="N23" s="57">
        <f>IFERROR((K23/H23),"")</f>
        <v>2.5296442687747041</v>
      </c>
      <c r="O23" s="9"/>
      <c r="P23" s="10"/>
      <c r="Q23" s="10">
        <v>4900</v>
      </c>
      <c r="R23" s="10">
        <f>O23*P23*Q23</f>
        <v>0</v>
      </c>
      <c r="S23" s="41">
        <f t="shared" si="5"/>
        <v>10</v>
      </c>
      <c r="T23" s="173"/>
      <c r="U23" s="183"/>
      <c r="V23" s="183">
        <v>10</v>
      </c>
      <c r="W23" s="183"/>
      <c r="X23" s="173"/>
      <c r="Y23" s="173"/>
      <c r="Z23" s="187"/>
      <c r="AA23" s="206">
        <f t="shared" si="6"/>
        <v>10.165178571428569</v>
      </c>
    </row>
    <row r="24" spans="1:27" ns3:dyDescent="0.3">
      <c r="A24" s="11" t="s">
        <v>762</v>
      </c>
      <c r="B24" s="11">
        <f>ROUNDUP(HLOOKUP(A24,'야채 계산기'!$2:$3,2,0),0)</f>
        <v>2200</v>
      </c>
      <c r="C24" s="195">
        <v>2</v>
      </c>
      <c r="D24" s="166"/>
      <c r="E24" s="4"/>
      <c r="F24" s="3"/>
      <c r="G24" s="5"/>
      <c r="H24" s="6"/>
      <c r="I24" s="34">
        <f t="shared" si="27"/>
        <v>0</v>
      </c>
      <c r="J24" s="78" t="str">
        <f>IFERROR(VLOOKUP(C24,[2]Sheet1!$D:$J,7,0),"")</f>
        <v/>
      </c>
      <c r="K24" s="80" t="str">
        <f t="shared" si="28"/>
        <v/>
      </c>
      <c r="L24" s="7">
        <f t="shared" si="29"/>
        <v>0</v>
      </c>
      <c r="M24" s="8" t="str">
        <f t="shared" si="30"/>
        <v/>
      </c>
      <c r="N24" s="57"/>
      <c r="O24" s="9"/>
      <c r="P24" s="10"/>
      <c r="Q24" s="10"/>
      <c r="R24" s="10"/>
      <c r="S24" s="41">
        <f t="shared" si="5"/>
        <v>235200</v>
      </c>
      <c r="T24" s="1">
        <v>39200</v>
      </c>
      <c r="U24" s="1">
        <v>39200</v>
      </c>
      <c r="V24" s="1">
        <v>39200</v>
      </c>
      <c r="W24" s="1">
        <v>39200</v>
      </c>
      <c r="X24" s="1">
        <v>39200</v>
      </c>
      <c r="Y24" s="1">
        <v>39200</v>
      </c>
      <c r="Z24" s="1"/>
      <c r="AA24" s="206" t="str">
        <f t="shared" si="6"/>
        <v/>
      </c>
    </row>
    <row r="25" spans="1:27" ns3:dyDescent="0.3">
      <c r="A25" s="273" t="s">
        <v>570</v>
      </c>
      <c r="B25" s="11">
        <f>ROUNDUP(HLOOKUP(A25,'야채 계산기'!$2:$3,2,0),0)</f>
        <v>810</v>
      </c>
      <c r="C25" s="195">
        <v>3</v>
      </c>
      <c r="D25" s="166"/>
      <c r="E25" s="4"/>
      <c r="F25" s="3"/>
      <c r="G25" s="5"/>
      <c r="H25" s="6"/>
      <c r="I25" s="34">
        <f t="shared" si="27"/>
        <v>0</v>
      </c>
      <c r="J25" s="78" t="str">
        <f>IFERROR(VLOOKUP(C25,[2]Sheet1!$D:$J,7,0),"")</f>
        <v/>
      </c>
      <c r="K25" s="80" t="str">
        <f t="shared" si="28"/>
        <v/>
      </c>
      <c r="L25" s="7">
        <f t="shared" si="29"/>
        <v>0</v>
      </c>
      <c r="M25" s="8" t="str">
        <f t="shared" si="30"/>
        <v/>
      </c>
      <c r="N25" s="57"/>
      <c r="O25" s="9"/>
      <c r="P25" s="10"/>
      <c r="Q25" s="10"/>
      <c r="R25" s="10"/>
      <c r="S25" s="41">
        <f t="shared" si="5"/>
        <v>0</v>
      </c>
      <c r="Y25" s="1"/>
      <c r="Z25" s="1"/>
      <c r="AA25" s="206" t="str">
        <f t="shared" si="6"/>
        <v/>
      </c>
    </row>
    <row r="26" spans="1:27" ns3:dyDescent="0.3">
      <c r="A26" s="15"/>
      <c r="B26" s="2"/>
      <c r="C26" s="62"/>
      <c r="D26" s="166" t="str">
        <f t="shared" ref="D26:D27" si="44">IFERROR((F26/E26),"")</f>
        <v/>
      </c>
      <c r="E26" s="4"/>
      <c r="F26" s="3"/>
      <c r="G26" s="5"/>
      <c r="H26" s="6"/>
      <c r="I26" s="34">
        <f t="shared" ref="I26:I27" si="45">IFERROR((S26*E26),"")</f>
        <v>0</v>
      </c>
      <c r="J26" s="78" t="str">
        <f>IFERROR(VLOOKUP(C26,[2]Sheet1!$D:$J,7,0),"")</f>
        <v/>
      </c>
      <c r="K26" s="80" t="str">
        <f t="shared" ref="K26:K27" si="46">IFERROR((I26+J26),"")</f>
        <v/>
      </c>
      <c r="L26" s="7">
        <f t="shared" ref="L26:L27" si="47">IFERROR((G26*H26),"")</f>
        <v>0</v>
      </c>
      <c r="M26" s="8" t="str">
        <f t="shared" ref="M26" si="48">IFERROR(K26-L26,"")</f>
        <v/>
      </c>
      <c r="N26" s="57"/>
      <c r="O26" s="9"/>
      <c r="P26" s="10"/>
      <c r="Q26" s="10"/>
      <c r="R26" s="10"/>
      <c r="S26" s="41">
        <f t="shared" ref="S26:S27" si="49">SUM(Y26,T26:X26)</f>
        <v>0</v>
      </c>
      <c r="Y26" s="1"/>
      <c r="AA26" s="206" t="str">
        <f t="shared" ref="AA26:AA27" si="50">IFERROR(H26*7.5/E26/7,"")</f>
        <v/>
      </c>
    </row>
    <row r="27" spans="1:27" ns3:dyDescent="0.3">
      <c r="A27" s="2"/>
      <c r="B27" s="2"/>
      <c r="C27" s="62" t="s">
        <v>75</v>
      </c>
      <c r="D27" s="166" t="str">
        <f t="shared" si="44"/>
        <v/>
      </c>
      <c r="E27" s="4"/>
      <c r="F27" s="3"/>
      <c r="G27" s="5"/>
      <c r="H27" s="6"/>
      <c r="I27" s="34">
        <f t="shared" si="45"/>
        <v>0</v>
      </c>
      <c r="J27" s="78" t="str">
        <f>IFERROR(VLOOKUP(C27,[2]Sheet1!$D:$J,7,0),"")</f>
        <v/>
      </c>
      <c r="K27" s="80" t="str">
        <f t="shared" si="46"/>
        <v/>
      </c>
      <c r="L27" s="7">
        <f t="shared" si="47"/>
        <v>0</v>
      </c>
      <c r="M27" s="8"/>
      <c r="N27" s="57"/>
      <c r="O27" s="9"/>
      <c r="P27" s="10"/>
      <c r="Q27" s="10"/>
      <c r="R27" s="10"/>
      <c r="S27" s="41">
        <f t="shared" si="49"/>
        <v>0</v>
      </c>
      <c r="Y27" s="1"/>
      <c r="AA27" s="206" t="str">
        <f t="shared" si="50"/>
        <v/>
      </c>
    </row>
    <row r="28" spans="1:27" hidden="1" ns3:dyDescent="0.3">
      <c r="A28" s="11"/>
      <c r="B28" s="134" t="s">
        <v>183</v>
      </c>
      <c r="C28" s="262" t="s">
        <v>315</v>
      </c>
      <c r="D28" s="166" t="str">
        <f>IFERROR((F28/E28),"")</f>
        <v/>
      </c>
      <c r="E28" s="4">
        <v>10</v>
      </c>
      <c r="F28" s="3" t="str">
        <f>IFERROR((L28-K28),"")</f>
        <v/>
      </c>
      <c r="G28" s="5">
        <f>G19</f>
        <v>0</v>
      </c>
      <c r="H28" s="6" t="e">
        <f>ROUNDUP((B29*C29+B30*C30)/50,1)</f>
        <v>#N/A</v>
      </c>
      <c r="I28" s="34">
        <f t="shared" ref="I28:I30" si="51">IFERROR((S28*E28),"")</f>
        <v>0</v>
      </c>
      <c r="J28" s="78" t="str">
        <f>IFERROR(VLOOKUP(C28,[2]Sheet1!$D:$J,7,0),"")</f>
        <v/>
      </c>
      <c r="K28" s="80" t="str">
        <f t="shared" ref="K28:K30" si="52">IFERROR((I28+J28),"")</f>
        <v/>
      </c>
      <c r="L28" s="7" t="str">
        <f t="shared" ref="L28:L30" si="53">IFERROR((G28*H28),"")</f>
        <v/>
      </c>
      <c r="M28" s="8" t="str">
        <f t="shared" ref="M28:M30" si="54">IFERROR(K28-L28,"")</f>
        <v/>
      </c>
      <c r="N28" s="57" t="str">
        <f>IFERROR((K28/H28),"")</f>
        <v/>
      </c>
      <c r="O28" s="9"/>
      <c r="P28" s="10"/>
      <c r="Q28" s="10">
        <v>6300</v>
      </c>
      <c r="R28" s="10">
        <f>O28*P28*Q28</f>
        <v>0</v>
      </c>
      <c r="S28" s="41">
        <f t="shared" ref="S28:S30" si="55">SUM(Y28,T28:X28)</f>
        <v>0</v>
      </c>
      <c r="Y28" s="1"/>
      <c r="Z28" s="1"/>
      <c r="AA28" s="206" t="str">
        <f t="shared" ref="AA28:AA30" si="56">IFERROR(H28*7.5/E28/7,"")</f>
        <v/>
      </c>
    </row>
    <row r="29" spans="1:27" hidden="1" ns3:dyDescent="0.3">
      <c r="A29" s="261" t="s">
        <v>493</v>
      </c>
      <c r="B29" s="11" t="e">
        <f>ROUNDUP(HLOOKUP(A29,'야채 계산기'!$2:$3,2,0)*1.03,0)</f>
        <v>#N/A</v>
      </c>
      <c r="C29" s="164">
        <v>1</v>
      </c>
      <c r="D29" s="166"/>
      <c r="E29" s="4"/>
      <c r="F29" s="3"/>
      <c r="G29" s="5"/>
      <c r="H29" s="6"/>
      <c r="I29" s="34">
        <f t="shared" si="51"/>
        <v>0</v>
      </c>
      <c r="J29" s="78" t="str">
        <f>IFERROR(VLOOKUP(C29,[2]Sheet1!$D:$J,7,0),"")</f>
        <v/>
      </c>
      <c r="K29" s="80" t="str">
        <f t="shared" si="52"/>
        <v/>
      </c>
      <c r="L29" s="7">
        <f t="shared" si="53"/>
        <v>0</v>
      </c>
      <c r="M29" s="8" t="str">
        <f t="shared" si="54"/>
        <v/>
      </c>
      <c r="N29" s="57"/>
      <c r="O29" s="9"/>
      <c r="P29" s="10"/>
      <c r="Q29" s="10"/>
      <c r="R29" s="10"/>
      <c r="S29" s="41">
        <f t="shared" si="55"/>
        <v>0</v>
      </c>
      <c r="Y29" s="1"/>
      <c r="Z29" s="1"/>
      <c r="AA29" s="206" t="str">
        <f t="shared" si="56"/>
        <v/>
      </c>
    </row>
    <row r="30" spans="1:27" hidden="1" ns3:dyDescent="0.3">
      <c r="A30" s="261" t="s">
        <v>494</v>
      </c>
      <c r="B30" s="11">
        <f>ROUNDUP(HLOOKUP(A30,'야채 계산기'!$2:$3,2,0)*1.03,0)</f>
        <v>660</v>
      </c>
      <c r="C30" s="164">
        <v>0.5</v>
      </c>
      <c r="D30" s="166"/>
      <c r="E30" s="4"/>
      <c r="F30" s="3"/>
      <c r="G30" s="5"/>
      <c r="H30" s="6"/>
      <c r="I30" s="34">
        <f t="shared" si="51"/>
        <v>0</v>
      </c>
      <c r="J30" s="78" t="str">
        <f>IFERROR(VLOOKUP(C30,[2]Sheet1!$D:$J,7,0),"")</f>
        <v/>
      </c>
      <c r="K30" s="80" t="str">
        <f t="shared" si="52"/>
        <v/>
      </c>
      <c r="L30" s="7">
        <f t="shared" si="53"/>
        <v>0</v>
      </c>
      <c r="M30" s="8" t="str">
        <f t="shared" si="54"/>
        <v/>
      </c>
      <c r="N30" s="57"/>
      <c r="O30" s="9"/>
      <c r="P30" s="10"/>
      <c r="Q30" s="10"/>
      <c r="R30" s="10"/>
      <c r="S30" s="41">
        <f t="shared" si="55"/>
        <v>0</v>
      </c>
      <c r="Y30" s="1"/>
      <c r="Z30" s="1"/>
      <c r="AA30" s="206" t="str">
        <f t="shared" si="56"/>
        <v/>
      </c>
    </row>
    <row r="31" spans="1:27" ns3:dyDescent="0.3">
      <c r="A31" s="15"/>
      <c r="B31" s="2"/>
      <c r="C31" s="62"/>
      <c r="D31" s="166" t="str">
        <f t="shared" ref="D31:D32" si="57">IFERROR((F31/E31),"")</f>
        <v/>
      </c>
      <c r="E31" s="4"/>
      <c r="F31" s="3"/>
      <c r="G31" s="5"/>
      <c r="H31" s="6"/>
      <c r="I31" s="34">
        <f t="shared" si="27"/>
        <v>0</v>
      </c>
      <c r="J31" s="78" t="str">
        <f>IFERROR(VLOOKUP(C31,[2]Sheet1!$D:$J,7,0),"")</f>
        <v/>
      </c>
      <c r="K31" s="80" t="str">
        <f t="shared" si="28"/>
        <v/>
      </c>
      <c r="L31" s="7">
        <f t="shared" si="29"/>
        <v>0</v>
      </c>
      <c r="M31" s="8" t="str">
        <f t="shared" si="30"/>
        <v/>
      </c>
      <c r="N31" s="57"/>
      <c r="O31" s="9"/>
      <c r="P31" s="10"/>
      <c r="Q31" s="10"/>
      <c r="R31" s="10"/>
      <c r="S31" s="41">
        <f t="shared" si="5"/>
        <v>0</v>
      </c>
      <c r="Y31" s="1"/>
      <c r="AA31" s="206" t="str">
        <f t="shared" si="6"/>
        <v/>
      </c>
    </row>
    <row r="32" spans="1:27" ns3:dyDescent="0.3">
      <c r="A32" s="2"/>
      <c r="B32" s="2"/>
      <c r="C32" s="62" t="s">
        <v>75</v>
      </c>
      <c r="D32" s="166" t="str">
        <f t="shared" si="57"/>
        <v/>
      </c>
      <c r="E32" s="4"/>
      <c r="F32" s="3"/>
      <c r="G32" s="5"/>
      <c r="H32" s="6"/>
      <c r="I32" s="34">
        <f t="shared" si="27"/>
        <v>0</v>
      </c>
      <c r="J32" s="78" t="str">
        <f>IFERROR(VLOOKUP(C32,[2]Sheet1!$D:$J,7,0),"")</f>
        <v/>
      </c>
      <c r="K32" s="80" t="str">
        <f t="shared" si="28"/>
        <v/>
      </c>
      <c r="L32" s="7">
        <f t="shared" si="29"/>
        <v>0</v>
      </c>
      <c r="M32" s="8" t="str">
        <f t="shared" si="30"/>
        <v/>
      </c>
      <c r="N32" s="57"/>
      <c r="O32" s="9"/>
      <c r="P32" s="10"/>
      <c r="Q32" s="10"/>
      <c r="R32" s="10"/>
      <c r="S32" s="41">
        <f t="shared" si="5"/>
        <v>0</v>
      </c>
      <c r="Y32" s="1"/>
      <c r="AA32" s="206" t="str">
        <f t="shared" si="6"/>
        <v/>
      </c>
    </row>
    <row r="33" spans="1:27" ns3:dyDescent="0.3">
      <c r="A33" s="208" t="s">
        <v>363</v>
      </c>
      <c r="B33" s="58" t="s">
        <v>344</v>
      </c>
      <c r="C33" s="154"/>
      <c r="D33" s="166" t="str">
        <f t="shared" ref="D33" si="58">IFERROR((F33/E33),"")</f>
        <v/>
      </c>
      <c r="E33" s="4"/>
      <c r="F33" s="17"/>
      <c r="G33" s="5"/>
      <c r="H33" s="6"/>
      <c r="I33" s="34">
        <f t="shared" ref="I33" si="59">IFERROR((S33*E33),"")</f>
        <v>0</v>
      </c>
      <c r="J33" s="78" t="str">
        <f>IFERROR(VLOOKUP(C33,[2]Sheet1!$D:$J,7,0),"")</f>
        <v/>
      </c>
      <c r="K33" s="80" t="str">
        <f t="shared" ref="K33" si="60">IFERROR((I33+J33),"")</f>
        <v/>
      </c>
      <c r="L33" s="7">
        <f t="shared" ref="L33" si="61">IFERROR((G33*H33),"")</f>
        <v>0</v>
      </c>
      <c r="M33" s="8" t="str">
        <f t="shared" ref="M33" si="62">IFERROR(K33-L33,"")</f>
        <v/>
      </c>
      <c r="N33" s="57" t="str">
        <f>IFERROR((K33/H33),"")</f>
        <v/>
      </c>
      <c r="O33" s="9"/>
      <c r="P33" s="10"/>
      <c r="Q33" s="10"/>
      <c r="R33" s="10">
        <f>O33*P33*Q33</f>
        <v>0</v>
      </c>
      <c r="S33" s="41">
        <f t="shared" si="5"/>
        <v>0</v>
      </c>
      <c r="Y33" s="1"/>
      <c r="AA33" s="206" t="str">
        <f t="shared" si="6"/>
        <v/>
      </c>
    </row>
    <row r="34" spans="1:27" ns3:dyDescent="0.3">
      <c r="A34" s="13"/>
      <c r="B34" s="11"/>
      <c r="C34" s="164" t="s">
        <v>80</v>
      </c>
      <c r="D34" s="166">
        <f>IFERROR((F34/E34),"")</f>
        <v>-52</v>
      </c>
      <c r="E34" s="4">
        <v>1</v>
      </c>
      <c r="F34" s="3">
        <f>IFERROR((L34-K34),"")</f>
        <v>-52</v>
      </c>
      <c r="G34" s="5">
        <v>3.5</v>
      </c>
      <c r="H34" s="6">
        <v>24</v>
      </c>
      <c r="I34" s="34">
        <f t="shared" si="27"/>
        <v>30</v>
      </c>
      <c r="J34" s="78">
        <f>IFERROR(VLOOKUP(C34,[2]Sheet1!$D:$J,7,0),"")</f>
        <v>106</v>
      </c>
      <c r="K34" s="80">
        <f t="shared" si="28"/>
        <v>136</v>
      </c>
      <c r="L34" s="7">
        <f t="shared" si="29"/>
        <v>84</v>
      </c>
      <c r="M34" s="8">
        <f t="shared" si="30"/>
        <v>52</v>
      </c>
      <c r="N34" s="57">
        <f>IFERROR((K34/H34),"")</f>
        <v>5.666666666666667</v>
      </c>
      <c r="O34" s="9"/>
      <c r="P34" s="10"/>
      <c r="Q34" s="10">
        <v>35742</v>
      </c>
      <c r="R34" s="10">
        <f>O34*P34*Q34</f>
        <v>0</v>
      </c>
      <c r="S34" s="41">
        <f t="shared" si="5"/>
        <v>30</v>
      </c>
      <c r="T34" s="173"/>
      <c r="U34" s="183">
        <v>30</v>
      </c>
      <c r="V34" s="173"/>
      <c r="W34" s="173"/>
      <c r="X34" s="173"/>
      <c r="Y34" s="173"/>
      <c r="AA34" s="206">
        <f t="shared" si="6"/>
        <v>25.714285714285715</v>
      </c>
    </row>
    <row r="35" spans="1:27" ns3:dyDescent="0.3">
      <c r="A35" s="16" t="s">
        <v>345</v>
      </c>
      <c r="B35" s="11"/>
      <c r="C35" s="164"/>
      <c r="D35" s="166" t="str">
        <f>IFERROR((F35/E35),"")</f>
        <v/>
      </c>
      <c r="E35" s="4"/>
      <c r="F35" s="3"/>
      <c r="G35" s="5"/>
      <c r="H35" s="6"/>
      <c r="I35" s="34">
        <f>IFERROR((S35*E35),"")</f>
        <v>0</v>
      </c>
      <c r="J35" s="78" t="str">
        <f>IFERROR(VLOOKUP(C35,[2]Sheet1!$D:$J,7,0),"")</f>
        <v/>
      </c>
      <c r="K35" s="80" t="str">
        <f>IFERROR((I35+J35),"")</f>
        <v/>
      </c>
      <c r="L35" s="7">
        <f>IFERROR((G35*H35),"")</f>
        <v>0</v>
      </c>
      <c r="M35" s="8" t="str">
        <f>IFERROR(K35-L35,"")</f>
        <v/>
      </c>
      <c r="N35" s="57" t="str">
        <f>IFERROR((K35/H35),"")</f>
        <v/>
      </c>
      <c r="O35" s="9"/>
      <c r="P35" s="10"/>
      <c r="Q35" s="10"/>
      <c r="R35" s="10">
        <f>O35*P35*Q35</f>
        <v>0</v>
      </c>
      <c r="S35" s="41">
        <f t="shared" si="5"/>
        <v>240000</v>
      </c>
      <c r="T35" s="1">
        <v>40000</v>
      </c>
      <c r="U35" s="1">
        <v>40000</v>
      </c>
      <c r="V35" s="1">
        <v>40000</v>
      </c>
      <c r="W35" s="1">
        <v>40000</v>
      </c>
      <c r="X35" s="1">
        <v>40000</v>
      </c>
      <c r="Y35" s="1">
        <v>40000</v>
      </c>
      <c r="AA35" s="206" t="str">
        <f t="shared" si="6"/>
        <v/>
      </c>
    </row>
    <row r="36" spans="1:27" ns3:dyDescent="0.3">
      <c r="A36" s="11"/>
      <c r="B36" s="11"/>
      <c r="C36" s="164" t="s">
        <v>81</v>
      </c>
      <c r="D36" s="166">
        <f>IFERROR((F36/E36),"")</f>
        <v>158.9</v>
      </c>
      <c r="E36" s="4">
        <v>20</v>
      </c>
      <c r="F36" s="3">
        <f>IFERROR((L36-K36),"")</f>
        <v>3178</v>
      </c>
      <c r="G36" s="5">
        <f>G34</f>
        <v>3.5</v>
      </c>
      <c r="H36" s="6">
        <f>ROUNDUP(SUMPRODUCT(B37:B41, C37:C41)/340,1)</f>
        <v>908</v>
      </c>
      <c r="I36" s="34">
        <f t="shared" ref="I36:I59" si="63">IFERROR((S36*E36),"")</f>
        <v>0</v>
      </c>
      <c r="J36" s="78">
        <f>IFERROR(VLOOKUP(C36,[2]Sheet1!$D:$J,7,0),"")</f>
        <v>0</v>
      </c>
      <c r="K36" s="80">
        <f t="shared" ref="K36:K59" si="64">IFERROR((I36+J36),"")</f>
        <v>0</v>
      </c>
      <c r="L36" s="7">
        <f t="shared" ref="L36:L59" si="65">IFERROR((G36*H36),"")</f>
        <v>3178</v>
      </c>
      <c r="M36" s="8">
        <f t="shared" ref="M36:M59" si="66">IFERROR(K36-L36,"")</f>
        <v>-3178</v>
      </c>
      <c r="N36" s="57">
        <f>IFERROR((K36/H36),"")</f>
        <v>0</v>
      </c>
      <c r="O36" s="9"/>
      <c r="P36" s="10"/>
      <c r="Q36" s="10">
        <v>3150</v>
      </c>
      <c r="R36" s="10">
        <f>O36*P36*Q36</f>
        <v>0</v>
      </c>
      <c r="S36" s="41">
        <f t="shared" si="5"/>
        <v>0</v>
      </c>
      <c r="T36" s="173"/>
      <c r="U36" s="173"/>
      <c r="V36" s="173"/>
      <c r="W36" s="173"/>
      <c r="X36" s="173"/>
      <c r="Y36" s="173"/>
      <c r="AA36" s="206">
        <f t="shared" si="6"/>
        <v>48.642857142857146</v>
      </c>
    </row>
    <row r="37" spans="1:27" ns3:dyDescent="0.3">
      <c r="A37" s="13" t="s">
        <v>297</v>
      </c>
      <c r="B37" s="11">
        <f>ROUNDUP(HLOOKUP(A37,'야채 계산기'!$2:$3,2,0),0)</f>
        <v>4900</v>
      </c>
      <c r="C37" s="164">
        <v>18.760000000000002</v>
      </c>
      <c r="D37" s="166" t="str">
        <f>IFERROR((F37/E37),"")</f>
        <v/>
      </c>
      <c r="E37" s="4"/>
      <c r="F37" s="3"/>
      <c r="G37" s="5"/>
      <c r="H37" s="6"/>
      <c r="I37" s="34">
        <f>IFERROR((S37*E37),"")</f>
        <v>0</v>
      </c>
      <c r="J37" s="78" t="str">
        <f>IFERROR(VLOOKUP(C37,[2]Sheet1!$D:$J,7,0),"")</f>
        <v/>
      </c>
      <c r="K37" s="80" t="str">
        <f>IFERROR((I37+J37),"")</f>
        <v/>
      </c>
      <c r="L37" s="7">
        <f>IFERROR((G37*H37),"")</f>
        <v>0</v>
      </c>
      <c r="M37" s="8" t="str">
        <f>IFERROR(K37-L37,"")</f>
        <v/>
      </c>
      <c r="N37" s="57" t="str">
        <f>IFERROR((K37/H37),"")</f>
        <v/>
      </c>
      <c r="O37" s="9"/>
      <c r="P37" s="10"/>
      <c r="Q37" s="10"/>
      <c r="R37" s="10"/>
      <c r="S37" s="41">
        <f t="shared" si="5"/>
        <v>0</v>
      </c>
      <c r="Y37" s="1"/>
      <c r="AA37" s="206" t="str">
        <f t="shared" si="6"/>
        <v/>
      </c>
    </row>
    <row r="38" spans="1:27" ns3:dyDescent="0.3">
      <c r="A38" s="11" t="s">
        <v>302</v>
      </c>
      <c r="B38" s="11">
        <f>ROUNDUP(HLOOKUP(A38,'야채 계산기'!$2:$3,2,0),0)</f>
        <v>6030</v>
      </c>
      <c r="C38" s="164">
        <v>19</v>
      </c>
      <c r="D38" s="166"/>
      <c r="E38" s="4"/>
      <c r="F38" s="3"/>
      <c r="G38" s="5"/>
      <c r="H38" s="6"/>
      <c r="I38" s="34">
        <f t="shared" si="63"/>
        <v>0</v>
      </c>
      <c r="J38" s="78" t="str">
        <f>IFERROR(VLOOKUP(C38,[2]Sheet1!$D:$J,7,0),"")</f>
        <v/>
      </c>
      <c r="K38" s="80" t="str">
        <f t="shared" si="64"/>
        <v/>
      </c>
      <c r="L38" s="7">
        <f t="shared" si="65"/>
        <v>0</v>
      </c>
      <c r="M38" s="8" t="str">
        <f t="shared" si="66"/>
        <v/>
      </c>
      <c r="N38" s="57"/>
      <c r="O38" s="9"/>
      <c r="P38" s="10"/>
      <c r="Q38" s="10"/>
      <c r="R38" s="10"/>
      <c r="S38" s="41">
        <f t="shared" si="5"/>
        <v>0</v>
      </c>
      <c r="Y38" s="1"/>
      <c r="AA38" s="206" t="str">
        <f t="shared" si="6"/>
        <v/>
      </c>
    </row>
    <row r="39" spans="1:27" ns3:dyDescent="0.3">
      <c r="A39" s="11" t="s">
        <v>443</v>
      </c>
      <c r="B39" s="11">
        <f>ROUNDUP(HLOOKUP(A39,'야채 계산기'!$2:$3,2,0),0)</f>
        <v>1340</v>
      </c>
      <c r="C39" s="164">
        <v>32.1</v>
      </c>
      <c r="D39" s="166"/>
      <c r="E39" s="4"/>
      <c r="F39" s="3"/>
      <c r="G39" s="5"/>
      <c r="H39" s="6"/>
      <c r="I39" s="34">
        <f t="shared" ref="I39:I40" si="67">IFERROR((S39*E39),"")</f>
        <v>0</v>
      </c>
      <c r="J39" s="78" t="str">
        <f>IFERROR(VLOOKUP(C39,[2]Sheet1!$D:$J,7,0),"")</f>
        <v/>
      </c>
      <c r="K39" s="80" t="str">
        <f t="shared" ref="K39:K40" si="68">IFERROR((I39+J39),"")</f>
        <v/>
      </c>
      <c r="L39" s="7">
        <f t="shared" ref="L39:L40" si="69">IFERROR((G39*H39),"")</f>
        <v>0</v>
      </c>
      <c r="M39" s="8" t="str">
        <f t="shared" ref="M39:M40" si="70">IFERROR(K39-L39,"")</f>
        <v/>
      </c>
      <c r="N39" s="57"/>
      <c r="O39" s="9"/>
      <c r="P39" s="10"/>
      <c r="Q39" s="10"/>
      <c r="R39" s="10"/>
      <c r="S39" s="41">
        <f t="shared" si="5"/>
        <v>0</v>
      </c>
      <c r="Y39" s="1"/>
      <c r="AA39" s="206" t="str">
        <f t="shared" si="6"/>
        <v/>
      </c>
    </row>
    <row r="40" spans="1:27" ns3:dyDescent="0.3">
      <c r="A40" s="11" t="s">
        <v>489</v>
      </c>
      <c r="B40" s="11">
        <f>ROUNDUP(HLOOKUP(A40,'야채 계산기'!$2:$3,2,0),0)</f>
        <v>2090</v>
      </c>
      <c r="C40" s="164">
        <f>'[1]스팸무스비(25.8.26)'!$B$11</f>
        <v>28.33</v>
      </c>
      <c r="D40" s="166"/>
      <c r="E40" s="4"/>
      <c r="F40" s="3"/>
      <c r="G40" s="5"/>
      <c r="H40" s="6"/>
      <c r="I40" s="34">
        <f t="shared" si="67"/>
        <v>0</v>
      </c>
      <c r="J40" s="78" t="str">
        <f>IFERROR(VLOOKUP(C40,[2]Sheet1!$D:$J,7,0),"")</f>
        <v/>
      </c>
      <c r="K40" s="80" t="str">
        <f t="shared" si="68"/>
        <v/>
      </c>
      <c r="L40" s="7">
        <f t="shared" si="69"/>
        <v>0</v>
      </c>
      <c r="M40" s="8" t="str">
        <f t="shared" si="70"/>
        <v/>
      </c>
      <c r="N40" s="57"/>
      <c r="O40" s="9"/>
      <c r="P40" s="10"/>
      <c r="Q40" s="10"/>
      <c r="R40" s="10"/>
      <c r="S40" s="41">
        <f t="shared" ref="S40" si="71">SUM(Y40,T40:X40)</f>
        <v>0</v>
      </c>
      <c r="Y40" s="1"/>
      <c r="AA40" s="206" t="str">
        <f t="shared" ref="AA40" si="72">IFERROR(H40*7.5/E40/7,"")</f>
        <v/>
      </c>
    </row>
    <row r="41" spans="1:27" ns3:dyDescent="0.3">
      <c r="A41" s="11"/>
      <c r="B41" s="11"/>
      <c r="C41" s="164"/>
      <c r="D41" s="166"/>
      <c r="E41" s="4"/>
      <c r="F41" s="3"/>
      <c r="G41" s="5"/>
      <c r="H41" s="6"/>
      <c r="I41" s="34">
        <f t="shared" si="63"/>
        <v>0</v>
      </c>
      <c r="J41" s="78" t="str">
        <f>IFERROR(VLOOKUP(C41,[2]Sheet1!$D:$J,7,0),"")</f>
        <v/>
      </c>
      <c r="K41" s="80" t="str">
        <f t="shared" si="64"/>
        <v/>
      </c>
      <c r="L41" s="7">
        <f t="shared" si="65"/>
        <v>0</v>
      </c>
      <c r="M41" s="8" t="str">
        <f t="shared" si="66"/>
        <v/>
      </c>
      <c r="N41" s="57"/>
      <c r="O41" s="9"/>
      <c r="P41" s="10"/>
      <c r="Q41" s="10"/>
      <c r="R41" s="10"/>
      <c r="S41" s="41">
        <f t="shared" si="5"/>
        <v>0</v>
      </c>
      <c r="Y41" s="1"/>
      <c r="AA41" s="206" t="str">
        <f t="shared" si="6"/>
        <v/>
      </c>
    </row>
    <row r="42" spans="1:27" ht="18" customHeight="1" ns3:dyDescent="0.3">
      <c r="A42" s="11"/>
      <c r="B42" s="11"/>
      <c r="C42" s="164" t="s">
        <v>82</v>
      </c>
      <c r="D42" s="166">
        <f>IFERROR((F42/E42),"")</f>
        <v>3.5</v>
      </c>
      <c r="E42" s="4">
        <v>6</v>
      </c>
      <c r="F42" s="3">
        <f>IFERROR((L42-K42),"")</f>
        <v>21</v>
      </c>
      <c r="G42" s="5">
        <f>G34</f>
        <v>3.5</v>
      </c>
      <c r="H42" s="39">
        <f>ROUNDUP(SUMPRODUCT(B43:B54, C43:C54)/3000,1)</f>
        <v>6</v>
      </c>
      <c r="I42" s="34">
        <f t="shared" si="63"/>
        <v>0</v>
      </c>
      <c r="J42" s="78">
        <f>IFERROR(VLOOKUP(C42,[2]Sheet1!$D:$J,7,0),"")</f>
        <v>0</v>
      </c>
      <c r="K42" s="80">
        <f t="shared" si="64"/>
        <v>0</v>
      </c>
      <c r="L42" s="7">
        <f t="shared" si="65"/>
        <v>21</v>
      </c>
      <c r="M42" s="8">
        <f t="shared" si="66"/>
        <v>-21</v>
      </c>
      <c r="N42" s="57">
        <f>IFERROR((K42/H42),"")</f>
        <v>0</v>
      </c>
      <c r="O42" s="9"/>
      <c r="P42" s="10"/>
      <c r="Q42" s="10">
        <v>4929</v>
      </c>
      <c r="R42" s="10">
        <f>O42*P42*Q42</f>
        <v>0</v>
      </c>
      <c r="S42" s="41">
        <f t="shared" si="5"/>
        <v>0</v>
      </c>
      <c r="T42" s="173"/>
      <c r="U42" s="173"/>
      <c r="V42" s="173"/>
      <c r="W42" s="173"/>
      <c r="X42" s="173"/>
      <c r="Y42" s="173"/>
      <c r="AA42" s="206">
        <f t="shared" si="6"/>
        <v>1.0714285714285714</v>
      </c>
    </row>
    <row r="43" spans="1:27" ns3:dyDescent="0.3">
      <c r="A43" s="13" t="s">
        <v>78</v>
      </c>
      <c r="B43" s="11">
        <f>ROUNDUP(HLOOKUP(A43,'야채 계산기'!$2:$3,2,0),0)</f>
        <v>3150</v>
      </c>
      <c r="C43" s="164">
        <v>0.81</v>
      </c>
      <c r="D43" s="166"/>
      <c r="E43" s="4"/>
      <c r="F43" s="3"/>
      <c r="G43" s="5"/>
      <c r="H43" s="6"/>
      <c r="I43" s="34">
        <f t="shared" si="63"/>
        <v>0</v>
      </c>
      <c r="J43" s="78" t="str">
        <f>IFERROR(VLOOKUP(C43,[2]Sheet1!$D:$J,7,0),"")</f>
        <v/>
      </c>
      <c r="K43" s="80"/>
      <c r="L43" s="7">
        <f t="shared" si="65"/>
        <v>0</v>
      </c>
      <c r="M43" s="8"/>
      <c r="N43" s="57"/>
      <c r="O43" s="9"/>
      <c r="P43" s="10"/>
      <c r="Q43" s="10"/>
      <c r="R43" s="10"/>
      <c r="S43" s="41">
        <f t="shared" si="5"/>
        <v>0</v>
      </c>
      <c r="Y43" s="42"/>
      <c r="Z43" s="1"/>
      <c r="AA43" s="206" t="str">
        <f t="shared" si="6"/>
        <v/>
      </c>
    </row>
    <row r="44" spans="1:27" hidden="1" ns3:dyDescent="0.3">
      <c r="A44" s="11" t="s">
        <v>174</v>
      </c>
      <c r="B44" s="11">
        <f>ROUNDUP(HLOOKUP(A44,'야채 계산기'!$2:$3,2,0),0)</f>
        <v>170</v>
      </c>
      <c r="C44" s="164">
        <v>3.05</v>
      </c>
      <c r="D44" s="166"/>
      <c r="E44" s="4"/>
      <c r="F44" s="3"/>
      <c r="G44" s="5"/>
      <c r="H44" s="6"/>
      <c r="I44" s="34">
        <f t="shared" si="63"/>
        <v>0</v>
      </c>
      <c r="J44" s="78" t="str">
        <f>IFERROR(VLOOKUP(C44,[2]Sheet1!$D:$J,7,0),"")</f>
        <v/>
      </c>
      <c r="K44" s="80" t="str">
        <f t="shared" si="64"/>
        <v/>
      </c>
      <c r="L44" s="7">
        <f t="shared" si="65"/>
        <v>0</v>
      </c>
      <c r="M44" s="8" t="str">
        <f t="shared" si="66"/>
        <v/>
      </c>
      <c r="N44" s="57"/>
      <c r="O44" s="9"/>
      <c r="P44" s="10"/>
      <c r="Q44" s="10"/>
      <c r="R44" s="10"/>
      <c r="S44" s="41">
        <f t="shared" si="5"/>
        <v>0</v>
      </c>
      <c r="W44" s="190"/>
      <c r="X44" s="190"/>
      <c r="Y44" s="42"/>
      <c r="Z44" s="1"/>
      <c r="AA44" s="206" t="str">
        <f t="shared" si="6"/>
        <v/>
      </c>
    </row>
    <row r="45" spans="1:27" hidden="1" ns3:dyDescent="0.3">
      <c r="A45" s="11" t="s">
        <v>489</v>
      </c>
      <c r="B45" s="11">
        <f>ROUNDUP(HLOOKUP(A45,'야채 계산기'!$2:$3,2,0),0)</f>
        <v>2090</v>
      </c>
      <c r="C45" s="62">
        <f>'[1]스팸무스비(25.8.26)'!$B$8</f>
        <v>0.65</v>
      </c>
      <c r="D45" s="166"/>
      <c r="E45" s="4"/>
      <c r="F45" s="3"/>
      <c r="G45" s="5"/>
      <c r="H45" s="6"/>
      <c r="I45" s="34">
        <f t="shared" si="63"/>
        <v>0</v>
      </c>
      <c r="J45" s="78" t="str">
        <f>IFERROR(VLOOKUP(C45,[2]Sheet1!$D:$J,7,0),"")</f>
        <v/>
      </c>
      <c r="K45" s="80" t="str">
        <f t="shared" si="64"/>
        <v/>
      </c>
      <c r="L45" s="7">
        <f t="shared" si="65"/>
        <v>0</v>
      </c>
      <c r="M45" s="8" t="str">
        <f t="shared" si="66"/>
        <v/>
      </c>
      <c r="N45" s="57"/>
      <c r="O45" s="9"/>
      <c r="P45" s="10"/>
      <c r="Q45" s="10"/>
      <c r="R45" s="10"/>
      <c r="S45" s="41">
        <f t="shared" si="5"/>
        <v>0</v>
      </c>
      <c r="W45" s="190"/>
      <c r="X45" s="190"/>
      <c r="Y45" s="42"/>
      <c r="Z45" s="1"/>
      <c r="AA45" s="206" t="str">
        <f t="shared" si="6"/>
        <v/>
      </c>
    </row>
    <row r="46" spans="1:27" hidden="1" ns3:dyDescent="0.3">
      <c r="A46" s="11" t="s">
        <v>302</v>
      </c>
      <c r="B46" s="11">
        <f>ROUNDUP(HLOOKUP(A46,'야채 계산기'!$2:$3,2,0),0)</f>
        <v>6030</v>
      </c>
      <c r="C46" s="62">
        <v>0.63</v>
      </c>
      <c r="D46" s="166"/>
      <c r="E46" s="4"/>
      <c r="F46" s="3"/>
      <c r="G46" s="5"/>
      <c r="H46" s="6"/>
      <c r="I46" s="34">
        <f>IFERROR((S46*E46),"")</f>
        <v>0</v>
      </c>
      <c r="J46" s="78" t="str">
        <f>IFERROR(VLOOKUP(C46,[2]Sheet1!$D:$J,7,0),"")</f>
        <v/>
      </c>
      <c r="K46" s="80" t="str">
        <f>IFERROR((I46+J46),"")</f>
        <v/>
      </c>
      <c r="L46" s="7">
        <f>IFERROR((G46*H46),"")</f>
        <v>0</v>
      </c>
      <c r="M46" s="8" t="str">
        <f>IFERROR(K46-L46,"")</f>
        <v/>
      </c>
      <c r="N46" s="57"/>
      <c r="O46" s="9"/>
      <c r="P46" s="10"/>
      <c r="Q46" s="10"/>
      <c r="R46" s="10"/>
      <c r="S46" s="41">
        <f t="shared" si="5"/>
        <v>0</v>
      </c>
      <c r="W46" s="190"/>
      <c r="X46" s="190"/>
      <c r="Y46" s="42"/>
      <c r="Z46" s="1"/>
      <c r="AA46" s="206" t="str">
        <f t="shared" si="6"/>
        <v/>
      </c>
    </row>
    <row r="47" spans="1:27" hidden="1" ns3:dyDescent="0.3">
      <c r="A47" s="11" t="s">
        <v>297</v>
      </c>
      <c r="B47" s="11">
        <f>ROUNDUP(HLOOKUP(A47,'야채 계산기'!$2:$3,2,0),0)</f>
        <v>4900</v>
      </c>
      <c r="C47" s="62">
        <v>0.79</v>
      </c>
      <c r="D47" s="166"/>
      <c r="E47" s="4"/>
      <c r="F47" s="3"/>
      <c r="G47" s="5"/>
      <c r="H47" s="6"/>
      <c r="I47" s="34">
        <f t="shared" si="63"/>
        <v>0</v>
      </c>
      <c r="J47" s="78" t="str">
        <f>IFERROR(VLOOKUP(C47,[2]Sheet1!$D:$J,7,0),"")</f>
        <v/>
      </c>
      <c r="K47" s="80" t="str">
        <f t="shared" si="64"/>
        <v/>
      </c>
      <c r="L47" s="7">
        <f t="shared" si="65"/>
        <v>0</v>
      </c>
      <c r="M47" s="8" t="str">
        <f t="shared" si="66"/>
        <v/>
      </c>
      <c r="N47" s="57"/>
      <c r="O47" s="9"/>
      <c r="P47" s="10"/>
      <c r="Q47" s="10"/>
      <c r="R47" s="10"/>
      <c r="S47" s="41">
        <f t="shared" si="5"/>
        <v>0</v>
      </c>
      <c r="W47" s="190"/>
      <c r="X47" s="190"/>
      <c r="Y47" s="42"/>
      <c r="Z47" s="1"/>
      <c r="AA47" s="206" t="str">
        <f t="shared" si="6"/>
        <v/>
      </c>
    </row>
    <row r="48" spans="1:27" hidden="1" ns3:dyDescent="0.3">
      <c r="A48" s="11" t="s">
        <v>189</v>
      </c>
      <c r="B48" s="11">
        <f>ROUNDUP(HLOOKUP(A48,'야채 계산기'!$2:$3,2,0),0)</f>
        <v>140</v>
      </c>
      <c r="C48" s="62">
        <f>'[1]착한김치김밥(250612)슈퍼'!$B$11</f>
        <v>3.13</v>
      </c>
      <c r="D48" s="166"/>
      <c r="E48" s="4"/>
      <c r="F48" s="3"/>
      <c r="G48" s="5"/>
      <c r="H48" s="6"/>
      <c r="I48" s="34">
        <f>IFERROR((S48*E48),"")</f>
        <v>0</v>
      </c>
      <c r="J48" s="78" t="str">
        <f>IFERROR(VLOOKUP(C48,[2]Sheet1!$D:$J,7,0),"")</f>
        <v/>
      </c>
      <c r="K48" s="80" t="str">
        <f>IFERROR((I48+J48),"")</f>
        <v/>
      </c>
      <c r="L48" s="7">
        <f>IFERROR((G48*H48),"")</f>
        <v>0</v>
      </c>
      <c r="M48" s="8" t="str">
        <f>IFERROR(K48-L48,"")</f>
        <v/>
      </c>
      <c r="N48" s="57"/>
      <c r="O48" s="9"/>
      <c r="P48" s="10"/>
      <c r="Q48" s="10"/>
      <c r="R48" s="10"/>
      <c r="S48" s="41">
        <f t="shared" si="5"/>
        <v>0</v>
      </c>
      <c r="W48" s="190"/>
      <c r="X48" s="190"/>
      <c r="Y48" s="42"/>
      <c r="AA48" s="206" t="str">
        <f t="shared" si="6"/>
        <v/>
      </c>
    </row>
    <row r="49" spans="1:27" hidden="1" ns3:dyDescent="0.3">
      <c r="A49" s="11" t="s">
        <v>300</v>
      </c>
      <c r="B49" s="11">
        <f>ROUNDUP(HLOOKUP(A49,'야채 계산기'!$2:$3,2,0),0)</f>
        <v>30</v>
      </c>
      <c r="C49" s="62">
        <v>2.63</v>
      </c>
      <c r="D49" s="166"/>
      <c r="E49" s="4"/>
      <c r="F49" s="3"/>
      <c r="G49" s="5"/>
      <c r="H49" s="6"/>
      <c r="I49" s="34">
        <f t="shared" si="63"/>
        <v>0</v>
      </c>
      <c r="J49" s="78" t="str">
        <f>IFERROR(VLOOKUP(C49,[2]Sheet1!$D:$J,7,0),"")</f>
        <v/>
      </c>
      <c r="K49" s="80" t="str">
        <f t="shared" si="64"/>
        <v/>
      </c>
      <c r="L49" s="7">
        <f t="shared" si="65"/>
        <v>0</v>
      </c>
      <c r="M49" s="8" t="str">
        <f t="shared" si="66"/>
        <v/>
      </c>
      <c r="N49" s="57"/>
      <c r="O49" s="9"/>
      <c r="P49" s="10"/>
      <c r="Q49" s="10"/>
      <c r="R49" s="10"/>
      <c r="S49" s="41">
        <f t="shared" si="5"/>
        <v>0</v>
      </c>
      <c r="W49" s="190"/>
      <c r="X49" s="190"/>
      <c r="Y49" s="42"/>
      <c r="AA49" s="206" t="str">
        <f t="shared" si="6"/>
        <v/>
      </c>
    </row>
    <row r="50" spans="1:27" hidden="1" ns3:dyDescent="0.3">
      <c r="A50" s="11" t="s">
        <v>303</v>
      </c>
      <c r="B50" s="11">
        <f>ROUNDUP(HLOOKUP(A50,'야채 계산기'!$2:$3,2,0),0)</f>
        <v>3620</v>
      </c>
      <c r="C50" s="62">
        <v>0.13</v>
      </c>
      <c r="D50" s="166"/>
      <c r="E50" s="4"/>
      <c r="F50" s="3"/>
      <c r="G50" s="5"/>
      <c r="H50" s="6"/>
      <c r="I50" s="34">
        <f>IFERROR((S50*E50),"")</f>
        <v>0</v>
      </c>
      <c r="J50" s="78" t="str">
        <f>IFERROR(VLOOKUP(C50,[2]Sheet1!$D:$J,7,0),"")</f>
        <v/>
      </c>
      <c r="K50" s="80" t="str">
        <f>IFERROR((I50+J50),"")</f>
        <v/>
      </c>
      <c r="L50" s="7">
        <f>IFERROR((G50*H50),"")</f>
        <v>0</v>
      </c>
      <c r="M50" s="8" t="str">
        <f>IFERROR(K50-L50,"")</f>
        <v/>
      </c>
      <c r="N50" s="57"/>
      <c r="O50" s="9"/>
      <c r="P50" s="10"/>
      <c r="Q50" s="10"/>
      <c r="R50" s="10"/>
      <c r="S50" s="41">
        <f t="shared" si="5"/>
        <v>0</v>
      </c>
      <c r="W50" s="190"/>
      <c r="X50" s="190"/>
      <c r="Y50" s="42"/>
      <c r="Z50" s="1">
        <v>1</v>
      </c>
      <c r="AA50" s="206" t="str">
        <f t="shared" si="6"/>
        <v/>
      </c>
    </row>
    <row r="51" spans="1:27" hidden="1" ns3:dyDescent="0.3">
      <c r="A51" s="11" t="s">
        <v>491</v>
      </c>
      <c r="B51" s="11">
        <f>ROUNDUP(HLOOKUP(A51,'야채 계산기'!$2:$3,2,0),0)</f>
        <v>4420</v>
      </c>
      <c r="C51" s="62">
        <f>'[1]풀)들기름묵은지참치마요(25.10.14)'!$B$10</f>
        <v>0.08</v>
      </c>
      <c r="D51" s="166"/>
      <c r="E51" s="4"/>
      <c r="F51" s="3"/>
      <c r="G51" s="5"/>
      <c r="H51" s="6"/>
      <c r="I51" s="34">
        <f t="shared" si="63"/>
        <v>0</v>
      </c>
      <c r="J51" s="78" t="str">
        <f>IFERROR(VLOOKUP(C51,[2]Sheet1!$D:$J,7,0),"")</f>
        <v/>
      </c>
      <c r="K51" s="80" t="str">
        <f t="shared" si="64"/>
        <v/>
      </c>
      <c r="L51" s="7">
        <f t="shared" si="65"/>
        <v>0</v>
      </c>
      <c r="M51" s="8" t="str">
        <f t="shared" si="66"/>
        <v/>
      </c>
      <c r="N51" s="57"/>
      <c r="O51" s="9"/>
      <c r="P51" s="10"/>
      <c r="Q51" s="10"/>
      <c r="R51" s="10"/>
      <c r="S51" s="41">
        <f t="shared" si="5"/>
        <v>0</v>
      </c>
      <c r="W51" s="190"/>
      <c r="X51" s="190"/>
      <c r="Y51" s="42"/>
      <c r="Z51" s="1"/>
      <c r="AA51" s="206">
        <v>5</v>
      </c>
    </row>
    <row r="52" spans="1:27" hidden="1" ns3:dyDescent="0.3">
      <c r="A52" s="11" t="s">
        <v>256</v>
      </c>
      <c r="B52" s="11">
        <f>ROUNDUP(HLOOKUP(A52,'야채 계산기'!$2:$3,2,0),0)</f>
        <v>2840</v>
      </c>
      <c r="C52" s="164">
        <v>1.19</v>
      </c>
      <c r="D52" s="166"/>
      <c r="E52" s="4"/>
      <c r="F52" s="3"/>
      <c r="G52" s="5"/>
      <c r="H52" s="39"/>
      <c r="I52" s="34">
        <f>IFERROR((S52*E52),"")</f>
        <v>0</v>
      </c>
      <c r="J52" s="78" t="str">
        <f>IFERROR(VLOOKUP(C52,[2]Sheet1!$D:$J,7,0),"")</f>
        <v/>
      </c>
      <c r="K52" s="80" t="str">
        <f>IFERROR((I52+J52),"")</f>
        <v/>
      </c>
      <c r="L52" s="7">
        <f>IFERROR((G52*H52),"")</f>
        <v>0</v>
      </c>
      <c r="M52" s="8" t="str">
        <f>IFERROR(K52-L52,"")</f>
        <v/>
      </c>
      <c r="N52" s="57" t="str">
        <f>IFERROR((K52/H52),"")</f>
        <v/>
      </c>
      <c r="O52" s="9"/>
      <c r="P52" s="10"/>
      <c r="Q52" s="10"/>
      <c r="R52" s="10"/>
      <c r="S52" s="41">
        <f t="shared" si="5"/>
        <v>0</v>
      </c>
      <c r="T52" s="169"/>
      <c r="U52" s="169"/>
      <c r="V52" s="169"/>
      <c r="W52" s="190"/>
      <c r="X52" s="190"/>
      <c r="Y52" s="42"/>
      <c r="Z52" s="1"/>
      <c r="AA52" s="206" t="str">
        <f t="shared" ref="AA52:AA84" si="73">IFERROR(H52*7.5/E52/7,"")</f>
        <v/>
      </c>
    </row>
    <row r="53" spans="1:27" hidden="1" ns3:dyDescent="0.3">
      <c r="A53" s="11" t="s">
        <v>443</v>
      </c>
      <c r="B53" s="11">
        <f>ROUNDUP(HLOOKUP(A53,'야채 계산기'!$2:$3,2,0),0)</f>
        <v>1340</v>
      </c>
      <c r="C53" s="164">
        <v>0.34</v>
      </c>
      <c r="D53" s="166"/>
      <c r="E53" s="4"/>
      <c r="F53" s="3"/>
      <c r="G53" s="5"/>
      <c r="H53" s="39"/>
      <c r="I53" s="34">
        <f>IFERROR((S53*E53),"")</f>
        <v>0</v>
      </c>
      <c r="J53" s="78" t="str">
        <f>IFERROR(VLOOKUP(C53,[2]Sheet1!$D:$J,7,0),"")</f>
        <v/>
      </c>
      <c r="K53" s="80" t="str">
        <f>IFERROR((I53+J53),"")</f>
        <v/>
      </c>
      <c r="L53" s="7">
        <f>IFERROR((G53*H53),"")</f>
        <v>0</v>
      </c>
      <c r="M53" s="8" t="str">
        <f>IFERROR(K53-L53,"")</f>
        <v/>
      </c>
      <c r="N53" s="57" t="str">
        <f>IFERROR((K53/H53),"")</f>
        <v/>
      </c>
      <c r="O53" s="9"/>
      <c r="P53" s="10"/>
      <c r="Q53" s="10"/>
      <c r="R53" s="10"/>
      <c r="S53" s="41">
        <f t="shared" si="5"/>
        <v>0</v>
      </c>
      <c r="T53" s="169"/>
      <c r="U53" s="169"/>
      <c r="V53" s="169"/>
      <c r="W53" s="190"/>
      <c r="X53" s="190"/>
      <c r="Y53" s="42"/>
      <c r="Z53" s="1"/>
      <c r="AA53" s="206" t="str">
        <f t="shared" si="73"/>
        <v/>
      </c>
    </row>
    <row r="54" spans="1:27" ns3:dyDescent="0.3">
      <c r="A54" s="13" t="s">
        <v>563</v>
      </c>
      <c r="B54" s="11">
        <f>ROUNDUP(HLOOKUP(A54,'야채 계산기'!$2:$3,2,0),0)</f>
        <v>1780</v>
      </c>
      <c r="C54" s="164">
        <v>0.4</v>
      </c>
      <c r="D54" s="166"/>
      <c r="E54" s="4"/>
      <c r="F54" s="3"/>
      <c r="G54" s="5"/>
      <c r="H54" s="39"/>
      <c r="I54" s="34">
        <f>IFERROR((S54*E54),"")</f>
        <v>0</v>
      </c>
      <c r="J54" s="78" t="str">
        <f>IFERROR(VLOOKUP(C54,[2]Sheet1!$D:$J,7,0),"")</f>
        <v/>
      </c>
      <c r="K54" s="80" t="str">
        <f>IFERROR((I54+J54),"")</f>
        <v/>
      </c>
      <c r="L54" s="7">
        <f>IFERROR((G54*H54),"")</f>
        <v>0</v>
      </c>
      <c r="M54" s="8" t="str">
        <f>IFERROR(K54-L54,"")</f>
        <v/>
      </c>
      <c r="N54" s="57" t="str">
        <f>IFERROR((K54/H54),"")</f>
        <v/>
      </c>
      <c r="O54" s="9"/>
      <c r="P54" s="10"/>
      <c r="Q54" s="10"/>
      <c r="R54" s="10"/>
      <c r="S54" s="41">
        <f t="shared" ref="S54" si="74">SUM(Y54,T54:X54)</f>
        <v>0</v>
      </c>
      <c r="T54" s="169"/>
      <c r="U54" s="169"/>
      <c r="V54" s="169"/>
      <c r="W54" s="190"/>
      <c r="X54" s="190"/>
      <c r="Y54" s="42"/>
      <c r="Z54" s="1"/>
      <c r="AA54" s="206" t="str">
        <f t="shared" ref="AA54" si="75">IFERROR(H54*7.5/E54/7,"")</f>
        <v/>
      </c>
    </row>
    <row r="55" spans="1:27" ns3:dyDescent="0.3">
      <c r="A55" s="11"/>
      <c r="B55" s="11"/>
      <c r="C55" s="62" t="s">
        <v>316</v>
      </c>
      <c r="D55" s="166">
        <f>IFERROR((F55/E55),"")</f>
        <v>7.1820000000000004</v>
      </c>
      <c r="E55" s="4">
        <v>1</v>
      </c>
      <c r="F55" s="3">
        <f>IFERROR((L55-K55),"")</f>
        <v>7.1820000000000004</v>
      </c>
      <c r="G55" s="5">
        <f>G34</f>
        <v>3.5</v>
      </c>
      <c r="H55" s="39">
        <f>ROUNDUP(SUMPRODUCT(B56:B57,C56:C57)/10000,3)</f>
        <v>2.052</v>
      </c>
      <c r="I55" s="34">
        <f t="shared" si="63"/>
        <v>0</v>
      </c>
      <c r="J55" s="78">
        <f>IFERROR(VLOOKUP(C55,[2]Sheet1!$D:$J,7,0),"")</f>
        <v>0</v>
      </c>
      <c r="K55" s="80">
        <f t="shared" si="64"/>
        <v>0</v>
      </c>
      <c r="L55" s="7">
        <f t="shared" si="65"/>
        <v>7.1820000000000004</v>
      </c>
      <c r="M55" s="8">
        <f t="shared" si="66"/>
        <v>-7.1820000000000004</v>
      </c>
      <c r="N55" s="57">
        <f>IFERROR((K55/H55),"")</f>
        <v>0</v>
      </c>
      <c r="O55" s="9"/>
      <c r="P55" s="10"/>
      <c r="Q55" s="10">
        <v>23000</v>
      </c>
      <c r="R55" s="10">
        <f>O55*P55*Q55</f>
        <v>0</v>
      </c>
      <c r="S55" s="41">
        <f t="shared" si="5"/>
        <v>0</v>
      </c>
      <c r="T55" s="173"/>
      <c r="U55" s="183"/>
      <c r="V55" s="183"/>
      <c r="W55" s="173"/>
      <c r="X55" s="173"/>
      <c r="Y55" s="173"/>
      <c r="Z55" s="1"/>
      <c r="AA55" s="206">
        <f t="shared" si="73"/>
        <v>2.1985714285714288</v>
      </c>
    </row>
    <row r="56" spans="1:27" ns3:dyDescent="0.3">
      <c r="A56" s="60" t="s">
        <v>570</v>
      </c>
      <c r="B56" s="11">
        <f>ROUNDUP(HLOOKUP(A56,'야채 계산기'!$2:$3,2,0)*1.03,0)</f>
        <v>835</v>
      </c>
      <c r="C56" s="62">
        <v>16.03</v>
      </c>
      <c r="D56" s="166"/>
      <c r="E56" s="4"/>
      <c r="F56" s="3"/>
      <c r="G56" s="5"/>
      <c r="H56" s="6"/>
      <c r="I56" s="34">
        <f t="shared" ref="I56" si="76">IFERROR((S56*E56),"")</f>
        <v>0</v>
      </c>
      <c r="J56" s="78" t="str">
        <f>IFERROR(VLOOKUP(C56,[2]Sheet1!$D:$J,7,0),"")</f>
        <v/>
      </c>
      <c r="K56" s="80" t="str">
        <f t="shared" ref="K56" si="77">IFERROR((I56+J56),"")</f>
        <v/>
      </c>
      <c r="L56" s="7">
        <f t="shared" ref="L56" si="78">IFERROR((G56*H56),"")</f>
        <v>0</v>
      </c>
      <c r="M56" s="8" t="str">
        <f t="shared" ref="M56" si="79">IFERROR(K56-L56,"")</f>
        <v/>
      </c>
      <c r="N56" s="57"/>
      <c r="O56" s="9"/>
      <c r="P56" s="10"/>
      <c r="Q56" s="10"/>
      <c r="R56" s="10"/>
      <c r="S56" s="41">
        <f t="shared" ref="S56" si="80">SUM(Y56,T56:X56)</f>
        <v>92000</v>
      </c>
      <c r="V56" s="1">
        <v>23000</v>
      </c>
      <c r="W56" s="1">
        <v>23000</v>
      </c>
      <c r="X56" s="1">
        <v>23000</v>
      </c>
      <c r="Y56" s="42">
        <v>23000</v>
      </c>
      <c r="Z56" s="1"/>
      <c r="AA56" s="206" t="str">
        <f t="shared" ref="AA56" si="81">IFERROR(H56*7.5/E56/7,"")</f>
        <v/>
      </c>
    </row>
    <row r="57" spans="1:27" ns3:dyDescent="0.3">
      <c r="A57" s="60" t="s">
        <v>623</v>
      </c>
      <c r="B57" s="11">
        <f>ROUNDUP(HLOOKUP(A57,'야채 계산기'!$2:$3,2,0)*1.03,0)</f>
        <v>1113</v>
      </c>
      <c r="C57" s="62">
        <f>'[1]뭘좋아할지몰라다넣어봤어(26.08.11)'!$B$7</f>
        <v>6.41</v>
      </c>
      <c r="D57" s="166"/>
      <c r="E57" s="4"/>
      <c r="F57" s="3"/>
      <c r="G57" s="5"/>
      <c r="H57" s="6"/>
      <c r="I57" s="34">
        <f t="shared" si="63"/>
        <v>0</v>
      </c>
      <c r="J57" s="78" t="str">
        <f>IFERROR(VLOOKUP(C57,[2]Sheet1!$D:$J,7,0),"")</f>
        <v/>
      </c>
      <c r="K57" s="80" t="str">
        <f t="shared" si="64"/>
        <v/>
      </c>
      <c r="L57" s="7">
        <f t="shared" si="65"/>
        <v>0</v>
      </c>
      <c r="M57" s="8" t="str">
        <f t="shared" si="66"/>
        <v/>
      </c>
      <c r="N57" s="57"/>
      <c r="O57" s="9"/>
      <c r="P57" s="10"/>
      <c r="Q57" s="10"/>
      <c r="R57" s="10"/>
      <c r="S57" s="41">
        <f t="shared" si="5"/>
        <v>0</v>
      </c>
      <c r="Y57" s="42"/>
      <c r="Z57" s="1"/>
      <c r="AA57" s="206" t="str">
        <f t="shared" si="73"/>
        <v/>
      </c>
    </row>
    <row r="58" spans="1:27" ns3:dyDescent="0.3">
      <c r="A58" s="11"/>
      <c r="B58" s="11"/>
      <c r="C58" s="62" t="s">
        <v>814</v>
      </c>
      <c r="D58" s="166">
        <f>IFERROR((F58/E58),"")</f>
        <v>-0.69608333333333328</v>
      </c>
      <c r="E58" s="4">
        <v>6</v>
      </c>
      <c r="F58" s="3">
        <f>IFERROR((L58-K58),"")</f>
        <v>-4.1764999999999999</v>
      </c>
      <c r="G58" s="5">
        <f>G34</f>
        <v>3.5</v>
      </c>
      <c r="H58" s="39">
        <f>ROUNDUP(SUMPRODUCT(B59:B60,C59:C60)/2000,3)</f>
        <v>0.52100000000000002</v>
      </c>
      <c r="I58" s="34">
        <f t="shared" si="63"/>
        <v>6</v>
      </c>
      <c r="J58" s="78">
        <f>IFERROR(VLOOKUP(C58,[2]Sheet1!$D:$J,7,0),"")</f>
        <v>0</v>
      </c>
      <c r="K58" s="80">
        <f t="shared" si="64"/>
        <v>6</v>
      </c>
      <c r="L58" s="7">
        <f t="shared" si="65"/>
        <v>1.8235000000000001</v>
      </c>
      <c r="M58" s="8">
        <f t="shared" si="66"/>
        <v>4.1764999999999999</v>
      </c>
      <c r="N58" s="57">
        <f>IFERROR((K58/H58),"")</f>
        <v>11.516314779270633</v>
      </c>
      <c r="O58" s="9"/>
      <c r="P58" s="10"/>
      <c r="Q58" s="10">
        <v>9704</v>
      </c>
      <c r="R58" s="10">
        <f>O58*P58*Q58</f>
        <v>0</v>
      </c>
      <c r="S58" s="41">
        <f t="shared" si="5"/>
        <v>1</v>
      </c>
      <c r="T58" s="173"/>
      <c r="U58" s="173">
        <v>1</v>
      </c>
      <c r="V58" s="173"/>
      <c r="W58" s="173"/>
      <c r="X58" s="173"/>
      <c r="Y58" s="173"/>
      <c r="Z58" s="1"/>
      <c r="AA58" s="206">
        <f t="shared" si="73"/>
        <v>9.3035714285714291E-2</v>
      </c>
    </row>
    <row r="59" spans="1:27" ns3:dyDescent="0.3">
      <c r="A59" s="273" t="s">
        <v>816</v>
      </c>
      <c r="B59" s="11">
        <f>ROUNDUP(HLOOKUP(A59,'야채 계산기'!$2:$3,2,0)*1.03,0)</f>
        <v>1679</v>
      </c>
      <c r="C59" s="62">
        <v>0.62</v>
      </c>
      <c r="D59" s="166"/>
      <c r="E59" s="4"/>
      <c r="F59" s="3"/>
      <c r="G59" s="5"/>
      <c r="H59" s="6"/>
      <c r="I59" s="34">
        <f t="shared" si="63"/>
        <v>0</v>
      </c>
      <c r="J59" s="78" t="str">
        <f>IFERROR(VLOOKUP(C59,[2]Sheet1!$D:$J,7,0),"")</f>
        <v/>
      </c>
      <c r="K59" s="80" t="str">
        <f t="shared" si="64"/>
        <v/>
      </c>
      <c r="L59" s="7">
        <f t="shared" si="65"/>
        <v>0</v>
      </c>
      <c r="M59" s="8" t="str">
        <f t="shared" si="66"/>
        <v/>
      </c>
      <c r="N59" s="57"/>
      <c r="O59" s="9"/>
      <c r="P59" s="10"/>
      <c r="Q59" s="10"/>
      <c r="R59" s="10"/>
      <c r="S59" s="41">
        <f t="shared" si="5"/>
        <v>349344</v>
      </c>
      <c r="T59" s="1">
        <v>58224</v>
      </c>
      <c r="U59" s="1">
        <v>58224</v>
      </c>
      <c r="V59" s="1">
        <v>58224</v>
      </c>
      <c r="W59" s="1">
        <v>58224</v>
      </c>
      <c r="X59" s="1">
        <v>58224</v>
      </c>
      <c r="Y59" s="42">
        <v>58224</v>
      </c>
      <c r="Z59" s="1"/>
      <c r="AA59" s="206" t="str">
        <f t="shared" si="73"/>
        <v/>
      </c>
    </row>
    <row r="60" spans="1:27" ns3:dyDescent="0.3">
      <c r="A60" s="60"/>
      <c r="B60" s="11"/>
      <c r="C60" s="62" t="s">
        <v>815</v>
      </c>
      <c r="D60" s="166" t="str">
        <f>IFERROR((F60/E60),"")</f>
        <v/>
      </c>
      <c r="E60" s="4">
        <v>1</v>
      </c>
      <c r="F60" s="3" t="str">
        <f>IFERROR((L60-K60),"")</f>
        <v/>
      </c>
      <c r="G60" s="5">
        <f>G34</f>
        <v>3.5</v>
      </c>
      <c r="H60" s="39">
        <f>ROUNDUP(SUMPRODUCT(B61:B62,C61:C62)/14000,3)</f>
        <v>0.19500000000000001</v>
      </c>
      <c r="I60" s="34">
        <f t="shared" ref="I60:I61" si="82">IFERROR((S60*E60),"")</f>
        <v>0</v>
      </c>
      <c r="J60" s="78" t="str">
        <f>IFERROR(VLOOKUP(C60,[2]Sheet1!$D:$J,7,0),"")</f>
        <v/>
      </c>
      <c r="K60" s="80" t="str">
        <f t="shared" ref="K60:K61" si="83">IFERROR((I60+J60),"")</f>
        <v/>
      </c>
      <c r="L60" s="7">
        <f t="shared" ref="L60:L61" si="84">IFERROR((G60*H60),"")</f>
        <v>0.6825</v>
      </c>
      <c r="M60" s="8" t="str">
        <f t="shared" ref="M60:M61" si="85">IFERROR(K60-L60,"")</f>
        <v/>
      </c>
      <c r="N60" s="57" t="str">
        <f>IFERROR((K60/H60),"")</f>
        <v/>
      </c>
      <c r="O60" s="9"/>
      <c r="P60" s="10"/>
      <c r="Q60" s="10">
        <v>8914</v>
      </c>
      <c r="R60" s="10">
        <f>O60*P60*Q60</f>
        <v>0</v>
      </c>
      <c r="S60" s="41">
        <f t="shared" ref="S60:S61" si="86">SUM(Y60,T60:X60)</f>
        <v>0</v>
      </c>
      <c r="T60" s="173"/>
      <c r="U60" s="183"/>
      <c r="V60" s="183"/>
      <c r="W60" s="173"/>
      <c r="X60" s="173"/>
      <c r="Y60" s="173"/>
      <c r="Z60" s="1"/>
      <c r="AA60" s="206">
        <f t="shared" ref="AA60:AA61" si="87">IFERROR(H60*7.5/E60/7,"")</f>
        <v>0.20892857142857144</v>
      </c>
    </row>
    <row r="61" spans="1:27" ns3:dyDescent="0.3">
      <c r="A61" s="60" t="s">
        <v>817</v>
      </c>
      <c r="B61" s="11">
        <f>ROUNDUP(HLOOKUP(A61,'야채 계산기'!$2:$3,2,0)*1.03,0)</f>
        <v>2081</v>
      </c>
      <c r="C61" s="62">
        <v>1.31</v>
      </c>
      <c r="D61" s="166"/>
      <c r="E61" s="4"/>
      <c r="F61" s="3"/>
      <c r="G61" s="5"/>
      <c r="H61" s="6"/>
      <c r="I61" s="34">
        <f t="shared" si="82"/>
        <v>0</v>
      </c>
      <c r="J61" s="78" t="str">
        <f>IFERROR(VLOOKUP(C61,[2]Sheet1!$D:$J,7,0),"")</f>
        <v/>
      </c>
      <c r="K61" s="80" t="str">
        <f t="shared" si="83"/>
        <v/>
      </c>
      <c r="L61" s="7">
        <f t="shared" si="84"/>
        <v>0</v>
      </c>
      <c r="M61" s="8" t="str">
        <f t="shared" si="85"/>
        <v/>
      </c>
      <c r="N61" s="57"/>
      <c r="O61" s="9"/>
      <c r="P61" s="10"/>
      <c r="Q61" s="10"/>
      <c r="R61" s="10"/>
      <c r="S61" s="41">
        <f t="shared" si="86"/>
        <v>247912</v>
      </c>
      <c r="T61" s="1">
        <v>25900</v>
      </c>
      <c r="U61" s="1">
        <v>25900</v>
      </c>
      <c r="V61" s="1">
        <v>49028</v>
      </c>
      <c r="W61" s="1">
        <v>49028</v>
      </c>
      <c r="X61" s="1">
        <v>49028</v>
      </c>
      <c r="Y61" s="42">
        <v>49028</v>
      </c>
      <c r="Z61" s="1"/>
      <c r="AA61" s="206" t="str">
        <f t="shared" si="87"/>
        <v/>
      </c>
    </row>
    <row r="62" spans="1:27" ns3:dyDescent="0.3">
      <c r="A62" s="60"/>
      <c r="B62" s="11"/>
      <c r="C62" s="155"/>
      <c r="D62" s="166"/>
      <c r="E62" s="4"/>
      <c r="F62" s="3"/>
      <c r="G62" s="5"/>
      <c r="H62" s="6"/>
      <c r="I62" s="34">
        <f t="shared" ref="I62:I63" si="88">IFERROR((S62*E62),"")</f>
        <v>0</v>
      </c>
      <c r="J62" s="78" t="str">
        <f>IFERROR(VLOOKUP(C62,[2]Sheet1!$D:$J,7,0),"")</f>
        <v/>
      </c>
      <c r="K62" s="80" t="str">
        <f t="shared" ref="K62:K63" si="89">IFERROR((I62+J62),"")</f>
        <v/>
      </c>
      <c r="L62" s="7">
        <f t="shared" ref="L62:L63" si="90">IFERROR((G62*H62),"")</f>
        <v>0</v>
      </c>
      <c r="M62" s="8"/>
      <c r="N62" s="57"/>
      <c r="O62" s="9"/>
      <c r="P62" s="10"/>
      <c r="Q62" s="10"/>
      <c r="R62" s="10"/>
      <c r="S62" s="41">
        <f t="shared" si="5"/>
        <v>1751200</v>
      </c>
      <c r="T62" s="299">
        <f>(T15*T16+T23*T24+T34*T35)*1.1</f>
        <v>0</v>
      </c>
      <c r="U62" s="299">
        <f>(U15*U16+U23*U24+U34*U35)*1.1</f>
        <v>1320000</v>
      </c>
      <c r="V62" s="18">
        <f>(V15*V16+V23*V24+V34*V35)*1.1</f>
        <v>431200.00000000006</v>
      </c>
      <c r="W62" s="18">
        <f>(W15*W16+W23*W24+W34*W35+W55*W56)*1.1</f>
        <v>0</v>
      </c>
      <c r="X62" s="18">
        <f>(X15*X16+X23*X24+X34*X35+X55*X56)*1.1</f>
        <v>0</v>
      </c>
      <c r="Y62" s="18">
        <f>(Y15*Y16+Y23*Y24+Y34*Y35+Y55*Y56)*1.1</f>
        <v>0</v>
      </c>
      <c r="Z62" s="1"/>
      <c r="AA62" s="206" t="str">
        <f t="shared" si="73"/>
        <v/>
      </c>
    </row>
    <row r="63" spans="1:27" ns3:dyDescent="0.3">
      <c r="A63" s="58"/>
      <c r="B63" s="2"/>
      <c r="C63" s="164"/>
      <c r="D63" s="166" t="str">
        <f>IFERROR((F63/E63),"")</f>
        <v/>
      </c>
      <c r="E63" s="4"/>
      <c r="F63" s="17"/>
      <c r="G63" s="5"/>
      <c r="H63" s="6"/>
      <c r="I63" s="34">
        <f t="shared" si="88"/>
        <v>0</v>
      </c>
      <c r="J63" s="78" t="str">
        <f>IFERROR(VLOOKUP(C63,[2]Sheet1!$D:$J,7,0),"")</f>
        <v/>
      </c>
      <c r="K63" s="80" t="str">
        <f t="shared" si="89"/>
        <v/>
      </c>
      <c r="L63" s="7">
        <f t="shared" si="90"/>
        <v>0</v>
      </c>
      <c r="M63" s="8" t="str">
        <f t="shared" ref="M63" si="91">IFERROR(K63-L63,"")</f>
        <v/>
      </c>
      <c r="N63" s="57"/>
      <c r="O63" s="9"/>
      <c r="P63" s="10"/>
      <c r="Q63" s="10"/>
      <c r="R63" s="10">
        <f>O63*P63*Q63</f>
        <v>0</v>
      </c>
      <c r="S63" s="41">
        <f t="shared" si="5"/>
        <v>0</v>
      </c>
      <c r="Y63" s="42"/>
      <c r="Z63" s="1"/>
      <c r="AA63" s="206" t="str">
        <f t="shared" si="73"/>
        <v/>
      </c>
    </row>
    <row r="64" spans="1:27" ht="16.5" hidden="1" customHeight="1" ns3:dyDescent="0.3">
      <c r="A64" s="95" t="s">
        <v>386</v>
      </c>
      <c r="B64" s="2" t="s">
        <v>32</v>
      </c>
      <c r="C64" s="197"/>
      <c r="D64" s="166" t="str">
        <f>IFERROR((F64/E64),"")</f>
        <v/>
      </c>
      <c r="E64" s="4"/>
      <c r="F64" s="17"/>
      <c r="G64" s="5"/>
      <c r="H64" s="6"/>
      <c r="I64" s="34">
        <f t="shared" ref="I64:I68" si="92">IFERROR((S64*E64),"")</f>
        <v>0</v>
      </c>
      <c r="J64" s="78" t="str">
        <f>IFERROR(VLOOKUP(C64,[2]Sheet1!$D:$J,7,0),"")</f>
        <v/>
      </c>
      <c r="K64" s="80" t="str">
        <f t="shared" ref="K64:K68" si="93">IFERROR((I64+J64),"")</f>
        <v/>
      </c>
      <c r="L64" s="7">
        <f t="shared" ref="L64:L68" si="94">IFERROR((G64*H64),"")</f>
        <v>0</v>
      </c>
      <c r="M64" s="8" t="str">
        <f t="shared" ref="M64:M68" si="95">IFERROR(K64-L64,"")</f>
        <v/>
      </c>
      <c r="N64" s="57" t="str">
        <f>IFERROR((K64/H64),"")</f>
        <v/>
      </c>
      <c r="O64" s="9"/>
      <c r="P64" s="10"/>
      <c r="Q64" s="10"/>
      <c r="R64" s="10">
        <f>O64*P64*Q64</f>
        <v>0</v>
      </c>
      <c r="S64" s="41">
        <f t="shared" si="5"/>
        <v>0</v>
      </c>
      <c r="T64" s="190"/>
      <c r="U64" s="190"/>
      <c r="V64" s="190"/>
      <c r="W64" s="190"/>
      <c r="Y64" s="42"/>
      <c r="Z64" s="1"/>
      <c r="AA64" s="206" t="str">
        <f t="shared" si="73"/>
        <v/>
      </c>
    </row>
    <row r="65" spans="1:27" ht="16.5" hidden="1" customHeight="1" ns3:dyDescent="0.3">
      <c r="A65" s="13"/>
      <c r="B65" s="11"/>
      <c r="C65" s="228" t="s">
        <v>446</v>
      </c>
      <c r="D65" s="166" t="str">
        <f>IFERROR((F65/E65),"")</f>
        <v/>
      </c>
      <c r="E65" s="4">
        <v>10</v>
      </c>
      <c r="F65" s="3" t="str">
        <f>IFERROR((L65-K65),"")</f>
        <v/>
      </c>
      <c r="G65" s="5">
        <v>6</v>
      </c>
      <c r="H65" s="6" t="e">
        <f>ROUNDUP(SUMPRODUCT(B66:B66,C66:C66)/1000,1)</f>
        <v>#N/A</v>
      </c>
      <c r="I65" s="34">
        <f t="shared" si="92"/>
        <v>0</v>
      </c>
      <c r="J65" s="78" t="str">
        <f>IFERROR(VLOOKUP(C65,[2]Sheet1!$D:$J,7,0),"")</f>
        <v/>
      </c>
      <c r="K65" s="80" t="str">
        <f t="shared" si="93"/>
        <v/>
      </c>
      <c r="L65" s="7" t="str">
        <f t="shared" si="94"/>
        <v/>
      </c>
      <c r="M65" s="8" t="str">
        <f t="shared" si="95"/>
        <v/>
      </c>
      <c r="N65" s="57" t="str">
        <f>IFERROR((K65/H65),"")</f>
        <v/>
      </c>
      <c r="O65" s="9"/>
      <c r="P65" s="10"/>
      <c r="Q65" s="10">
        <v>12061</v>
      </c>
      <c r="R65" s="10">
        <f>O65*P65*Q65</f>
        <v>0</v>
      </c>
      <c r="S65" s="41">
        <f t="shared" si="5"/>
        <v>0</v>
      </c>
      <c r="T65" s="173"/>
      <c r="U65" s="173"/>
      <c r="V65" s="173"/>
      <c r="W65" s="173"/>
      <c r="X65" s="173"/>
      <c r="Y65" s="173"/>
      <c r="Z65" s="1"/>
      <c r="AA65" s="206" t="str">
        <f t="shared" si="73"/>
        <v/>
      </c>
    </row>
    <row r="66" spans="1:27" ht="15.75" hidden="1" customHeight="1" ns3:dyDescent="0.3">
      <c r="A66" s="176" t="s">
        <v>334</v>
      </c>
      <c r="B66" s="11" t="e">
        <f>ROUNDUP(HLOOKUP(A66,'야채 계산기'!$2:$3,2,0),0)</f>
        <v>#N/A</v>
      </c>
      <c r="C66" s="182">
        <f>20.61*1.2</f>
        <v>24.731999999999999</v>
      </c>
      <c r="D66" s="166"/>
      <c r="E66" s="4"/>
      <c r="F66" s="3"/>
      <c r="G66" s="5" t="s">
        <v>154</v>
      </c>
      <c r="H66" s="6"/>
      <c r="I66" s="34">
        <f t="shared" si="92"/>
        <v>0</v>
      </c>
      <c r="J66" s="78" t="str">
        <f>IFERROR(VLOOKUP(C66,[2]Sheet1!$D:$J,7,0),"")</f>
        <v/>
      </c>
      <c r="K66" s="80" t="str">
        <f t="shared" si="93"/>
        <v/>
      </c>
      <c r="L66" s="7" t="str">
        <f t="shared" si="94"/>
        <v/>
      </c>
      <c r="M66" s="8" t="str">
        <f t="shared" si="95"/>
        <v/>
      </c>
      <c r="N66" s="57" t="str">
        <f>IFERROR((K66/H66),"")</f>
        <v/>
      </c>
      <c r="O66" s="9"/>
      <c r="P66" s="10"/>
      <c r="Q66" s="10"/>
      <c r="R66" s="10"/>
      <c r="S66" s="41">
        <f t="shared" si="5"/>
        <v>0</v>
      </c>
      <c r="Y66" s="1"/>
      <c r="Z66" s="1"/>
      <c r="AA66" s="206" t="str">
        <f t="shared" si="73"/>
        <v/>
      </c>
    </row>
    <row r="67" spans="1:27" ht="13.5" customHeight="1" ns3:dyDescent="0.3">
      <c r="A67" s="61"/>
      <c r="B67" s="11"/>
      <c r="C67" s="164"/>
      <c r="D67" s="166" t="str">
        <f>IFERROR((F67/E67),"")</f>
        <v/>
      </c>
      <c r="E67" s="4"/>
      <c r="F67" s="3"/>
      <c r="G67" s="5"/>
      <c r="H67" s="6"/>
      <c r="I67" s="34">
        <f t="shared" si="92"/>
        <v>0</v>
      </c>
      <c r="J67" s="78" t="str">
        <f>IFERROR(VLOOKUP(C67,[2]Sheet1!$D:$J,7,0),"")</f>
        <v/>
      </c>
      <c r="K67" s="80" t="str">
        <f t="shared" si="93"/>
        <v/>
      </c>
      <c r="L67" s="7">
        <f t="shared" si="94"/>
        <v>0</v>
      </c>
      <c r="M67" s="8" t="str">
        <f t="shared" si="95"/>
        <v/>
      </c>
      <c r="N67" s="57" t="str">
        <f>IFERROR((K67/H67),"")</f>
        <v/>
      </c>
      <c r="O67" s="9"/>
      <c r="P67" s="10"/>
      <c r="Q67" s="10"/>
      <c r="R67" s="10">
        <f>O67*P67*Q67</f>
        <v>0</v>
      </c>
      <c r="S67" s="41">
        <f t="shared" si="5"/>
        <v>0</v>
      </c>
      <c r="Y67" s="1"/>
      <c r="Z67" s="1"/>
      <c r="AA67" s="206" t="str">
        <f t="shared" si="73"/>
        <v/>
      </c>
    </row>
    <row r="68" spans="1:27" ht="13.5" customHeight="1" ns3:dyDescent="0.3">
      <c r="A68" s="11"/>
      <c r="B68" s="11"/>
      <c r="C68" s="164"/>
      <c r="D68" s="166"/>
      <c r="E68" s="4"/>
      <c r="F68" s="3"/>
      <c r="G68" s="5"/>
      <c r="H68" s="6"/>
      <c r="I68" s="34">
        <f t="shared" si="92"/>
        <v>0</v>
      </c>
      <c r="J68" s="78" t="str">
        <f>IFERROR(VLOOKUP(C68,[2]Sheet1!$D:$J,7,0),"")</f>
        <v/>
      </c>
      <c r="K68" s="80" t="str">
        <f t="shared" si="93"/>
        <v/>
      </c>
      <c r="L68" s="7">
        <f t="shared" si="94"/>
        <v>0</v>
      </c>
      <c r="M68" s="8" t="str">
        <f t="shared" si="95"/>
        <v/>
      </c>
      <c r="N68" s="57"/>
      <c r="O68" s="9"/>
      <c r="P68" s="10"/>
      <c r="Q68" s="10"/>
      <c r="R68" s="10"/>
      <c r="S68" s="41">
        <f t="shared" si="5"/>
        <v>0</v>
      </c>
      <c r="Y68" s="1"/>
      <c r="Z68" s="1"/>
      <c r="AA68" s="206" t="str">
        <f t="shared" si="73"/>
        <v/>
      </c>
    </row>
    <row r="69" spans="1:27" ht="16.5" customHeight="1" ns3:dyDescent="0.3">
      <c r="A69" s="95" t="s">
        <v>387</v>
      </c>
      <c r="B69" s="184" t="s">
        <v>87</v>
      </c>
      <c r="C69" s="197"/>
      <c r="D69" s="166" t="str">
        <f>IFERROR((F69/E69),"")</f>
        <v/>
      </c>
      <c r="E69" s="4"/>
      <c r="F69" s="17"/>
      <c r="G69" s="5"/>
      <c r="H69" s="6"/>
      <c r="I69" s="34">
        <f t="shared" ref="I69:I73" si="96">IFERROR((S69*E69),"")</f>
        <v>0</v>
      </c>
      <c r="J69" s="78" t="str">
        <f>IFERROR(VLOOKUP(C69,[2]Sheet1!$D:$J,7,0),"")</f>
        <v/>
      </c>
      <c r="K69" s="80" t="str">
        <f t="shared" ref="K69:K78" si="97">IFERROR((I69+J69),"")</f>
        <v/>
      </c>
      <c r="L69" s="7">
        <f t="shared" ref="L69:L77" si="98">IFERROR((G69*H69),"")</f>
        <v>0</v>
      </c>
      <c r="M69" s="8" t="str">
        <f t="shared" ref="M69:M77" si="99">IFERROR(K69-L69,"")</f>
        <v/>
      </c>
      <c r="N69" s="57" t="str">
        <f>IFERROR((K69/H69),"")</f>
        <v/>
      </c>
      <c r="O69" s="9"/>
      <c r="P69" s="10"/>
      <c r="Q69" s="10"/>
      <c r="R69" s="10">
        <f>O69*P69*Q69</f>
        <v>0</v>
      </c>
      <c r="S69" s="41">
        <f t="shared" si="5"/>
        <v>0</v>
      </c>
      <c r="T69" s="190"/>
      <c r="U69" s="190"/>
      <c r="V69" s="190"/>
      <c r="W69" s="190"/>
      <c r="X69" s="190"/>
      <c r="Y69" s="190"/>
      <c r="Z69" s="1"/>
      <c r="AA69" s="206" t="str">
        <f t="shared" si="73"/>
        <v/>
      </c>
    </row>
    <row r="70" spans="1:27" ht="16.5" customHeight="1" ns3:dyDescent="0.3">
      <c r="A70" s="13"/>
      <c r="B70" s="11"/>
      <c r="C70" s="164" t="s">
        <v>247</v>
      </c>
      <c r="D70" s="166">
        <f>IFERROR((F70/E70),"")</f>
        <v>-0.23333333333333192</v>
      </c>
      <c r="E70" s="4">
        <v>6</v>
      </c>
      <c r="F70" s="3">
        <f>IFERROR((L70-K70),"")</f>
        <v>-1.3999999999999915</v>
      </c>
      <c r="G70" s="5">
        <v>3.5</v>
      </c>
      <c r="H70" s="6">
        <f>ROUNDUP(SUMPRODUCT(B71:B72,C71:C72)/2840,1)</f>
        <v>29.6</v>
      </c>
      <c r="I70" s="34">
        <f t="shared" si="96"/>
        <v>36</v>
      </c>
      <c r="J70" s="78">
        <f>IFERROR(VLOOKUP(C70,[2]Sheet1!$D:$J,7,0),"")</f>
        <v>69</v>
      </c>
      <c r="K70" s="80">
        <f t="shared" si="97"/>
        <v>105</v>
      </c>
      <c r="L70" s="7">
        <f t="shared" si="98"/>
        <v>103.60000000000001</v>
      </c>
      <c r="M70" s="8">
        <f t="shared" si="99"/>
        <v>1.3999999999999915</v>
      </c>
      <c r="N70" s="57">
        <f>IFERROR((K70/H70),"")</f>
        <v>3.5472972972972969</v>
      </c>
      <c r="O70" s="9"/>
      <c r="P70" s="10"/>
      <c r="Q70" s="10">
        <v>4200</v>
      </c>
      <c r="R70" s="10">
        <f>O70*P70*Q70</f>
        <v>0</v>
      </c>
      <c r="S70" s="41">
        <f t="shared" si="5"/>
        <v>6</v>
      </c>
      <c r="T70" s="173"/>
      <c r="U70" s="173">
        <v>6</v>
      </c>
      <c r="V70" s="173"/>
      <c r="W70" s="173"/>
      <c r="X70" s="173"/>
      <c r="Y70" s="173"/>
      <c r="Z70" s="1"/>
      <c r="AA70" s="206">
        <f t="shared" si="73"/>
        <v>5.2857142857142856</v>
      </c>
    </row>
    <row r="71" spans="1:27" ht="15.75" customHeight="1" ns3:dyDescent="0.3">
      <c r="A71" s="60" t="s">
        <v>757</v>
      </c>
      <c r="B71" s="11">
        <f>ROUNDUP(HLOOKUP(A71,'야채 계산기'!$2:$3,2,0)*1.03,0)</f>
        <v>2266</v>
      </c>
      <c r="C71" s="164">
        <f>'[1]혜자)돌아온 명불허전(25.9.18)리뉴얼'!$B$13</f>
        <v>31.83</v>
      </c>
      <c r="D71" s="166"/>
      <c r="E71" s="4"/>
      <c r="F71" s="3"/>
      <c r="G71" s="5" t="s">
        <v>154</v>
      </c>
      <c r="H71" s="6"/>
      <c r="I71" s="34">
        <f t="shared" si="96"/>
        <v>0</v>
      </c>
      <c r="J71" s="78" t="str">
        <f>IFERROR(VLOOKUP(C71,[2]Sheet1!$D:$J,7,0),"")</f>
        <v/>
      </c>
      <c r="K71" s="80" t="str">
        <f t="shared" si="97"/>
        <v/>
      </c>
      <c r="L71" s="7" t="str">
        <f t="shared" si="98"/>
        <v/>
      </c>
      <c r="M71" s="8" t="str">
        <f t="shared" si="99"/>
        <v/>
      </c>
      <c r="N71" s="57" t="str">
        <f>IFERROR((K71/H71),"")</f>
        <v/>
      </c>
      <c r="O71" s="9"/>
      <c r="P71" s="10"/>
      <c r="Q71" s="10"/>
      <c r="R71" s="10"/>
      <c r="S71" s="41">
        <f t="shared" si="5"/>
        <v>0</v>
      </c>
      <c r="Y71" s="1"/>
      <c r="Z71" s="1"/>
      <c r="AA71" s="206" t="str">
        <f t="shared" si="73"/>
        <v/>
      </c>
    </row>
    <row r="72" spans="1:27" ht="16.5" customHeight="1" ns3:dyDescent="0.3">
      <c r="A72" s="60" t="s">
        <v>780</v>
      </c>
      <c r="B72" s="11">
        <f>ROUNDUP(HLOOKUP(A72,'야채 계산기'!$2:$3,2,0)*1.03,0)</f>
        <v>567</v>
      </c>
      <c r="C72" s="164">
        <v>20.69</v>
      </c>
      <c r="D72" s="166" t="str">
        <f>IFERROR((F72/E72),"")</f>
        <v/>
      </c>
      <c r="E72" s="4"/>
      <c r="F72" s="3"/>
      <c r="G72" s="5"/>
      <c r="H72" s="6"/>
      <c r="I72" s="34">
        <f t="shared" ref="I72" si="100">IFERROR((S72*E72),"")</f>
        <v>0</v>
      </c>
      <c r="J72" s="78" t="str">
        <f>IFERROR(VLOOKUP(C72,[2]Sheet1!$D:$J,7,0),"")</f>
        <v/>
      </c>
      <c r="K72" s="80" t="str">
        <f t="shared" ref="K72" si="101">IFERROR((I72+J72),"")</f>
        <v/>
      </c>
      <c r="L72" s="7">
        <f t="shared" ref="L72" si="102">IFERROR((G72*H72),"")</f>
        <v>0</v>
      </c>
      <c r="M72" s="8" t="str">
        <f t="shared" ref="M72" si="103">IFERROR(K72-L72,"")</f>
        <v/>
      </c>
      <c r="N72" s="57" t="str">
        <f>IFERROR((K72/H72),"")</f>
        <v/>
      </c>
      <c r="O72" s="9"/>
      <c r="P72" s="10"/>
      <c r="Q72" s="10"/>
      <c r="R72" s="10">
        <f>O72*P72*Q72</f>
        <v>0</v>
      </c>
      <c r="S72" s="41">
        <f t="shared" ref="S72" si="104">SUM(Y72,T72:X72)</f>
        <v>0</v>
      </c>
      <c r="Y72" s="1"/>
      <c r="Z72" s="1"/>
      <c r="AA72" s="206" t="str">
        <f t="shared" ref="AA72" si="105">IFERROR(H72*7.5/E72/7,"")</f>
        <v/>
      </c>
    </row>
    <row r="73" spans="1:27" ns3:dyDescent="0.3">
      <c r="A73" s="11"/>
      <c r="B73" s="11"/>
      <c r="C73" s="164"/>
      <c r="D73" s="166"/>
      <c r="E73" s="4"/>
      <c r="F73" s="3"/>
      <c r="G73" s="5"/>
      <c r="H73" s="6"/>
      <c r="I73" s="34">
        <f t="shared" si="96"/>
        <v>0</v>
      </c>
      <c r="J73" s="78" t="str">
        <f>IFERROR(VLOOKUP(C73,[2]Sheet1!$D:$J,7,0),"")</f>
        <v/>
      </c>
      <c r="K73" s="80" t="str">
        <f t="shared" si="97"/>
        <v/>
      </c>
      <c r="L73" s="7">
        <f t="shared" si="98"/>
        <v>0</v>
      </c>
      <c r="M73" s="8" t="str">
        <f t="shared" si="99"/>
        <v/>
      </c>
      <c r="N73" s="57"/>
      <c r="O73" s="9"/>
      <c r="P73" s="10"/>
      <c r="Q73" s="10"/>
      <c r="R73" s="10"/>
      <c r="S73" s="41">
        <f t="shared" si="5"/>
        <v>0</v>
      </c>
      <c r="Y73" s="1"/>
      <c r="Z73" s="1"/>
      <c r="AA73" s="206" t="str">
        <f t="shared" si="73"/>
        <v/>
      </c>
    </row>
    <row r="74" spans="1:27" ns3:dyDescent="0.3">
      <c r="A74" s="95" t="s">
        <v>388</v>
      </c>
      <c r="B74" s="184" t="s">
        <v>32</v>
      </c>
      <c r="C74" s="164"/>
      <c r="D74" s="166"/>
      <c r="E74" s="4"/>
      <c r="F74" s="3"/>
      <c r="G74" s="5"/>
      <c r="H74" s="6"/>
      <c r="I74" s="34">
        <f t="shared" ref="I74:I88" si="106">IFERROR((S74*E74),"")</f>
        <v>0</v>
      </c>
      <c r="J74" s="78" t="str">
        <f>IFERROR(VLOOKUP(C74,[2]Sheet1!$D:$J,7,0),"")</f>
        <v/>
      </c>
      <c r="K74" s="80" t="str">
        <f t="shared" si="97"/>
        <v/>
      </c>
      <c r="L74" s="7">
        <f t="shared" si="98"/>
        <v>0</v>
      </c>
      <c r="M74" s="8" t="str">
        <f t="shared" si="99"/>
        <v/>
      </c>
      <c r="N74" s="57"/>
      <c r="O74" s="9"/>
      <c r="P74" s="10"/>
      <c r="Q74" s="10"/>
      <c r="R74" s="10"/>
      <c r="S74" s="41">
        <f t="shared" si="5"/>
        <v>0</v>
      </c>
      <c r="Y74" s="1"/>
      <c r="Z74" s="1"/>
      <c r="AA74" s="206" t="str">
        <f t="shared" si="73"/>
        <v/>
      </c>
    </row>
    <row r="75" spans="1:27" ns3:dyDescent="0.3">
      <c r="A75" s="11"/>
      <c r="B75" s="11"/>
      <c r="C75" s="164" t="s">
        <v>162</v>
      </c>
      <c r="D75" s="166">
        <f>IFERROR((F75/E75),"")</f>
        <v>-0.73333333333333306</v>
      </c>
      <c r="E75" s="4">
        <v>3</v>
      </c>
      <c r="F75" s="3">
        <f>IFERROR((L75-K75),"")</f>
        <v>-2.1999999999999993</v>
      </c>
      <c r="G75" s="5">
        <f>G70</f>
        <v>3.5</v>
      </c>
      <c r="H75" s="6">
        <f>ROUNDUP(SUMPRODUCT(B76:B77,C76:C77)/5000,1)</f>
        <v>2.8000000000000003</v>
      </c>
      <c r="I75" s="34">
        <f t="shared" si="106"/>
        <v>0</v>
      </c>
      <c r="J75" s="78">
        <f>IFERROR(VLOOKUP(C75,[2]Sheet1!$D:$J,7,0),"")</f>
        <v>12</v>
      </c>
      <c r="K75" s="80">
        <f t="shared" si="97"/>
        <v>12</v>
      </c>
      <c r="L75" s="7">
        <f t="shared" si="98"/>
        <v>9.8000000000000007</v>
      </c>
      <c r="M75" s="8">
        <f t="shared" si="99"/>
        <v>2.1999999999999993</v>
      </c>
      <c r="N75" s="57">
        <f>IFERROR((K75/H75),"")</f>
        <v>4.2857142857142856</v>
      </c>
      <c r="O75" s="9"/>
      <c r="P75" s="10"/>
      <c r="Q75" s="10">
        <v>11400</v>
      </c>
      <c r="R75" s="10">
        <f>O75*P75*Q75</f>
        <v>0</v>
      </c>
      <c r="S75" s="41">
        <f t="shared" si="5"/>
        <v>0</v>
      </c>
      <c r="T75" s="173"/>
      <c r="U75" s="173"/>
      <c r="V75" s="173"/>
      <c r="W75" s="173"/>
      <c r="X75" s="173"/>
      <c r="Y75" s="173"/>
      <c r="Z75" s="1"/>
      <c r="AA75" s="206">
        <f t="shared" si="73"/>
        <v>1.0000000000000002</v>
      </c>
    </row>
    <row r="76" spans="1:27" ns3:dyDescent="0.3">
      <c r="A76" s="60" t="s">
        <v>494</v>
      </c>
      <c r="B76" s="11">
        <f>ROUNDUP(HLOOKUP(A76,'야채 계산기'!$2:$3,2,0)*1.03,0)</f>
        <v>660</v>
      </c>
      <c r="C76" s="164">
        <v>20.54</v>
      </c>
      <c r="D76" s="166"/>
      <c r="E76" s="4"/>
      <c r="F76" s="3"/>
      <c r="G76" s="5"/>
      <c r="H76" s="6"/>
      <c r="I76" s="34">
        <f t="shared" ref="I76" si="107">IFERROR((S76*E76),"")</f>
        <v>0</v>
      </c>
      <c r="J76" s="78" t="str">
        <f>IFERROR(VLOOKUP(C76,[2]Sheet1!$D:$J,7,0),"")</f>
        <v/>
      </c>
      <c r="K76" s="80" t="str">
        <f t="shared" ref="K76" si="108">IFERROR((I76+J76),"")</f>
        <v/>
      </c>
      <c r="L76" s="7">
        <f t="shared" ref="L76" si="109">IFERROR((G76*H76),"")</f>
        <v>0</v>
      </c>
      <c r="M76" s="8"/>
      <c r="N76" s="57" t="str">
        <f t="shared" ref="N76" si="110">IFERROR((K76/H76),"")</f>
        <v/>
      </c>
      <c r="O76" s="9"/>
      <c r="P76" s="10"/>
      <c r="Q76" s="10"/>
      <c r="R76" s="10"/>
      <c r="S76" s="41">
        <f t="shared" ref="S76:S146" si="111">SUM(Y76,T76:X76)</f>
        <v>0</v>
      </c>
      <c r="Y76" s="1"/>
      <c r="Z76" s="1"/>
      <c r="AA76" s="206" t="str">
        <f t="shared" si="73"/>
        <v/>
      </c>
    </row>
    <row r="77" spans="1:27" ns3:dyDescent="0.3">
      <c r="A77" s="176"/>
      <c r="B77" s="11"/>
      <c r="C77" s="62"/>
      <c r="D77" s="166" t="str">
        <f>IFERROR((F77/E77),"")</f>
        <v/>
      </c>
      <c r="E77" s="4"/>
      <c r="F77" s="3"/>
      <c r="G77" s="5"/>
      <c r="H77" s="6"/>
      <c r="I77" s="34">
        <f t="shared" si="106"/>
        <v>0</v>
      </c>
      <c r="J77" s="78" t="str">
        <f>IFERROR(VLOOKUP(C77,[2]Sheet1!$D:$J,7,0),"")</f>
        <v/>
      </c>
      <c r="K77" s="80" t="str">
        <f t="shared" si="97"/>
        <v/>
      </c>
      <c r="L77" s="7">
        <f t="shared" si="98"/>
        <v>0</v>
      </c>
      <c r="M77" s="8" t="str">
        <f t="shared" si="99"/>
        <v/>
      </c>
      <c r="N77" s="57" t="str">
        <f t="shared" ref="N77" si="112">IFERROR((K77/H77),"")</f>
        <v/>
      </c>
      <c r="O77" s="9"/>
      <c r="P77" s="10"/>
      <c r="Q77" s="10"/>
      <c r="R77" s="10"/>
      <c r="S77" s="41">
        <f t="shared" si="111"/>
        <v>0</v>
      </c>
      <c r="Y77" s="1"/>
      <c r="Z77" s="1"/>
      <c r="AA77" s="206" t="str">
        <f t="shared" si="73"/>
        <v/>
      </c>
    </row>
    <row r="78" spans="1:27" ns3:dyDescent="0.3">
      <c r="A78" s="11"/>
      <c r="B78" s="11"/>
      <c r="C78" s="62"/>
      <c r="D78" s="166"/>
      <c r="E78" s="4"/>
      <c r="F78" s="3"/>
      <c r="G78" s="5"/>
      <c r="H78" s="6"/>
      <c r="I78" s="34">
        <f>IFERROR((S78*E78),"")</f>
        <v>0</v>
      </c>
      <c r="J78" s="78" t="str">
        <f>IFERROR(VLOOKUP(C78,[2]Sheet1!$D:$J,7,0),"")</f>
        <v/>
      </c>
      <c r="K78" s="80" t="str">
        <f t="shared" si="97"/>
        <v/>
      </c>
      <c r="L78" s="7">
        <f>IFERROR((G78*H78),"")</f>
        <v>0</v>
      </c>
      <c r="M78" s="8" t="str">
        <f>IFERROR(K78-L78,"")</f>
        <v/>
      </c>
      <c r="N78" s="57" t="str">
        <f>IFERROR((K78/H78),"")</f>
        <v/>
      </c>
      <c r="O78" s="9"/>
      <c r="P78" s="10"/>
      <c r="Q78" s="10"/>
      <c r="R78" s="10"/>
      <c r="S78" s="41">
        <f t="shared" si="111"/>
        <v>0</v>
      </c>
      <c r="Y78" s="1"/>
      <c r="Z78" s="1"/>
      <c r="AA78" s="206" t="str">
        <f t="shared" si="73"/>
        <v/>
      </c>
    </row>
    <row r="79" spans="1:27" ns3:dyDescent="0.3">
      <c r="A79" s="2"/>
      <c r="B79" s="2"/>
      <c r="C79" s="62"/>
      <c r="D79" s="166"/>
      <c r="E79" s="4"/>
      <c r="F79" s="3"/>
      <c r="G79" s="5"/>
      <c r="H79" s="6"/>
      <c r="I79" s="34">
        <f>IFERROR((S79*E79),"")</f>
        <v>0</v>
      </c>
      <c r="J79" s="78" t="str">
        <f>IFERROR(VLOOKUP(C79,[2]Sheet1!$D:$J,7,0),"")</f>
        <v/>
      </c>
      <c r="K79" s="80" t="str">
        <f t="shared" ref="K79:K80" si="113">IFERROR((I79+J79),"")</f>
        <v/>
      </c>
      <c r="L79" s="7">
        <f>IFERROR((G79*H79),"")</f>
        <v>0</v>
      </c>
      <c r="M79" s="8" t="str">
        <f>IFERROR(K79-L79,"")</f>
        <v/>
      </c>
      <c r="N79" s="57"/>
      <c r="O79" s="9"/>
      <c r="P79" s="10"/>
      <c r="Q79" s="10"/>
      <c r="R79" s="10"/>
      <c r="S79" s="41">
        <f t="shared" si="111"/>
        <v>0</v>
      </c>
      <c r="Y79" s="1"/>
      <c r="Z79" s="1"/>
      <c r="AA79" s="206" t="str">
        <f t="shared" si="73"/>
        <v/>
      </c>
    </row>
    <row r="80" spans="1:27" ns3:dyDescent="0.3">
      <c r="A80" s="95" t="s">
        <v>97</v>
      </c>
      <c r="B80" s="184" t="s">
        <v>148</v>
      </c>
      <c r="C80" s="152"/>
      <c r="D80" s="166" t="str">
        <f>IFERROR((F80/E80),"")</f>
        <v/>
      </c>
      <c r="E80" s="4"/>
      <c r="F80" s="3"/>
      <c r="G80" s="5"/>
      <c r="H80" s="6"/>
      <c r="I80" s="34">
        <f t="shared" si="106"/>
        <v>0</v>
      </c>
      <c r="J80" s="78" t="str">
        <f>IFERROR(VLOOKUP(C80,[2]Sheet1!$D:$J,7,0),"")</f>
        <v/>
      </c>
      <c r="K80" s="80" t="str">
        <f t="shared" si="113"/>
        <v/>
      </c>
      <c r="L80" s="7">
        <f t="shared" ref="L80:L100" si="114">IFERROR((G80*H80),"")</f>
        <v>0</v>
      </c>
      <c r="M80" s="8" t="str">
        <f t="shared" ref="M80:M100" si="115">IFERROR(K80-L80,"")</f>
        <v/>
      </c>
      <c r="N80" s="57" t="str">
        <f t="shared" ref="N80:N84" si="116">IFERROR((K80/H80),"")</f>
        <v/>
      </c>
      <c r="O80" s="9"/>
      <c r="P80" s="10"/>
      <c r="Q80" s="10"/>
      <c r="R80" s="10">
        <f>O80*P80*Q80</f>
        <v>0</v>
      </c>
      <c r="S80" s="41">
        <f t="shared" si="111"/>
        <v>0</v>
      </c>
      <c r="Y80" s="1"/>
      <c r="Z80" s="1"/>
      <c r="AA80" s="206" t="str">
        <f t="shared" si="73"/>
        <v/>
      </c>
    </row>
    <row r="81" spans="1:27" ns3:dyDescent="0.3">
      <c r="A81" s="11"/>
      <c r="B81" s="11"/>
      <c r="C81" s="62" t="s">
        <v>192</v>
      </c>
      <c r="D81" s="166">
        <f>IFERROR((F81/E81),"")</f>
        <v>2.625</v>
      </c>
      <c r="E81" s="4">
        <v>6</v>
      </c>
      <c r="F81" s="3">
        <f>IFERROR((L81-K81),"")</f>
        <v>15.75</v>
      </c>
      <c r="G81" s="5">
        <v>3.5</v>
      </c>
      <c r="H81" s="6">
        <f>ROUNDUP(SUMPRODUCT(B82:B83,C82:C83)/500,1)</f>
        <v>16.5</v>
      </c>
      <c r="I81" s="34">
        <f t="shared" si="106"/>
        <v>24</v>
      </c>
      <c r="J81" s="78">
        <f>IFERROR(VLOOKUP(C81,[2]Sheet1!$D:$J,7,0),"")</f>
        <v>18</v>
      </c>
      <c r="K81" s="80">
        <f t="shared" ref="K81:K85" si="117">IFERROR((I81+J81),"")</f>
        <v>42</v>
      </c>
      <c r="L81" s="7">
        <f t="shared" si="114"/>
        <v>57.75</v>
      </c>
      <c r="M81" s="8">
        <f t="shared" si="115"/>
        <v>-15.75</v>
      </c>
      <c r="N81" s="57">
        <f t="shared" si="116"/>
        <v>2.5454545454545454</v>
      </c>
      <c r="O81" s="9"/>
      <c r="P81" s="10"/>
      <c r="Q81" s="10">
        <v>9680</v>
      </c>
      <c r="R81" s="10">
        <f>O81*P81*Q81</f>
        <v>0</v>
      </c>
      <c r="S81" s="41">
        <f>SUM(Z81,T81:Y81)</f>
        <v>4</v>
      </c>
      <c r="T81" s="173"/>
      <c r="U81" s="173">
        <v>4</v>
      </c>
      <c r="V81" s="173"/>
      <c r="W81" s="173"/>
      <c r="X81" s="173"/>
      <c r="Y81" s="173"/>
      <c r="Z81" s="1"/>
      <c r="AA81" s="206">
        <f t="shared" si="73"/>
        <v>2.9464285714285716</v>
      </c>
    </row>
    <row r="82" spans="1:27" ns3:dyDescent="0.3">
      <c r="A82" s="13" t="s">
        <v>489</v>
      </c>
      <c r="B82" s="11">
        <f>ROUNDUP(HLOOKUP(A82,'야채 계산기'!$2:$3,2,0),0)</f>
        <v>2090</v>
      </c>
      <c r="C82" s="62">
        <f>'[1]스팸무스비(25.8.26)'!$B$7</f>
        <v>3.26</v>
      </c>
      <c r="D82" s="166"/>
      <c r="E82" s="4"/>
      <c r="F82" s="3"/>
      <c r="G82" s="5" t="s">
        <v>502</v>
      </c>
      <c r="H82" s="6"/>
      <c r="I82" s="34">
        <f t="shared" si="106"/>
        <v>0</v>
      </c>
      <c r="J82" s="78" t="str">
        <f>IFERROR(VLOOKUP(C82,[2]Sheet1!$D:$J,7,0),"")</f>
        <v/>
      </c>
      <c r="K82" s="80" t="str">
        <f t="shared" si="117"/>
        <v/>
      </c>
      <c r="L82" s="7" t="str">
        <f t="shared" si="114"/>
        <v/>
      </c>
      <c r="M82" s="8" t="str">
        <f t="shared" si="115"/>
        <v/>
      </c>
      <c r="N82" s="57" t="str">
        <f t="shared" si="116"/>
        <v/>
      </c>
      <c r="O82" s="9"/>
      <c r="P82" s="10"/>
      <c r="Q82" s="10"/>
      <c r="R82" s="10"/>
      <c r="S82" s="41">
        <f t="shared" si="111"/>
        <v>0</v>
      </c>
      <c r="Y82" s="1"/>
      <c r="Z82" s="1"/>
      <c r="AA82" s="206" t="str">
        <f t="shared" si="73"/>
        <v/>
      </c>
    </row>
    <row r="83" spans="1:27" ns3:dyDescent="0.3">
      <c r="A83" s="60" t="s">
        <v>599</v>
      </c>
      <c r="B83" s="11">
        <f>ROUNDUP(HLOOKUP(A83,'야채 계산기'!$2:$3,2,0),0)</f>
        <v>440</v>
      </c>
      <c r="C83" s="164">
        <v>3.25</v>
      </c>
      <c r="D83" s="166" t="str">
        <f>IFERROR((F83/E83),"")</f>
        <v/>
      </c>
      <c r="E83" s="4"/>
      <c r="F83" s="3"/>
      <c r="G83" s="5"/>
      <c r="H83" s="39"/>
      <c r="I83" s="34">
        <f t="shared" si="106"/>
        <v>0</v>
      </c>
      <c r="J83" s="78" t="str">
        <f>IFERROR(VLOOKUP(C83,[2]Sheet1!$D:$J,7,0),"")</f>
        <v/>
      </c>
      <c r="K83" s="80" t="str">
        <f t="shared" si="117"/>
        <v/>
      </c>
      <c r="L83" s="7">
        <f t="shared" si="114"/>
        <v>0</v>
      </c>
      <c r="M83" s="8" t="str">
        <f t="shared" si="115"/>
        <v/>
      </c>
      <c r="N83" s="57" t="str">
        <f t="shared" si="116"/>
        <v/>
      </c>
      <c r="O83" s="9"/>
      <c r="P83" s="10"/>
      <c r="Q83" s="10"/>
      <c r="R83" s="10"/>
      <c r="S83" s="41">
        <f t="shared" si="111"/>
        <v>0</v>
      </c>
      <c r="Y83" s="1"/>
      <c r="Z83" s="1"/>
      <c r="AA83" s="206" t="str">
        <f t="shared" si="73"/>
        <v/>
      </c>
    </row>
    <row r="84" spans="1:27" ns3:dyDescent="0.3">
      <c r="A84" s="11"/>
      <c r="B84" s="134" t="s">
        <v>183</v>
      </c>
      <c r="C84" s="164" t="s">
        <v>98</v>
      </c>
      <c r="D84" s="166">
        <f>IFERROR((F84/E84),"")</f>
        <v>-6.625</v>
      </c>
      <c r="E84" s="4">
        <v>24</v>
      </c>
      <c r="F84" s="3">
        <f>IFERROR((L84-K84),"")</f>
        <v>-159</v>
      </c>
      <c r="G84" s="5">
        <f>G81</f>
        <v>3.5</v>
      </c>
      <c r="H84" s="6">
        <f>ROUNDUP(SUMPRODUCT(B85:B86,C85:C86)/10,0)</f>
        <v>270</v>
      </c>
      <c r="I84" s="34">
        <f t="shared" si="106"/>
        <v>144</v>
      </c>
      <c r="J84" s="78">
        <f>IFERROR(VLOOKUP(C84,[2]Sheet1!$D:$J,7,0),"")</f>
        <v>960</v>
      </c>
      <c r="K84" s="80">
        <f t="shared" si="117"/>
        <v>1104</v>
      </c>
      <c r="L84" s="7">
        <f t="shared" si="114"/>
        <v>945</v>
      </c>
      <c r="M84" s="8">
        <f t="shared" si="115"/>
        <v>159</v>
      </c>
      <c r="N84" s="57">
        <f t="shared" si="116"/>
        <v>4.0888888888888886</v>
      </c>
      <c r="O84" s="9"/>
      <c r="P84" s="10"/>
      <c r="Q84" s="10">
        <v>1139</v>
      </c>
      <c r="R84" s="10">
        <f>O84*P84*Q84</f>
        <v>0</v>
      </c>
      <c r="S84" s="41">
        <f t="shared" si="111"/>
        <v>6</v>
      </c>
      <c r="T84" s="173"/>
      <c r="U84" s="173">
        <v>6</v>
      </c>
      <c r="V84" s="173"/>
      <c r="W84" s="173"/>
      <c r="X84" s="173"/>
      <c r="Y84" s="173"/>
      <c r="Z84" s="1"/>
      <c r="AA84" s="206">
        <f t="shared" si="73"/>
        <v>12.053571428571429</v>
      </c>
    </row>
    <row r="85" spans="1:27" ns3:dyDescent="0.3">
      <c r="A85" s="60" t="s">
        <v>571</v>
      </c>
      <c r="B85" s="11">
        <f>ROUNDUP(HLOOKUP(A85,'야채 계산기'!$2:$3,2,0),0)</f>
        <v>810</v>
      </c>
      <c r="C85" s="62">
        <v>2</v>
      </c>
      <c r="D85" s="166"/>
      <c r="E85" s="4"/>
      <c r="F85" s="3"/>
      <c r="G85" s="5"/>
      <c r="H85" s="6"/>
      <c r="I85" s="34">
        <f t="shared" ref="I85" si="118">IFERROR((S85*E85),"")</f>
        <v>0</v>
      </c>
      <c r="J85" s="78" t="str">
        <f>IFERROR(VLOOKUP(C85,[2]Sheet1!$D:$J,7,0),"")</f>
        <v/>
      </c>
      <c r="K85" s="80" t="str">
        <f t="shared" si="117"/>
        <v/>
      </c>
      <c r="L85" s="7">
        <f t="shared" ref="L85" si="119">IFERROR((G85*H85),"")</f>
        <v>0</v>
      </c>
      <c r="M85" s="8" t="str">
        <f t="shared" ref="M85" si="120">IFERROR(K85-L85,"")</f>
        <v/>
      </c>
      <c r="N85" s="57" t="s">
        <v>75</v>
      </c>
      <c r="O85" s="9"/>
      <c r="P85" s="10"/>
      <c r="Q85" s="10"/>
      <c r="R85" s="10"/>
      <c r="S85" s="41">
        <f t="shared" ref="S85" si="121">SUM(Y85,T85:X85)</f>
        <v>0</v>
      </c>
      <c r="Y85" s="42"/>
      <c r="Z85" s="1"/>
      <c r="AA85" s="206" t="str">
        <f t="shared" ref="AA85" si="122">IFERROR(H85*7.5/E85/7,"")</f>
        <v/>
      </c>
    </row>
    <row r="86" spans="1:27" ns3:dyDescent="0.3">
      <c r="A86" s="60" t="s">
        <v>623</v>
      </c>
      <c r="B86" s="11">
        <f>ROUNDUP(HLOOKUP(A86,'야채 계산기'!$2:$3,2,0),0)</f>
        <v>1080</v>
      </c>
      <c r="C86" s="62">
        <v>1</v>
      </c>
      <c r="D86" s="166"/>
      <c r="E86" s="4"/>
      <c r="F86" s="3"/>
      <c r="G86" s="5"/>
      <c r="H86" s="6"/>
      <c r="I86" s="34">
        <f t="shared" si="106"/>
        <v>0</v>
      </c>
      <c r="J86" s="78" t="str">
        <f>IFERROR(VLOOKUP(C86,[2]Sheet1!$D:$J,7,0),"")</f>
        <v/>
      </c>
      <c r="K86" s="80" t="str">
        <f t="shared" ref="K86:K94" si="123">IFERROR((I86+J86),"")</f>
        <v/>
      </c>
      <c r="L86" s="7">
        <f t="shared" si="114"/>
        <v>0</v>
      </c>
      <c r="M86" s="8" t="str">
        <f t="shared" si="115"/>
        <v/>
      </c>
      <c r="N86" s="57" t="s">
        <v>75</v>
      </c>
      <c r="O86" s="9"/>
      <c r="P86" s="10"/>
      <c r="Q86" s="10"/>
      <c r="R86" s="10"/>
      <c r="S86" s="41">
        <f t="shared" si="111"/>
        <v>0</v>
      </c>
      <c r="U86" s="1" t="s">
        <v>896</v>
      </c>
      <c r="Y86" s="42"/>
      <c r="Z86" s="1"/>
      <c r="AA86" s="206" t="str">
        <f t="shared" ref="AA86:AA114" si="124">IFERROR(H86*7.5/E86/7,"")</f>
        <v/>
      </c>
    </row>
    <row r="87" spans="1:27" ns3:dyDescent="0.3">
      <c r="A87" s="11"/>
      <c r="B87" s="11"/>
      <c r="C87" s="62"/>
      <c r="D87" s="166"/>
      <c r="E87" s="4"/>
      <c r="F87" s="3"/>
      <c r="G87" s="5"/>
      <c r="H87" s="6"/>
      <c r="I87" s="34">
        <f t="shared" si="106"/>
        <v>0</v>
      </c>
      <c r="J87" s="78" t="str">
        <f>IFERROR(VLOOKUP(C87,[2]Sheet1!$D:$J,7,0),"")</f>
        <v/>
      </c>
      <c r="K87" s="80" t="str">
        <f t="shared" si="123"/>
        <v/>
      </c>
      <c r="L87" s="7">
        <f t="shared" si="114"/>
        <v>0</v>
      </c>
      <c r="M87" s="8" t="str">
        <f t="shared" si="115"/>
        <v/>
      </c>
      <c r="N87" s="57"/>
      <c r="O87" s="9"/>
      <c r="P87" s="10"/>
      <c r="Q87" s="10"/>
      <c r="R87" s="10"/>
      <c r="S87" s="41">
        <f t="shared" si="111"/>
        <v>0</v>
      </c>
      <c r="Y87" s="42"/>
      <c r="Z87" s="1"/>
      <c r="AA87" s="206" t="str">
        <f t="shared" si="124"/>
        <v/>
      </c>
    </row>
    <row r="88" spans="1:27" ns3:dyDescent="0.3">
      <c r="A88" s="95" t="s">
        <v>99</v>
      </c>
      <c r="B88" s="184" t="s">
        <v>100</v>
      </c>
      <c r="C88" s="152"/>
      <c r="D88" s="166"/>
      <c r="E88" s="4"/>
      <c r="F88" s="17"/>
      <c r="G88" s="5"/>
      <c r="H88" s="6"/>
      <c r="I88" s="34">
        <f t="shared" si="106"/>
        <v>0</v>
      </c>
      <c r="J88" s="78" t="str">
        <f>IFERROR(VLOOKUP(C88,[2]Sheet1!$D:$J,7,0),"")</f>
        <v/>
      </c>
      <c r="K88" s="80" t="str">
        <f t="shared" si="123"/>
        <v/>
      </c>
      <c r="L88" s="7">
        <f t="shared" si="114"/>
        <v>0</v>
      </c>
      <c r="M88" s="8" t="str">
        <f t="shared" si="115"/>
        <v/>
      </c>
      <c r="N88" s="57" t="str">
        <f t="shared" ref="N88" si="125">IFERROR((K88/H88),"")</f>
        <v/>
      </c>
      <c r="O88" s="9"/>
      <c r="P88" s="10"/>
      <c r="Q88" s="10"/>
      <c r="R88" s="10">
        <f t="shared" ref="R88" si="126">O88*P88*Q88</f>
        <v>0</v>
      </c>
      <c r="S88" s="41">
        <f t="shared" si="111"/>
        <v>0</v>
      </c>
      <c r="T88" s="190"/>
      <c r="U88" s="190"/>
      <c r="V88" s="190"/>
      <c r="W88" s="190"/>
      <c r="X88" s="190"/>
      <c r="Y88" s="190"/>
      <c r="Z88" s="1"/>
      <c r="AA88" s="206" t="str">
        <f t="shared" si="124"/>
        <v/>
      </c>
    </row>
    <row r="89" spans="1:27" ns3:dyDescent="0.3">
      <c r="A89" s="60"/>
      <c r="B89" s="134" t="s">
        <v>183</v>
      </c>
      <c r="C89" s="170" t="s">
        <v>589</v>
      </c>
      <c r="D89" s="166">
        <f>IFERROR((F89/E89),"")</f>
        <v>2.6</v>
      </c>
      <c r="E89" s="4">
        <v>30</v>
      </c>
      <c r="F89" s="3">
        <f>IFERROR((L89-K89),"")</f>
        <v>78</v>
      </c>
      <c r="G89" s="5">
        <v>6</v>
      </c>
      <c r="H89" s="6">
        <f>ROUNDUP(SUM(B90:B95)/350,1)</f>
        <v>18</v>
      </c>
      <c r="I89" s="34">
        <f t="shared" ref="I89:I91" si="127">IFERROR((S89*E89),"")</f>
        <v>0</v>
      </c>
      <c r="J89" s="78">
        <f>IFERROR(VLOOKUP(C89,[2]Sheet1!$D:$J,7,0),"")</f>
        <v>30</v>
      </c>
      <c r="K89" s="80">
        <f t="shared" si="123"/>
        <v>30</v>
      </c>
      <c r="L89" s="7">
        <f t="shared" ref="L89:L91" si="128">IFERROR((G89*H89),"")</f>
        <v>108</v>
      </c>
      <c r="M89" s="8">
        <f t="shared" ref="M89:M91" si="129">IFERROR(K89-L89,"")</f>
        <v>-78</v>
      </c>
      <c r="N89" s="57">
        <f t="shared" ref="N89:N91" si="130">IFERROR((K89/H89),"")</f>
        <v>1.6666666666666667</v>
      </c>
      <c r="O89" s="9"/>
      <c r="P89" s="10"/>
      <c r="Q89" s="10">
        <v>11500</v>
      </c>
      <c r="R89" s="10">
        <f>O89*P89*Q89</f>
        <v>0</v>
      </c>
      <c r="S89" s="41">
        <f t="shared" si="111"/>
        <v>0</v>
      </c>
      <c r="T89" s="193"/>
      <c r="U89" s="193"/>
      <c r="V89" s="193"/>
      <c r="W89" s="193"/>
      <c r="X89" s="193"/>
      <c r="Y89" s="193"/>
      <c r="AA89" s="206">
        <f t="shared" si="124"/>
        <v>0.6428571428571429</v>
      </c>
    </row>
    <row r="90" spans="1:27" ns3:dyDescent="0.3">
      <c r="A90" s="13" t="s">
        <v>325</v>
      </c>
      <c r="B90" s="11">
        <f>ROUNDUP(HLOOKUP(A90,'야채 계산기'!$2:$3,2,0)*1.03,0)</f>
        <v>1226</v>
      </c>
      <c r="C90" s="164"/>
      <c r="D90" s="166"/>
      <c r="E90" s="4"/>
      <c r="F90" s="3"/>
      <c r="G90" s="5"/>
      <c r="H90" s="6"/>
      <c r="I90" s="34">
        <f t="shared" si="127"/>
        <v>0</v>
      </c>
      <c r="J90" s="78" t="str">
        <f>IFERROR(VLOOKUP(C90,[2]Sheet1!$D:$J,7,0),"")</f>
        <v/>
      </c>
      <c r="K90" s="80" t="str">
        <f t="shared" si="123"/>
        <v/>
      </c>
      <c r="L90" s="7">
        <f t="shared" si="128"/>
        <v>0</v>
      </c>
      <c r="M90" s="8" t="str">
        <f t="shared" si="129"/>
        <v/>
      </c>
      <c r="N90" s="57" t="str">
        <f t="shared" si="130"/>
        <v/>
      </c>
      <c r="O90" s="9"/>
      <c r="P90" s="10"/>
      <c r="Q90" s="10"/>
      <c r="R90" s="10"/>
      <c r="S90" s="41">
        <f t="shared" si="111"/>
        <v>0</v>
      </c>
      <c r="Y90" s="1"/>
      <c r="AA90" s="206" t="str">
        <f t="shared" si="124"/>
        <v/>
      </c>
    </row>
    <row r="91" spans="1:27" ns3:dyDescent="0.3">
      <c r="A91" s="60" t="s">
        <v>189</v>
      </c>
      <c r="B91" s="11">
        <f>ROUNDUP(HLOOKUP(A91,'야채 계산기'!$2:$3,2,0)*1.03,0)</f>
        <v>145</v>
      </c>
      <c r="C91" s="164"/>
      <c r="D91" s="166"/>
      <c r="E91" s="4"/>
      <c r="F91" s="3"/>
      <c r="G91" s="5"/>
      <c r="H91" s="6"/>
      <c r="I91" s="34">
        <f t="shared" si="127"/>
        <v>0</v>
      </c>
      <c r="J91" s="78" t="str">
        <f>IFERROR(VLOOKUP(C91,[2]Sheet1!$D:$J,7,0),"")</f>
        <v/>
      </c>
      <c r="K91" s="80" t="str">
        <f t="shared" si="123"/>
        <v/>
      </c>
      <c r="L91" s="7">
        <f t="shared" si="128"/>
        <v>0</v>
      </c>
      <c r="M91" s="8" t="str">
        <f t="shared" si="129"/>
        <v/>
      </c>
      <c r="N91" s="57" t="str">
        <f t="shared" si="130"/>
        <v/>
      </c>
      <c r="O91" s="9"/>
      <c r="P91" s="10"/>
      <c r="Q91" s="10"/>
      <c r="R91" s="10"/>
      <c r="S91" s="41">
        <f t="shared" si="111"/>
        <v>0</v>
      </c>
      <c r="Y91" s="1"/>
      <c r="Z91" s="1"/>
      <c r="AA91" s="206" t="str">
        <f t="shared" si="124"/>
        <v/>
      </c>
    </row>
    <row r="92" spans="1:27" ns3:dyDescent="0.3">
      <c r="A92" s="16" t="s">
        <v>267</v>
      </c>
      <c r="B92" s="11">
        <f>ROUNDUP(HLOOKUP(A92,'야채 계산기'!$2:$3,2,0)*1.03,0)</f>
        <v>1329</v>
      </c>
      <c r="C92" s="164"/>
      <c r="D92" s="166"/>
      <c r="E92" s="4"/>
      <c r="F92" s="3"/>
      <c r="G92" s="5"/>
      <c r="H92" s="6"/>
      <c r="I92" s="34">
        <f t="shared" ref="I92:I94" si="131">IFERROR((S92*E92),"")</f>
        <v>0</v>
      </c>
      <c r="J92" s="78" t="str">
        <f>IFERROR(VLOOKUP(C92,[2]Sheet1!$D:$J,7,0),"")</f>
        <v/>
      </c>
      <c r="K92" s="80" t="str">
        <f t="shared" si="123"/>
        <v/>
      </c>
      <c r="L92" s="7">
        <f>IFERROR((G92*H92),"")</f>
        <v>0</v>
      </c>
      <c r="M92" s="8" t="str">
        <f>IFERROR(K92-L92,"")</f>
        <v/>
      </c>
      <c r="N92" s="57" t="str">
        <f t="shared" ref="N92:N97" si="132">IFERROR((K92/H92),"")</f>
        <v/>
      </c>
      <c r="O92" s="9"/>
      <c r="P92" s="10"/>
      <c r="Q92" s="10"/>
      <c r="R92" s="10"/>
      <c r="S92" s="41">
        <f t="shared" si="111"/>
        <v>0</v>
      </c>
      <c r="Y92" s="1"/>
      <c r="Z92" s="1"/>
      <c r="AA92" s="206" t="str">
        <f t="shared" si="124"/>
        <v/>
      </c>
    </row>
    <row r="93" spans="1:27" ns3:dyDescent="0.3">
      <c r="A93" s="16" t="s">
        <v>270</v>
      </c>
      <c r="B93" s="11">
        <f>ROUNDUP(HLOOKUP(A93,'야채 계산기'!$2:$3,2,0)*1.03,0)</f>
        <v>1133</v>
      </c>
      <c r="C93" s="164"/>
      <c r="D93" s="166" t="str">
        <f t="shared" ref="D93:D94" si="133">IFERROR((F93/E93),"")</f>
        <v/>
      </c>
      <c r="E93" s="4"/>
      <c r="F93" s="3"/>
      <c r="G93" s="5"/>
      <c r="H93" s="6"/>
      <c r="I93" s="34">
        <f t="shared" si="131"/>
        <v>0</v>
      </c>
      <c r="J93" s="78" t="str">
        <f>IFERROR(VLOOKUP(C93,[2]Sheet1!$D:$J,7,0),"")</f>
        <v/>
      </c>
      <c r="K93" s="80" t="str">
        <f t="shared" si="123"/>
        <v/>
      </c>
      <c r="L93" s="7">
        <f>IFERROR((G93*H93),"")</f>
        <v>0</v>
      </c>
      <c r="M93" s="8" t="str">
        <f>IFERROR(K93-L93,"")</f>
        <v/>
      </c>
      <c r="N93" s="57" t="str">
        <f t="shared" si="132"/>
        <v/>
      </c>
      <c r="O93" s="9"/>
      <c r="P93" s="10"/>
      <c r="Q93" s="10"/>
      <c r="R93" s="10"/>
      <c r="S93" s="41">
        <f t="shared" si="111"/>
        <v>0</v>
      </c>
      <c r="T93" s="190"/>
      <c r="U93" s="190"/>
      <c r="V93" s="190"/>
      <c r="W93" s="190"/>
      <c r="X93" s="190"/>
      <c r="Y93" s="190"/>
      <c r="Z93" s="1"/>
      <c r="AA93" s="206" t="str">
        <f t="shared" si="124"/>
        <v/>
      </c>
    </row>
    <row r="94" spans="1:27" ns3:dyDescent="0.3">
      <c r="A94" s="16" t="s">
        <v>269</v>
      </c>
      <c r="B94" s="11">
        <f>ROUNDUP(HLOOKUP(A94,'야채 계산기'!$2:$3,2,0)*1.03,0)</f>
        <v>1082</v>
      </c>
      <c r="C94" s="164"/>
      <c r="D94" s="166" t="str">
        <f t="shared" si="133"/>
        <v/>
      </c>
      <c r="E94" s="4"/>
      <c r="F94" s="3"/>
      <c r="G94" s="5"/>
      <c r="H94" s="6"/>
      <c r="I94" s="34">
        <f t="shared" si="131"/>
        <v>0</v>
      </c>
      <c r="J94" s="78" t="str">
        <f>IFERROR(VLOOKUP(C94,[2]Sheet1!$D:$J,7,0),"")</f>
        <v/>
      </c>
      <c r="K94" s="80" t="str">
        <f t="shared" si="123"/>
        <v/>
      </c>
      <c r="L94" s="7">
        <f t="shared" ref="L94" si="134">IFERROR((G94*H94),"")</f>
        <v>0</v>
      </c>
      <c r="M94" s="8" t="str">
        <f t="shared" ref="M94" si="135">IFERROR(K94-L94,"")</f>
        <v/>
      </c>
      <c r="N94" s="57" t="str">
        <f t="shared" si="132"/>
        <v/>
      </c>
      <c r="O94" s="9"/>
      <c r="P94" s="10"/>
      <c r="Q94" s="10"/>
      <c r="R94" s="10"/>
      <c r="S94" s="41">
        <f t="shared" si="111"/>
        <v>0</v>
      </c>
      <c r="T94" s="190"/>
      <c r="U94" s="190"/>
      <c r="V94" s="190"/>
      <c r="W94" s="190"/>
      <c r="X94" s="190"/>
      <c r="Y94" s="190"/>
      <c r="Z94" s="1"/>
      <c r="AA94" s="206" t="str">
        <f t="shared" si="124"/>
        <v/>
      </c>
    </row>
    <row r="95" spans="1:27" ns3:dyDescent="0.3">
      <c r="A95" s="16" t="s">
        <v>443</v>
      </c>
      <c r="B95" s="11">
        <f>ROUNDUP(HLOOKUP(A95,'야채 계산기'!$2:$3,2,0)*1.03,0)</f>
        <v>1381</v>
      </c>
      <c r="C95" s="164"/>
      <c r="D95" s="166" t="str">
        <f t="shared" ref="D95" si="136">IFERROR((F95/E95),"")</f>
        <v/>
      </c>
      <c r="E95" s="4"/>
      <c r="F95" s="3"/>
      <c r="G95" s="5"/>
      <c r="H95" s="6"/>
      <c r="I95" s="34">
        <f t="shared" ref="I95" si="137">IFERROR((S95*E95),"")</f>
        <v>0</v>
      </c>
      <c r="J95" s="78" t="str">
        <f>IFERROR(VLOOKUP(C95,[2]Sheet1!$D:$J,7,0),"")</f>
        <v/>
      </c>
      <c r="K95" s="80" t="str">
        <f t="shared" ref="K95" si="138">IFERROR((I95+J95),"")</f>
        <v/>
      </c>
      <c r="L95" s="7">
        <f t="shared" ref="L95" si="139">IFERROR((G95*H95),"")</f>
        <v>0</v>
      </c>
      <c r="M95" s="8" t="str">
        <f t="shared" ref="M95" si="140">IFERROR(K95-L95,"")</f>
        <v/>
      </c>
      <c r="N95" s="57" t="str">
        <f t="shared" ref="N95" si="141">IFERROR((K95/H95),"")</f>
        <v/>
      </c>
      <c r="O95" s="9"/>
      <c r="P95" s="10"/>
      <c r="Q95" s="10"/>
      <c r="R95" s="10"/>
      <c r="S95" s="41">
        <f t="shared" si="111"/>
        <v>0</v>
      </c>
      <c r="T95" s="190"/>
      <c r="U95" s="190"/>
      <c r="V95" s="190"/>
      <c r="W95" s="190"/>
      <c r="X95" s="190"/>
      <c r="Y95" s="190"/>
      <c r="Z95" s="1"/>
      <c r="AA95" s="206" t="str">
        <f t="shared" si="124"/>
        <v/>
      </c>
    </row>
    <row r="96" spans="1:27" ns3:dyDescent="0.3">
      <c r="A96" s="60"/>
      <c r="B96" s="11"/>
      <c r="C96" s="170" t="s">
        <v>333</v>
      </c>
      <c r="D96" s="166">
        <f>IFERROR((F96/E96),"")</f>
        <v>1.1875</v>
      </c>
      <c r="E96" s="4">
        <v>32</v>
      </c>
      <c r="F96" s="3">
        <f>IFERROR((L96-K96),"")</f>
        <v>38</v>
      </c>
      <c r="G96" s="5">
        <f>G89</f>
        <v>6</v>
      </c>
      <c r="H96" s="6">
        <f>ROUNDUP(SUM(B97:B97)/100,0)</f>
        <v>33</v>
      </c>
      <c r="I96" s="34">
        <f>IFERROR((S96*E96),"")</f>
        <v>96</v>
      </c>
      <c r="J96" s="78">
        <f>IFERROR(VLOOKUP(C96,[2]Sheet1!$D:$J,7,0),"")</f>
        <v>64</v>
      </c>
      <c r="K96" s="80">
        <f>IFERROR((I96+J96),"")</f>
        <v>160</v>
      </c>
      <c r="L96" s="7">
        <f>IFERROR((G96*H96),"")</f>
        <v>198</v>
      </c>
      <c r="M96" s="8">
        <f>IFERROR(K96-L96,"")</f>
        <v>-38</v>
      </c>
      <c r="N96" s="57">
        <f t="shared" si="132"/>
        <v>4.8484848484848486</v>
      </c>
      <c r="O96" s="9"/>
      <c r="P96" s="10"/>
      <c r="Q96" s="10">
        <v>10200</v>
      </c>
      <c r="R96" s="10">
        <f t="shared" ref="R96:R97" si="142">O96*P96*Q96</f>
        <v>0</v>
      </c>
      <c r="S96" s="41">
        <f t="shared" si="111"/>
        <v>3</v>
      </c>
      <c r="T96" s="193"/>
      <c r="U96" s="193"/>
      <c r="V96" s="193">
        <v>3</v>
      </c>
      <c r="W96" s="193"/>
      <c r="X96" s="193"/>
      <c r="Y96" s="193"/>
      <c r="Z96" s="1"/>
      <c r="AA96" s="206">
        <f t="shared" si="124"/>
        <v>1.1049107142857142</v>
      </c>
    </row>
    <row r="97" spans="1:27" ns3:dyDescent="0.3">
      <c r="A97" s="273" t="s">
        <v>16</v>
      </c>
      <c r="B97" s="11">
        <f>ROUNDUP(HLOOKUP(A97,'야채 계산기'!$2:$3,2,0)*1.03,0)</f>
        <v>3245</v>
      </c>
      <c r="C97" s="170"/>
      <c r="D97" s="166" t="str">
        <f>IFERROR((F97/E97),"")</f>
        <v/>
      </c>
      <c r="E97" s="4"/>
      <c r="F97" s="3"/>
      <c r="G97" s="5"/>
      <c r="H97" s="6"/>
      <c r="I97" s="34">
        <f>IFERROR((S97*E97),"")</f>
        <v>0</v>
      </c>
      <c r="J97" s="78" t="str">
        <f>IFERROR(VLOOKUP(C97,[2]Sheet1!$D:$J,7,0),"")</f>
        <v/>
      </c>
      <c r="K97" s="80" t="str">
        <f>IFERROR((I97+J97),"")</f>
        <v/>
      </c>
      <c r="L97" s="7">
        <f>IFERROR((G97*H97),"")</f>
        <v>0</v>
      </c>
      <c r="M97" s="8" t="str">
        <f>IFERROR(K97-L97,"")</f>
        <v/>
      </c>
      <c r="N97" s="57" t="str">
        <f t="shared" si="132"/>
        <v/>
      </c>
      <c r="O97" s="9"/>
      <c r="P97" s="10"/>
      <c r="Q97" s="10"/>
      <c r="R97" s="10">
        <f t="shared" si="142"/>
        <v>0</v>
      </c>
      <c r="S97" s="41">
        <f t="shared" si="111"/>
        <v>0</v>
      </c>
      <c r="Y97" s="1"/>
      <c r="Z97" s="1"/>
      <c r="AA97" s="206" t="str">
        <f t="shared" si="124"/>
        <v/>
      </c>
    </row>
    <row r="98" spans="1:27" ns3:dyDescent="0.3">
      <c r="A98" s="60"/>
      <c r="B98" s="11"/>
      <c r="C98" s="144" t="s">
        <v>444</v>
      </c>
      <c r="D98" s="166">
        <f>IFERROR((F98/E98),"")</f>
        <v>0.97500000000000009</v>
      </c>
      <c r="E98" s="4">
        <v>8</v>
      </c>
      <c r="F98" s="3">
        <f>IFERROR((L98-K98),"")</f>
        <v>7.8000000000000007</v>
      </c>
      <c r="G98" s="5">
        <f>G96</f>
        <v>6</v>
      </c>
      <c r="H98" s="6">
        <f>ROUNDUP((B99*C99+B100*C100)/450,1)</f>
        <v>1.3</v>
      </c>
      <c r="I98" s="34">
        <f t="shared" ref="I98:I141" si="143">IFERROR((S98*E98),"")</f>
        <v>0</v>
      </c>
      <c r="J98" s="78">
        <f>IFERROR(VLOOKUP(C98,[2]Sheet1!$D:$J,7,0),"")</f>
        <v>0</v>
      </c>
      <c r="K98" s="80">
        <f t="shared" ref="K98:K132" si="144">IFERROR((I98+J98),"")</f>
        <v>0</v>
      </c>
      <c r="L98" s="7">
        <f t="shared" si="114"/>
        <v>7.8000000000000007</v>
      </c>
      <c r="M98" s="8">
        <f t="shared" si="115"/>
        <v>-7.8000000000000007</v>
      </c>
      <c r="N98" s="57">
        <f>IFERROR((K98/H98),"")</f>
        <v>0</v>
      </c>
      <c r="O98" s="9"/>
      <c r="P98" s="10"/>
      <c r="Q98" s="10">
        <v>85200</v>
      </c>
      <c r="R98" s="10">
        <f t="shared" ref="R98:R117" si="145">O98*P98*Q98</f>
        <v>0</v>
      </c>
      <c r="S98" s="41">
        <f t="shared" si="111"/>
        <v>0</v>
      </c>
      <c r="Y98" s="42"/>
      <c r="Z98" s="1"/>
      <c r="AA98" s="206">
        <f t="shared" si="124"/>
        <v>0.17410714285714285</v>
      </c>
    </row>
    <row r="99" spans="1:27" ns3:dyDescent="0.3">
      <c r="A99" s="60" t="s">
        <v>174</v>
      </c>
      <c r="B99" s="11">
        <f>ROUNDUP(HLOOKUP(A99,'야채 계산기'!$2:$3,2,0)*1.03,0)</f>
        <v>176</v>
      </c>
      <c r="C99" s="156">
        <v>1.7</v>
      </c>
      <c r="D99" s="166"/>
      <c r="E99" s="4"/>
      <c r="F99" s="3"/>
      <c r="G99" s="5"/>
      <c r="H99" s="6"/>
      <c r="I99" s="34">
        <f t="shared" si="143"/>
        <v>0</v>
      </c>
      <c r="J99" s="78" t="str">
        <f>IFERROR(VLOOKUP(C99,[2]Sheet1!$D:$J,7,0),"")</f>
        <v/>
      </c>
      <c r="K99" s="80" t="str">
        <f t="shared" si="144"/>
        <v/>
      </c>
      <c r="L99" s="7">
        <f t="shared" si="114"/>
        <v>0</v>
      </c>
      <c r="M99" s="8" t="str">
        <f t="shared" si="115"/>
        <v/>
      </c>
      <c r="N99" s="57"/>
      <c r="O99" s="9"/>
      <c r="P99" s="10"/>
      <c r="Q99" s="10"/>
      <c r="R99" s="10"/>
      <c r="S99" s="41">
        <f t="shared" si="111"/>
        <v>0</v>
      </c>
      <c r="T99" s="190"/>
      <c r="U99" s="190"/>
      <c r="V99" s="190"/>
      <c r="W99" s="190"/>
      <c r="X99" s="190"/>
      <c r="Y99" s="42"/>
      <c r="Z99" s="1"/>
      <c r="AA99" s="206" t="str">
        <f t="shared" si="124"/>
        <v/>
      </c>
    </row>
    <row r="100" spans="1:27" ns3:dyDescent="0.3">
      <c r="A100" s="60" t="s">
        <v>189</v>
      </c>
      <c r="B100" s="11">
        <f>ROUNDUP(HLOOKUP(A100,'야채 계산기'!$2:$3,2,0)*1.03,0)</f>
        <v>145</v>
      </c>
      <c r="C100" s="156">
        <v>1.7</v>
      </c>
      <c r="D100" s="166"/>
      <c r="E100" s="4"/>
      <c r="F100" s="3"/>
      <c r="G100" s="5"/>
      <c r="H100" s="6"/>
      <c r="I100" s="34">
        <f t="shared" si="143"/>
        <v>0</v>
      </c>
      <c r="J100" s="78" t="str">
        <f>IFERROR(VLOOKUP(C100,[2]Sheet1!$D:$J,7,0),"")</f>
        <v/>
      </c>
      <c r="K100" s="80" t="str">
        <f t="shared" si="144"/>
        <v/>
      </c>
      <c r="L100" s="7">
        <f t="shared" si="114"/>
        <v>0</v>
      </c>
      <c r="M100" s="8" t="str">
        <f t="shared" si="115"/>
        <v/>
      </c>
      <c r="N100" s="57"/>
      <c r="O100" s="9"/>
      <c r="P100" s="10"/>
      <c r="Q100" s="10"/>
      <c r="R100" s="10"/>
      <c r="S100" s="41">
        <f t="shared" si="111"/>
        <v>0</v>
      </c>
      <c r="T100" s="190"/>
      <c r="U100" s="190"/>
      <c r="V100" s="190"/>
      <c r="W100" s="190"/>
      <c r="X100" s="190"/>
      <c r="Y100" s="42"/>
      <c r="Z100" s="1"/>
      <c r="AA100" s="206" t="str">
        <f t="shared" si="124"/>
        <v/>
      </c>
    </row>
    <row r="101" spans="1:27" ns3:dyDescent="0.3">
      <c r="A101" s="13"/>
      <c r="B101" s="134" t="s">
        <v>183</v>
      </c>
      <c r="C101" s="144" t="s">
        <v>61</v>
      </c>
      <c r="D101" s="166">
        <f>IFERROR((F101/E101),"")</f>
        <v>9.4500000000000011</v>
      </c>
      <c r="E101" s="4">
        <v>8</v>
      </c>
      <c r="F101" s="3">
        <f>IFERROR((L101-K101),"")</f>
        <v>75.600000000000009</v>
      </c>
      <c r="G101" s="5">
        <f>G96</f>
        <v>6</v>
      </c>
      <c r="H101" s="6">
        <f>ROUNDUP(SUM(B102:B112)/(450*1.5),1)</f>
        <v>20.6</v>
      </c>
      <c r="I101" s="34">
        <f>IFERROR((S101*E101),"")</f>
        <v>0</v>
      </c>
      <c r="J101" s="78">
        <f>IFERROR(VLOOKUP(C101,[2]Sheet1!$D:$J,7,0),"")</f>
        <v>48</v>
      </c>
      <c r="K101" s="80">
        <f>IFERROR((I101+J101),"")</f>
        <v>48</v>
      </c>
      <c r="L101" s="7">
        <f>IFERROR((G101*H101),"")</f>
        <v>123.60000000000001</v>
      </c>
      <c r="M101" s="8">
        <f>IFERROR(K101-L101,"")</f>
        <v>-75.600000000000009</v>
      </c>
      <c r="N101" s="57">
        <f t="shared" ref="N101:N108" si="146">IFERROR((K101/H101),"")</f>
        <v>2.3300970873786406</v>
      </c>
      <c r="O101" s="9"/>
      <c r="P101" s="10"/>
      <c r="Q101" s="10">
        <v>63900</v>
      </c>
      <c r="R101" s="10">
        <f>O101*P101*Q101</f>
        <v>0</v>
      </c>
      <c r="S101" s="41">
        <f t="shared" si="111"/>
        <v>0</v>
      </c>
      <c r="T101" s="193"/>
      <c r="U101" s="193"/>
      <c r="V101" s="193"/>
      <c r="W101" s="193"/>
      <c r="X101" s="193"/>
      <c r="Y101" s="193"/>
      <c r="Z101" s="1"/>
      <c r="AA101" s="206">
        <f t="shared" si="124"/>
        <v>2.7589285714285716</v>
      </c>
    </row>
    <row r="102" spans="1:27" ns3:dyDescent="0.3">
      <c r="A102" s="13" t="s">
        <v>325</v>
      </c>
      <c r="B102" s="11">
        <f>ROUNDUP(HLOOKUP(A102,'야채 계산기'!$2:$3,2,0)*1.03,0)</f>
        <v>1226</v>
      </c>
      <c r="C102" s="164"/>
      <c r="D102" s="166" t="str">
        <f>IFERROR((F102/E102),"")</f>
        <v/>
      </c>
      <c r="E102" s="4"/>
      <c r="F102" s="3"/>
      <c r="G102" s="5"/>
      <c r="H102" s="6"/>
      <c r="I102" s="34">
        <f>IFERROR((S102*E102),"")</f>
        <v>0</v>
      </c>
      <c r="J102" s="78" t="str">
        <f>IFERROR(VLOOKUP(C102,[2]Sheet1!$D:$J,7,0),"")</f>
        <v/>
      </c>
      <c r="K102" s="80" t="str">
        <f>IFERROR((I102+J102),"")</f>
        <v/>
      </c>
      <c r="L102" s="7">
        <f>IFERROR((G102*H102),"")</f>
        <v>0</v>
      </c>
      <c r="M102" s="8" t="str">
        <f>IFERROR(K102-L102,"")</f>
        <v/>
      </c>
      <c r="N102" s="57" t="str">
        <f t="shared" si="146"/>
        <v/>
      </c>
      <c r="O102" s="9"/>
      <c r="P102" s="10"/>
      <c r="Q102" s="10"/>
      <c r="R102" s="10">
        <f>O102*P102*Q102</f>
        <v>0</v>
      </c>
      <c r="S102" s="41">
        <f t="shared" si="111"/>
        <v>0</v>
      </c>
      <c r="T102" s="190"/>
      <c r="U102" s="190"/>
      <c r="V102" s="190"/>
      <c r="W102" s="190"/>
      <c r="X102" s="190"/>
      <c r="Y102" s="42"/>
      <c r="AA102" s="206" t="str">
        <f t="shared" si="124"/>
        <v/>
      </c>
    </row>
    <row r="103" spans="1:27" ns3:dyDescent="0.3">
      <c r="A103" s="16" t="s">
        <v>267</v>
      </c>
      <c r="B103" s="11">
        <f>ROUNDUP(HLOOKUP(A103,'야채 계산기'!$2:$3,2,0)*1.03,0)</f>
        <v>1329</v>
      </c>
      <c r="C103" s="202"/>
      <c r="D103" s="166" t="str">
        <f t="shared" ref="D103:D106" si="147">IFERROR((F103/E103),"")</f>
        <v/>
      </c>
      <c r="E103" s="4"/>
      <c r="F103" s="3"/>
      <c r="G103" s="5"/>
      <c r="H103" s="39"/>
      <c r="I103" s="34">
        <f>IFERROR((S103*E103),"")</f>
        <v>0</v>
      </c>
      <c r="J103" s="78" t="str">
        <f>IFERROR(VLOOKUP(C103,[2]Sheet1!$D:$J,7,0),"")</f>
        <v/>
      </c>
      <c r="K103" s="80" t="str">
        <f>IFERROR((I103+J103),"")</f>
        <v/>
      </c>
      <c r="L103" s="7">
        <f>IFERROR((G103*H103),"")</f>
        <v>0</v>
      </c>
      <c r="M103" s="8" t="str">
        <f>IFERROR(K103-L103,"")</f>
        <v/>
      </c>
      <c r="N103" s="57" t="str">
        <f t="shared" si="146"/>
        <v/>
      </c>
      <c r="O103" s="9"/>
      <c r="P103" s="10"/>
      <c r="Q103" s="10"/>
      <c r="R103" s="10"/>
      <c r="S103" s="41">
        <f t="shared" si="111"/>
        <v>0</v>
      </c>
      <c r="T103" s="190"/>
      <c r="U103" s="190"/>
      <c r="V103" s="190"/>
      <c r="W103" s="190"/>
      <c r="X103" s="190"/>
      <c r="Y103" s="42"/>
      <c r="AA103" s="206" t="str">
        <f t="shared" si="124"/>
        <v/>
      </c>
    </row>
    <row r="104" spans="1:27" ns3:dyDescent="0.3">
      <c r="A104" s="16" t="s">
        <v>256</v>
      </c>
      <c r="B104" s="11">
        <f>ROUNDUP(HLOOKUP(A104,'야채 계산기'!$2:$3,2,0)*1.03,0)</f>
        <v>2926</v>
      </c>
      <c r="C104" s="156"/>
      <c r="D104" s="166" t="str">
        <f t="shared" si="147"/>
        <v/>
      </c>
      <c r="E104" s="4"/>
      <c r="F104" s="3"/>
      <c r="G104" s="5"/>
      <c r="H104" s="6"/>
      <c r="I104" s="34">
        <f>IFERROR((S104*E104),"")</f>
        <v>0</v>
      </c>
      <c r="J104" s="78" t="str">
        <f>IFERROR(VLOOKUP(C104,[2]Sheet1!$D:$J,7,0),"")</f>
        <v/>
      </c>
      <c r="K104" s="80" t="str">
        <f>IFERROR((I104+J104),"")</f>
        <v/>
      </c>
      <c r="L104" s="7">
        <f>IFERROR((G104*H104),"")</f>
        <v>0</v>
      </c>
      <c r="M104" s="8" t="str">
        <f>IFERROR(K104-L104,"")</f>
        <v/>
      </c>
      <c r="N104" s="57" t="str">
        <f t="shared" si="146"/>
        <v/>
      </c>
      <c r="O104" s="9"/>
      <c r="P104" s="10"/>
      <c r="Q104" s="10"/>
      <c r="R104" s="10"/>
      <c r="S104" s="41">
        <f t="shared" si="111"/>
        <v>0</v>
      </c>
      <c r="T104" s="190"/>
      <c r="U104" s="190"/>
      <c r="V104" s="190"/>
      <c r="W104" s="190"/>
      <c r="X104" s="190"/>
      <c r="Y104" s="42"/>
      <c r="AA104" s="206" t="str">
        <f t="shared" si="124"/>
        <v/>
      </c>
    </row>
    <row r="105" spans="1:27" ns3:dyDescent="0.3">
      <c r="A105" s="16" t="s">
        <v>268</v>
      </c>
      <c r="B105" s="11">
        <f>ROUNDUP(HLOOKUP(A105,'야채 계산기'!$2:$3,2,0)*1.03,0)</f>
        <v>1133</v>
      </c>
      <c r="C105" s="156"/>
      <c r="D105" s="166" t="str">
        <f t="shared" si="147"/>
        <v/>
      </c>
      <c r="E105" s="4"/>
      <c r="F105" s="3"/>
      <c r="G105" s="5"/>
      <c r="H105" s="6"/>
      <c r="I105" s="34">
        <f t="shared" ref="I105" si="148">IFERROR((S105*E105),"")</f>
        <v>0</v>
      </c>
      <c r="J105" s="78" t="str">
        <f>IFERROR(VLOOKUP(C105,[2]Sheet1!$D:$J,7,0),"")</f>
        <v/>
      </c>
      <c r="K105" s="80" t="str">
        <f t="shared" ref="K105" si="149">IFERROR((I105+J105),"")</f>
        <v/>
      </c>
      <c r="L105" s="7">
        <f t="shared" ref="L105" si="150">IFERROR((G105*H105),"")</f>
        <v>0</v>
      </c>
      <c r="M105" s="8" t="str">
        <f t="shared" ref="M105" si="151">IFERROR(K105-L105,"")</f>
        <v/>
      </c>
      <c r="N105" s="57" t="str">
        <f t="shared" si="146"/>
        <v/>
      </c>
      <c r="O105" s="9"/>
      <c r="P105" s="10"/>
      <c r="Q105" s="10"/>
      <c r="R105" s="10"/>
      <c r="S105" s="41">
        <f t="shared" si="111"/>
        <v>0</v>
      </c>
      <c r="T105" s="190"/>
      <c r="U105" s="190"/>
      <c r="V105" s="190"/>
      <c r="W105" s="190"/>
      <c r="X105" s="190"/>
      <c r="Y105" s="42"/>
      <c r="AA105" s="206" t="str">
        <f t="shared" si="124"/>
        <v/>
      </c>
    </row>
    <row r="106" spans="1:27" ns3:dyDescent="0.3">
      <c r="A106" s="16" t="s">
        <v>269</v>
      </c>
      <c r="B106" s="11">
        <f>ROUNDUP(HLOOKUP(A106,'야채 계산기'!$2:$3,2,0)*1.03,0)</f>
        <v>1082</v>
      </c>
      <c r="C106" s="156"/>
      <c r="D106" s="166" t="str">
        <f t="shared" si="147"/>
        <v/>
      </c>
      <c r="E106" s="4"/>
      <c r="F106" s="3"/>
      <c r="G106" s="5"/>
      <c r="H106" s="6"/>
      <c r="I106" s="34">
        <f>IFERROR((S106*E106),"")</f>
        <v>0</v>
      </c>
      <c r="J106" s="78" t="str">
        <f>IFERROR(VLOOKUP(C106,[2]Sheet1!$D:$J,7,0),"")</f>
        <v/>
      </c>
      <c r="K106" s="80" t="str">
        <f>IFERROR((I106+J106),"")</f>
        <v/>
      </c>
      <c r="L106" s="7">
        <f>IFERROR((G106*H106),"")</f>
        <v>0</v>
      </c>
      <c r="M106" s="8" t="str">
        <f>IFERROR(K106-L106,"")</f>
        <v/>
      </c>
      <c r="N106" s="57" t="str">
        <f t="shared" si="146"/>
        <v/>
      </c>
      <c r="O106" s="9"/>
      <c r="P106" s="10"/>
      <c r="Q106" s="10"/>
      <c r="R106" s="10"/>
      <c r="S106" s="41">
        <f t="shared" si="111"/>
        <v>0</v>
      </c>
      <c r="T106" s="190"/>
      <c r="U106" s="190"/>
      <c r="V106" s="190"/>
      <c r="W106" s="190"/>
      <c r="X106" s="190"/>
      <c r="Y106" s="42"/>
      <c r="AA106" s="206" t="str">
        <f t="shared" si="124"/>
        <v/>
      </c>
    </row>
    <row r="107" spans="1:27" ns3:dyDescent="0.3">
      <c r="A107" s="16" t="s">
        <v>443</v>
      </c>
      <c r="B107" s="11">
        <f>ROUNDUP(HLOOKUP(A107,'야채 계산기'!$2:$3,2,0)*1.03,0)</f>
        <v>1381</v>
      </c>
      <c r="C107" s="156"/>
      <c r="D107" s="166" t="str">
        <f>IFERROR((F107/E107),"")</f>
        <v/>
      </c>
      <c r="E107" s="4"/>
      <c r="F107" s="3"/>
      <c r="G107" s="5"/>
      <c r="H107" s="6"/>
      <c r="I107" s="34">
        <f>IFERROR((S107*E107),"")</f>
        <v>0</v>
      </c>
      <c r="J107" s="78" t="str">
        <f>IFERROR(VLOOKUP(C107,[2]Sheet1!$D:$J,7,0),"")</f>
        <v/>
      </c>
      <c r="K107" s="80" t="str">
        <f>IFERROR((I107+J107),"")</f>
        <v/>
      </c>
      <c r="L107" s="7">
        <f>IFERROR((G107*H107),"")</f>
        <v>0</v>
      </c>
      <c r="M107" s="8" t="str">
        <f>IFERROR(K107-L107,"")</f>
        <v/>
      </c>
      <c r="N107" s="57" t="str">
        <f t="shared" si="146"/>
        <v/>
      </c>
      <c r="O107" s="9"/>
      <c r="P107" s="10"/>
      <c r="Q107" s="10"/>
      <c r="R107" s="10"/>
      <c r="S107" s="41">
        <f t="shared" si="111"/>
        <v>0</v>
      </c>
      <c r="T107" s="190"/>
      <c r="U107" s="190"/>
      <c r="V107" s="190"/>
      <c r="W107" s="190"/>
      <c r="X107" s="190"/>
      <c r="Y107" s="42"/>
      <c r="AA107" s="206" t="str">
        <f t="shared" si="124"/>
        <v/>
      </c>
    </row>
    <row r="108" spans="1:27" ns3:dyDescent="0.3">
      <c r="A108" s="61" t="s">
        <v>563</v>
      </c>
      <c r="B108" s="11">
        <f>ROUNDUP(HLOOKUP(A108,'야채 계산기'!$2:$3,2,0)*1.03,0)</f>
        <v>1834</v>
      </c>
      <c r="C108" s="156"/>
      <c r="D108" s="166" t="str">
        <f>IFERROR((F108/E108),"")</f>
        <v/>
      </c>
      <c r="E108" s="4"/>
      <c r="F108" s="3"/>
      <c r="G108" s="5"/>
      <c r="H108" s="6"/>
      <c r="I108" s="34">
        <f>IFERROR((S108*E108),"")</f>
        <v>0</v>
      </c>
      <c r="J108" s="78" t="str">
        <f>IFERROR(VLOOKUP(C108,[2]Sheet1!$D:$J,7,0),"")</f>
        <v/>
      </c>
      <c r="K108" s="80" t="str">
        <f>IFERROR((I108+J108),"")</f>
        <v/>
      </c>
      <c r="L108" s="7">
        <f>IFERROR((G108*H108),"")</f>
        <v>0</v>
      </c>
      <c r="M108" s="8" t="str">
        <f>IFERROR(K108-L108,"")</f>
        <v/>
      </c>
      <c r="N108" s="57" t="str">
        <f t="shared" si="146"/>
        <v/>
      </c>
      <c r="O108" s="9"/>
      <c r="P108" s="10"/>
      <c r="Q108" s="10"/>
      <c r="R108" s="10"/>
      <c r="S108" s="41">
        <f t="shared" si="111"/>
        <v>0</v>
      </c>
      <c r="T108" s="190"/>
      <c r="U108" s="190"/>
      <c r="V108" s="190"/>
      <c r="W108" s="190"/>
      <c r="X108" s="190"/>
      <c r="Y108" s="42"/>
      <c r="AA108" s="206" t="str">
        <f t="shared" si="124"/>
        <v/>
      </c>
    </row>
    <row r="109" spans="1:27" ns3:dyDescent="0.3">
      <c r="A109" s="13" t="s">
        <v>174</v>
      </c>
      <c r="B109" s="11">
        <f>ROUNDUP(HLOOKUP(A109,'야채 계산기'!$2:$3,2,0)*1.03,0)</f>
        <v>176</v>
      </c>
      <c r="C109" s="191"/>
      <c r="D109" s="166"/>
      <c r="E109" s="4"/>
      <c r="F109" s="3"/>
      <c r="G109" s="5"/>
      <c r="H109" s="6"/>
      <c r="I109" s="34">
        <f t="shared" ref="I109:I112" si="152">IFERROR((S109*E109),"")</f>
        <v>0</v>
      </c>
      <c r="J109" s="78" t="str">
        <f>IFERROR(VLOOKUP(C109,[2]Sheet1!$D:$J,7,0),"")</f>
        <v/>
      </c>
      <c r="K109" s="80" t="str">
        <f t="shared" ref="K109:K112" si="153">IFERROR((I109+J109),"")</f>
        <v/>
      </c>
      <c r="L109" s="7">
        <f t="shared" ref="L109:L112" si="154">IFERROR((G109*H109),"")</f>
        <v>0</v>
      </c>
      <c r="M109" s="8" t="str">
        <f t="shared" ref="M109:M112" si="155">IFERROR(K109-L109,"")</f>
        <v/>
      </c>
      <c r="N109" s="57"/>
      <c r="O109" s="9"/>
      <c r="P109" s="10"/>
      <c r="Q109" s="10"/>
      <c r="R109" s="10"/>
      <c r="S109" s="41">
        <f t="shared" si="111"/>
        <v>0</v>
      </c>
      <c r="T109" s="190"/>
      <c r="U109" s="190"/>
      <c r="V109" s="190"/>
      <c r="W109" s="190"/>
      <c r="X109" s="190"/>
      <c r="Y109" s="42"/>
      <c r="Z109" s="1"/>
      <c r="AA109" s="206" t="str">
        <f t="shared" si="124"/>
        <v/>
      </c>
    </row>
    <row r="110" spans="1:27" ns3:dyDescent="0.3">
      <c r="A110" s="13" t="s">
        <v>189</v>
      </c>
      <c r="B110" s="11">
        <f>ROUNDUP(HLOOKUP(A110,'야채 계산기'!$2:$3,2,0)*1.03,0)</f>
        <v>145</v>
      </c>
      <c r="C110" s="191"/>
      <c r="D110" s="166"/>
      <c r="E110" s="4"/>
      <c r="F110" s="3"/>
      <c r="G110" s="5"/>
      <c r="H110" s="6"/>
      <c r="I110" s="34">
        <f t="shared" si="152"/>
        <v>0</v>
      </c>
      <c r="J110" s="78" t="str">
        <f>IFERROR(VLOOKUP(C110,[2]Sheet1!$D:$J,7,0),"")</f>
        <v/>
      </c>
      <c r="K110" s="80" t="str">
        <f t="shared" si="153"/>
        <v/>
      </c>
      <c r="L110" s="7">
        <f t="shared" si="154"/>
        <v>0</v>
      </c>
      <c r="M110" s="8" t="str">
        <f t="shared" si="155"/>
        <v/>
      </c>
      <c r="N110" s="57"/>
      <c r="O110" s="9"/>
      <c r="P110" s="10"/>
      <c r="Q110" s="10"/>
      <c r="R110" s="10"/>
      <c r="S110" s="41">
        <f t="shared" si="111"/>
        <v>0</v>
      </c>
      <c r="Y110" s="42"/>
      <c r="Z110" s="1"/>
      <c r="AA110" s="206" t="str">
        <f t="shared" si="124"/>
        <v/>
      </c>
    </row>
    <row r="111" spans="1:27" ns3:dyDescent="0.3">
      <c r="A111" s="60" t="s">
        <v>649</v>
      </c>
      <c r="B111" s="11">
        <f>ROUNDUP(HLOOKUP(A111,'야채 계산기'!$2:$3,2,0)*1.03,0)</f>
        <v>742</v>
      </c>
      <c r="C111" s="191"/>
      <c r="D111" s="166"/>
      <c r="E111" s="4"/>
      <c r="F111" s="3"/>
      <c r="G111" s="5"/>
      <c r="H111" s="6"/>
      <c r="I111" s="34">
        <f t="shared" ref="I111" si="156">IFERROR((S111*E111),"")</f>
        <v>0</v>
      </c>
      <c r="J111" s="78" t="str">
        <f>IFERROR(VLOOKUP(C111,[2]Sheet1!$D:$J,7,0),"")</f>
        <v/>
      </c>
      <c r="K111" s="80" t="str">
        <f t="shared" ref="K111" si="157">IFERROR((I111+J111),"")</f>
        <v/>
      </c>
      <c r="L111" s="7">
        <f t="shared" ref="L111" si="158">IFERROR((G111*H111),"")</f>
        <v>0</v>
      </c>
      <c r="M111" s="8" t="str">
        <f t="shared" ref="M111" si="159">IFERROR(K111-L111,"")</f>
        <v/>
      </c>
      <c r="N111" s="57"/>
      <c r="O111" s="9"/>
      <c r="P111" s="10"/>
      <c r="Q111" s="10"/>
      <c r="R111" s="10"/>
      <c r="S111" s="41">
        <f t="shared" ref="S111" si="160">SUM(Y111,T111:X111)</f>
        <v>0</v>
      </c>
      <c r="Y111" s="42"/>
      <c r="Z111" s="1"/>
      <c r="AA111" s="206" t="str">
        <f t="shared" ref="AA111" si="161">IFERROR(H111*7.5/E111/7,"")</f>
        <v/>
      </c>
    </row>
    <row r="112" spans="1:27" ns3:dyDescent="0.3">
      <c r="A112" s="248" t="s">
        <v>793</v>
      </c>
      <c r="B112" s="11">
        <f>ROUNDUP(HLOOKUP(A112,'야채 계산기'!$2:$3,2,0)*1.03,0)</f>
        <v>1875</v>
      </c>
      <c r="C112" s="191"/>
      <c r="D112" s="166"/>
      <c r="E112" s="4"/>
      <c r="F112" s="3"/>
      <c r="G112" s="5"/>
      <c r="H112" s="6"/>
      <c r="I112" s="34">
        <f t="shared" si="152"/>
        <v>0</v>
      </c>
      <c r="J112" s="78" t="str">
        <f>IFERROR(VLOOKUP(C112,[2]Sheet1!$D:$J,7,0),"")</f>
        <v/>
      </c>
      <c r="K112" s="80" t="str">
        <f t="shared" si="153"/>
        <v/>
      </c>
      <c r="L112" s="7">
        <f t="shared" si="154"/>
        <v>0</v>
      </c>
      <c r="M112" s="8" t="str">
        <f t="shared" si="155"/>
        <v/>
      </c>
      <c r="N112" s="57"/>
      <c r="O112" s="9"/>
      <c r="P112" s="10"/>
      <c r="Q112" s="10"/>
      <c r="R112" s="10"/>
      <c r="S112" s="41">
        <f t="shared" si="111"/>
        <v>0</v>
      </c>
      <c r="Y112" s="42"/>
      <c r="Z112" s="1"/>
      <c r="AA112" s="206" t="str">
        <f t="shared" si="124"/>
        <v/>
      </c>
    </row>
    <row r="113" spans="1:27" ns3:dyDescent="0.3">
      <c r="A113" s="2"/>
      <c r="B113" s="11"/>
      <c r="C113" s="157"/>
      <c r="D113" s="166"/>
      <c r="E113" s="4"/>
      <c r="F113" s="17"/>
      <c r="G113" s="5"/>
      <c r="H113" s="6"/>
      <c r="I113" s="34">
        <f t="shared" si="143"/>
        <v>0</v>
      </c>
      <c r="J113" s="78" t="str">
        <f>IFERROR(VLOOKUP(C113,[2]Sheet1!$D:$J,7,0),"")</f>
        <v/>
      </c>
      <c r="K113" s="80" t="str">
        <f t="shared" si="144"/>
        <v/>
      </c>
      <c r="L113" s="7">
        <f t="shared" ref="L113:L132" si="162">IFERROR((G113*H113),"")</f>
        <v>0</v>
      </c>
      <c r="M113" s="8" t="str">
        <f t="shared" ref="M113:M132" si="163">IFERROR(K113-L113,"")</f>
        <v/>
      </c>
      <c r="N113" s="57"/>
      <c r="O113" s="9"/>
      <c r="P113" s="10"/>
      <c r="Q113" s="10"/>
      <c r="R113" s="10">
        <f>O113*P113*Q113</f>
        <v>0</v>
      </c>
      <c r="S113" s="41">
        <f t="shared" si="111"/>
        <v>0</v>
      </c>
      <c r="T113" s="190"/>
      <c r="U113" s="190"/>
      <c r="V113" s="190"/>
      <c r="W113" s="190"/>
      <c r="X113" s="190"/>
      <c r="Y113" s="42"/>
      <c r="Z113" s="1"/>
      <c r="AA113" s="206" t="str">
        <f t="shared" si="124"/>
        <v/>
      </c>
    </row>
    <row r="114" spans="1:27" ns3:dyDescent="0.3">
      <c r="A114" s="2"/>
      <c r="B114" s="11"/>
      <c r="C114" s="157"/>
      <c r="D114" s="166"/>
      <c r="E114" s="4"/>
      <c r="F114" s="17"/>
      <c r="G114" s="5"/>
      <c r="H114" s="6"/>
      <c r="I114" s="34">
        <f t="shared" si="143"/>
        <v>0</v>
      </c>
      <c r="J114" s="78" t="str">
        <f>IFERROR(VLOOKUP(C114,[2]Sheet1!$D:$J,7,0),"")</f>
        <v/>
      </c>
      <c r="K114" s="80" t="str">
        <f t="shared" si="144"/>
        <v/>
      </c>
      <c r="L114" s="7">
        <f t="shared" si="162"/>
        <v>0</v>
      </c>
      <c r="M114" s="8" t="str">
        <f t="shared" si="163"/>
        <v/>
      </c>
      <c r="N114" s="57"/>
      <c r="O114" s="9"/>
      <c r="P114" s="10"/>
      <c r="Q114" s="10"/>
      <c r="R114" s="10">
        <f t="shared" si="145"/>
        <v>0</v>
      </c>
      <c r="S114" s="41">
        <f t="shared" si="111"/>
        <v>0</v>
      </c>
      <c r="T114" s="190"/>
      <c r="U114" s="190"/>
      <c r="V114" s="190"/>
      <c r="W114" s="190"/>
      <c r="X114" s="190"/>
      <c r="Y114" s="42"/>
      <c r="Z114" s="1"/>
      <c r="AA114" s="206" t="str">
        <f t="shared" si="124"/>
        <v/>
      </c>
    </row>
    <row r="115" spans="1:27" ht="17.25" ns3:dyDescent="0.3">
      <c r="A115" s="95" t="s">
        <v>101</v>
      </c>
      <c r="B115" s="184" t="s">
        <v>32</v>
      </c>
      <c r="C115" s="159"/>
      <c r="D115" s="166" t="str">
        <f t="shared" ref="D115:D117" si="164">IFERROR((F115/E115),"")</f>
        <v/>
      </c>
      <c r="E115" s="4"/>
      <c r="F115" s="17"/>
      <c r="G115" s="5"/>
      <c r="H115" s="6"/>
      <c r="I115" s="34">
        <f t="shared" si="143"/>
        <v>0</v>
      </c>
      <c r="J115" s="78" t="str">
        <f>IFERROR(VLOOKUP(C115,[2]Sheet1!$D:$J,7,0),"")</f>
        <v/>
      </c>
      <c r="K115" s="80" t="str">
        <f t="shared" si="144"/>
        <v/>
      </c>
      <c r="L115" s="7">
        <f t="shared" si="162"/>
        <v>0</v>
      </c>
      <c r="M115" s="8" t="str">
        <f t="shared" si="163"/>
        <v/>
      </c>
      <c r="N115" s="57" t="str">
        <f t="shared" ref="N115:N120" si="165">IFERROR((K115/H115),"")</f>
        <v/>
      </c>
      <c r="O115" s="9"/>
      <c r="P115" s="10"/>
      <c r="Q115" s="10"/>
      <c r="R115" s="10">
        <f t="shared" si="145"/>
        <v>0</v>
      </c>
      <c r="S115" s="41">
        <f t="shared" si="111"/>
        <v>0</v>
      </c>
      <c r="T115" s="190"/>
      <c r="U115" s="190" t="s">
        <v>929</v>
      </c>
      <c r="V115" s="190"/>
      <c r="W115" s="190"/>
      <c r="X115" s="190"/>
      <c r="Y115" s="42"/>
      <c r="Z115" s="1"/>
      <c r="AA115" s="206" t="str">
        <f t="shared" ref="AA115:AA164" si="166">IFERROR(H115*7.5/E115/7,"")</f>
        <v/>
      </c>
    </row>
    <row r="116" spans="1:27" ns3:dyDescent="0.3">
      <c r="A116" s="60"/>
      <c r="B116" s="11"/>
      <c r="C116" s="177" t="s">
        <v>191</v>
      </c>
      <c r="D116" s="166"/>
      <c r="E116" s="4"/>
      <c r="F116" s="3"/>
      <c r="G116" s="5"/>
      <c r="H116" s="6"/>
      <c r="I116" s="34">
        <f t="shared" si="143"/>
        <v>0</v>
      </c>
      <c r="J116" s="78" t="str">
        <f>IFERROR(VLOOKUP(C116,[2]Sheet1!$D:$J,7,0),"")</f>
        <v/>
      </c>
      <c r="K116" s="80" t="str">
        <f t="shared" si="144"/>
        <v/>
      </c>
      <c r="L116" s="7">
        <f t="shared" si="162"/>
        <v>0</v>
      </c>
      <c r="M116" s="8" t="str">
        <f t="shared" si="163"/>
        <v/>
      </c>
      <c r="N116" s="57"/>
      <c r="O116" s="9"/>
      <c r="P116" s="10"/>
      <c r="Q116" s="10"/>
      <c r="R116" s="10"/>
      <c r="S116" s="41">
        <f t="shared" si="111"/>
        <v>0</v>
      </c>
      <c r="T116" s="190"/>
      <c r="U116" s="190"/>
      <c r="V116" s="190"/>
      <c r="W116" s="190"/>
      <c r="X116" s="190"/>
      <c r="Y116" s="42"/>
      <c r="Z116" s="1"/>
      <c r="AA116" s="206" t="str">
        <f t="shared" si="166"/>
        <v/>
      </c>
    </row>
    <row r="117" spans="1:27" ns3:dyDescent="0.3">
      <c r="A117" s="13"/>
      <c r="B117" s="134" t="s">
        <v>183</v>
      </c>
      <c r="C117" s="170" t="s">
        <v>102</v>
      </c>
      <c r="D117" s="166">
        <f t="shared" si="164"/>
        <v>-0.95</v>
      </c>
      <c r="E117" s="4">
        <v>50</v>
      </c>
      <c r="F117" s="3">
        <f>IFERROR((L117-K117),"")</f>
        <v>-47.5</v>
      </c>
      <c r="G117" s="5">
        <v>3.5</v>
      </c>
      <c r="H117" s="6">
        <f>ROUNDUP(SUM(B118:B120)/570,0)</f>
        <v>7</v>
      </c>
      <c r="I117" s="34">
        <f t="shared" si="143"/>
        <v>0</v>
      </c>
      <c r="J117" s="78">
        <f>IFERROR(VLOOKUP(C117,[2]Sheet1!$D:$J,7,0),"")</f>
        <v>72</v>
      </c>
      <c r="K117" s="80">
        <f t="shared" si="144"/>
        <v>72</v>
      </c>
      <c r="L117" s="7">
        <f t="shared" si="162"/>
        <v>24.5</v>
      </c>
      <c r="M117" s="8">
        <f t="shared" si="163"/>
        <v>47.5</v>
      </c>
      <c r="N117" s="57">
        <f t="shared" si="165"/>
        <v>10.285714285714286</v>
      </c>
      <c r="O117" s="9"/>
      <c r="P117" s="10"/>
      <c r="Q117" s="10">
        <v>12990</v>
      </c>
      <c r="R117" s="10">
        <f t="shared" si="145"/>
        <v>0</v>
      </c>
      <c r="S117" s="41">
        <f t="shared" si="111"/>
        <v>0</v>
      </c>
      <c r="T117" s="173"/>
      <c r="U117" s="173"/>
      <c r="V117" s="173"/>
      <c r="W117" s="173"/>
      <c r="X117" s="173"/>
      <c r="Y117" s="173"/>
      <c r="Z117" s="1"/>
      <c r="AA117" s="206">
        <f t="shared" si="166"/>
        <v>0.15</v>
      </c>
    </row>
    <row r="118" spans="1:27" ns3:dyDescent="0.3">
      <c r="A118" s="13" t="s">
        <v>489</v>
      </c>
      <c r="B118" s="11">
        <f>ROUNDUP(HLOOKUP(A118,'야채 계산기'!$2:$3,2,0)*1.03,0)</f>
        <v>2153</v>
      </c>
      <c r="C118" s="62"/>
      <c r="D118" s="166"/>
      <c r="E118" s="4"/>
      <c r="F118" s="3"/>
      <c r="G118" s="5"/>
      <c r="H118" s="6"/>
      <c r="I118" s="34">
        <f t="shared" ref="I118:I119" si="167">IFERROR((S118*E118),"")</f>
        <v>0</v>
      </c>
      <c r="J118" s="78" t="str">
        <f>IFERROR(VLOOKUP(C118,[2]Sheet1!$D:$J,7,0),"")</f>
        <v/>
      </c>
      <c r="K118" s="80" t="str">
        <f t="shared" ref="K118:K119" si="168">IFERROR((I118+J118),"")</f>
        <v/>
      </c>
      <c r="L118" s="7">
        <f t="shared" ref="L118:L119" si="169">IFERROR((G118*H118),"")</f>
        <v>0</v>
      </c>
      <c r="M118" s="8" t="str">
        <f t="shared" ref="M118:M119" si="170">IFERROR(K118-L118,"")</f>
        <v/>
      </c>
      <c r="N118" s="57" t="str">
        <f t="shared" ref="N118:N119" si="171">IFERROR((K118/H118),"")</f>
        <v/>
      </c>
      <c r="O118" s="9"/>
      <c r="P118" s="10"/>
      <c r="Q118" s="10"/>
      <c r="R118" s="10"/>
      <c r="S118" s="41">
        <f t="shared" si="111"/>
        <v>0</v>
      </c>
      <c r="Y118" s="1"/>
      <c r="Z118" s="1"/>
      <c r="AA118" s="206" t="str">
        <f t="shared" si="166"/>
        <v/>
      </c>
    </row>
    <row r="119" spans="1:27" ns3:dyDescent="0.3">
      <c r="A119" s="13" t="s">
        <v>575</v>
      </c>
      <c r="B119" s="11">
        <f>ROUNDUP(HLOOKUP(A119,'야채 계산기'!$2:$3,2,0)*1.03,0)</f>
        <v>1133</v>
      </c>
      <c r="C119" s="62"/>
      <c r="D119" s="166"/>
      <c r="E119" s="4"/>
      <c r="F119" s="3"/>
      <c r="G119" s="5"/>
      <c r="H119" s="6"/>
      <c r="I119" s="34">
        <f t="shared" si="167"/>
        <v>0</v>
      </c>
      <c r="J119" s="78" t="str">
        <f>IFERROR(VLOOKUP(C119,[2]Sheet1!$D:$J,7,0),"")</f>
        <v/>
      </c>
      <c r="K119" s="80" t="str">
        <f t="shared" si="168"/>
        <v/>
      </c>
      <c r="L119" s="7">
        <f t="shared" si="169"/>
        <v>0</v>
      </c>
      <c r="M119" s="8" t="str">
        <f t="shared" si="170"/>
        <v/>
      </c>
      <c r="N119" s="57" t="str">
        <f t="shared" si="171"/>
        <v/>
      </c>
      <c r="O119" s="9"/>
      <c r="P119" s="10"/>
      <c r="Q119" s="10"/>
      <c r="R119" s="10"/>
      <c r="S119" s="41">
        <f t="shared" si="111"/>
        <v>0</v>
      </c>
      <c r="Y119" s="1"/>
      <c r="Z119" s="1"/>
      <c r="AA119" s="206" t="str">
        <f t="shared" si="166"/>
        <v/>
      </c>
    </row>
    <row r="120" spans="1:27" ns3:dyDescent="0.3">
      <c r="A120" s="60" t="s">
        <v>599</v>
      </c>
      <c r="B120" s="11">
        <f>ROUNDUP(HLOOKUP(A120,'야채 계산기'!$2:$3,2,0)*1.03,0)</f>
        <v>454</v>
      </c>
      <c r="C120" s="62"/>
      <c r="D120" s="166"/>
      <c r="E120" s="4"/>
      <c r="F120" s="3"/>
      <c r="G120" s="5"/>
      <c r="H120" s="6"/>
      <c r="I120" s="34">
        <f t="shared" si="143"/>
        <v>0</v>
      </c>
      <c r="J120" s="78" t="str">
        <f>IFERROR(VLOOKUP(C120,[2]Sheet1!$D:$J,7,0),"")</f>
        <v/>
      </c>
      <c r="K120" s="80" t="str">
        <f t="shared" si="144"/>
        <v/>
      </c>
      <c r="L120" s="7">
        <f t="shared" si="162"/>
        <v>0</v>
      </c>
      <c r="M120" s="8" t="str">
        <f t="shared" si="163"/>
        <v/>
      </c>
      <c r="N120" s="57" t="str">
        <f t="shared" si="165"/>
        <v/>
      </c>
      <c r="O120" s="9"/>
      <c r="P120" s="10"/>
      <c r="Q120" s="10"/>
      <c r="R120" s="10"/>
      <c r="S120" s="41">
        <f t="shared" si="111"/>
        <v>0</v>
      </c>
      <c r="Y120" s="1"/>
      <c r="Z120" s="1"/>
      <c r="AA120" s="206" t="str">
        <f t="shared" si="166"/>
        <v/>
      </c>
    </row>
    <row r="121" spans="1:27" hidden="1" ns3:dyDescent="0.3">
      <c r="A121" s="13"/>
      <c r="B121" s="134" t="s">
        <v>183</v>
      </c>
      <c r="C121" s="144" t="s">
        <v>61</v>
      </c>
      <c r="D121" s="166">
        <f>IFERROR((F121/E121),"")</f>
        <v>1.7875000000000005</v>
      </c>
      <c r="E121" s="4">
        <v>8</v>
      </c>
      <c r="F121" s="3">
        <f>IFERROR((L121-K121),"")</f>
        <v>14.300000000000004</v>
      </c>
      <c r="G121" s="5">
        <f>G117</f>
        <v>3.5</v>
      </c>
      <c r="H121" s="6">
        <f>ROUNDUP(SUM(B122:B131)/(450*1.5),1)</f>
        <v>17.8</v>
      </c>
      <c r="I121" s="34">
        <f>IFERROR((S121*E121),"")</f>
        <v>0</v>
      </c>
      <c r="J121" s="78">
        <f>IFERROR(VLOOKUP(C121,[2]Sheet1!$D:$J,7,0),"")</f>
        <v>48</v>
      </c>
      <c r="K121" s="80">
        <f>IFERROR((I121+J121),"")</f>
        <v>48</v>
      </c>
      <c r="L121" s="7">
        <f>IFERROR((G121*H121),"")</f>
        <v>62.300000000000004</v>
      </c>
      <c r="M121" s="8">
        <f>IFERROR(K121-L121,"")</f>
        <v>-14.300000000000004</v>
      </c>
      <c r="N121" s="57">
        <f t="shared" ref="N121:N128" si="172">IFERROR((K121/H121),"")</f>
        <v>2.696629213483146</v>
      </c>
      <c r="O121" s="9"/>
      <c r="P121" s="10"/>
      <c r="Q121" s="10">
        <v>63900</v>
      </c>
      <c r="R121" s="10">
        <f>O121*P121*Q121</f>
        <v>0</v>
      </c>
      <c r="S121" s="41">
        <f t="shared" ref="S121:S131" si="173">SUM(Y121,T121:X121)</f>
        <v>0</v>
      </c>
      <c r="T121" s="193"/>
      <c r="U121" s="193"/>
      <c r="V121" s="193"/>
      <c r="W121" s="193"/>
      <c r="X121" s="193"/>
      <c r="Y121" s="193"/>
      <c r="Z121" s="1"/>
      <c r="AA121" s="206">
        <f t="shared" ref="AA121:AA131" si="174">IFERROR(H121*7.5/E121/7,"")</f>
        <v>2.3839285714285716</v>
      </c>
    </row>
    <row r="122" spans="1:27" hidden="1" ns3:dyDescent="0.3">
      <c r="A122" s="13" t="s">
        <v>325</v>
      </c>
      <c r="B122" s="11">
        <f>ROUNDUP(HLOOKUP(A122,'야채 계산기'!$2:$3,2,0)*1.03,0)</f>
        <v>1226</v>
      </c>
      <c r="C122" s="164"/>
      <c r="D122" s="166" t="str">
        <f>IFERROR((F122/E122),"")</f>
        <v/>
      </c>
      <c r="E122" s="4"/>
      <c r="F122" s="3"/>
      <c r="G122" s="5"/>
      <c r="H122" s="6"/>
      <c r="I122" s="34">
        <f>IFERROR((S122*E122),"")</f>
        <v>0</v>
      </c>
      <c r="J122" s="78" t="str">
        <f>IFERROR(VLOOKUP(C122,[2]Sheet1!$D:$J,7,0),"")</f>
        <v/>
      </c>
      <c r="K122" s="80" t="str">
        <f>IFERROR((I122+J122),"")</f>
        <v/>
      </c>
      <c r="L122" s="7">
        <f>IFERROR((G122*H122),"")</f>
        <v>0</v>
      </c>
      <c r="M122" s="8" t="str">
        <f>IFERROR(K122-L122,"")</f>
        <v/>
      </c>
      <c r="N122" s="57" t="str">
        <f t="shared" si="172"/>
        <v/>
      </c>
      <c r="O122" s="9"/>
      <c r="P122" s="10"/>
      <c r="Q122" s="10"/>
      <c r="R122" s="10">
        <f>O122*P122*Q122</f>
        <v>0</v>
      </c>
      <c r="S122" s="41">
        <f t="shared" si="173"/>
        <v>0</v>
      </c>
      <c r="T122" s="190"/>
      <c r="U122" s="190"/>
      <c r="V122" s="190"/>
      <c r="W122" s="190"/>
      <c r="X122" s="190"/>
      <c r="Y122" s="42"/>
      <c r="AA122" s="206" t="str">
        <f t="shared" si="174"/>
        <v/>
      </c>
    </row>
    <row r="123" spans="1:27" hidden="1" ns3:dyDescent="0.3">
      <c r="A123" s="16" t="s">
        <v>267</v>
      </c>
      <c r="B123" s="11">
        <f>ROUNDUP(HLOOKUP(A123,'야채 계산기'!$2:$3,2,0)*1.03,0)</f>
        <v>1329</v>
      </c>
      <c r="C123" s="202"/>
      <c r="D123" s="166" t="str">
        <f t="shared" ref="D123:D126" si="175">IFERROR((F123/E123),"")</f>
        <v/>
      </c>
      <c r="E123" s="4"/>
      <c r="F123" s="3"/>
      <c r="G123" s="5"/>
      <c r="H123" s="39"/>
      <c r="I123" s="34">
        <f>IFERROR((S123*E123),"")</f>
        <v>0</v>
      </c>
      <c r="J123" s="78" t="str">
        <f>IFERROR(VLOOKUP(C123,[2]Sheet1!$D:$J,7,0),"")</f>
        <v/>
      </c>
      <c r="K123" s="80" t="str">
        <f>IFERROR((I123+J123),"")</f>
        <v/>
      </c>
      <c r="L123" s="7">
        <f>IFERROR((G123*H123),"")</f>
        <v>0</v>
      </c>
      <c r="M123" s="8" t="str">
        <f>IFERROR(K123-L123,"")</f>
        <v/>
      </c>
      <c r="N123" s="57" t="str">
        <f t="shared" si="172"/>
        <v/>
      </c>
      <c r="O123" s="9"/>
      <c r="P123" s="10"/>
      <c r="Q123" s="10"/>
      <c r="R123" s="10"/>
      <c r="S123" s="41">
        <f t="shared" si="173"/>
        <v>0</v>
      </c>
      <c r="T123" s="190"/>
      <c r="U123" s="190"/>
      <c r="V123" s="190"/>
      <c r="W123" s="190"/>
      <c r="X123" s="190"/>
      <c r="Y123" s="42"/>
      <c r="AA123" s="206" t="str">
        <f t="shared" si="174"/>
        <v/>
      </c>
    </row>
    <row r="124" spans="1:27" hidden="1" ns3:dyDescent="0.3">
      <c r="A124" s="16" t="s">
        <v>256</v>
      </c>
      <c r="B124" s="11">
        <f>ROUNDUP(HLOOKUP(A124,'야채 계산기'!$2:$3,2,0)*1.03,0)</f>
        <v>2926</v>
      </c>
      <c r="C124" s="156"/>
      <c r="D124" s="166" t="str">
        <f t="shared" si="175"/>
        <v/>
      </c>
      <c r="E124" s="4"/>
      <c r="F124" s="3"/>
      <c r="G124" s="5"/>
      <c r="H124" s="6"/>
      <c r="I124" s="34">
        <f>IFERROR((S124*E124),"")</f>
        <v>0</v>
      </c>
      <c r="J124" s="78" t="str">
        <f>IFERROR(VLOOKUP(C124,[2]Sheet1!$D:$J,7,0),"")</f>
        <v/>
      </c>
      <c r="K124" s="80" t="str">
        <f>IFERROR((I124+J124),"")</f>
        <v/>
      </c>
      <c r="L124" s="7">
        <f>IFERROR((G124*H124),"")</f>
        <v>0</v>
      </c>
      <c r="M124" s="8" t="str">
        <f>IFERROR(K124-L124,"")</f>
        <v/>
      </c>
      <c r="N124" s="57" t="str">
        <f t="shared" si="172"/>
        <v/>
      </c>
      <c r="O124" s="9"/>
      <c r="P124" s="10"/>
      <c r="Q124" s="10"/>
      <c r="R124" s="10"/>
      <c r="S124" s="41">
        <f t="shared" si="173"/>
        <v>0</v>
      </c>
      <c r="T124" s="190"/>
      <c r="U124" s="190"/>
      <c r="V124" s="190"/>
      <c r="W124" s="190"/>
      <c r="X124" s="190"/>
      <c r="Y124" s="42"/>
      <c r="AA124" s="206" t="str">
        <f t="shared" si="174"/>
        <v/>
      </c>
    </row>
    <row r="125" spans="1:27" hidden="1" ns3:dyDescent="0.3">
      <c r="A125" s="16" t="s">
        <v>270</v>
      </c>
      <c r="B125" s="11">
        <f>ROUNDUP(HLOOKUP(A125,'야채 계산기'!$2:$3,2,0)*1.03,0)</f>
        <v>1133</v>
      </c>
      <c r="C125" s="156"/>
      <c r="D125" s="166" t="str">
        <f t="shared" si="175"/>
        <v/>
      </c>
      <c r="E125" s="4"/>
      <c r="F125" s="3"/>
      <c r="G125" s="5"/>
      <c r="H125" s="6"/>
      <c r="I125" s="34">
        <f t="shared" ref="I125:I130" si="176">IFERROR((S125*E125),"")</f>
        <v>0</v>
      </c>
      <c r="J125" s="78" t="str">
        <f>IFERROR(VLOOKUP(C125,[2]Sheet1!$D:$J,7,0),"")</f>
        <v/>
      </c>
      <c r="K125" s="80" t="str">
        <f t="shared" ref="K125:K130" si="177">IFERROR((I125+J125),"")</f>
        <v/>
      </c>
      <c r="L125" s="7">
        <f t="shared" ref="L125:L130" si="178">IFERROR((G125*H125),"")</f>
        <v>0</v>
      </c>
      <c r="M125" s="8" t="str">
        <f t="shared" ref="M125:M130" si="179">IFERROR(K125-L125,"")</f>
        <v/>
      </c>
      <c r="N125" s="57" t="str">
        <f t="shared" si="172"/>
        <v/>
      </c>
      <c r="O125" s="9"/>
      <c r="P125" s="10"/>
      <c r="Q125" s="10"/>
      <c r="R125" s="10"/>
      <c r="S125" s="41">
        <f t="shared" si="173"/>
        <v>0</v>
      </c>
      <c r="T125" s="190"/>
      <c r="U125" s="190"/>
      <c r="V125" s="190"/>
      <c r="W125" s="190"/>
      <c r="X125" s="190"/>
      <c r="Y125" s="42"/>
      <c r="AA125" s="206" t="str">
        <f t="shared" si="174"/>
        <v/>
      </c>
    </row>
    <row r="126" spans="1:27" hidden="1" ns3:dyDescent="0.3">
      <c r="A126" s="16" t="s">
        <v>269</v>
      </c>
      <c r="B126" s="11">
        <f>ROUNDUP(HLOOKUP(A126,'야채 계산기'!$2:$3,2,0)*1.03,0)</f>
        <v>1082</v>
      </c>
      <c r="C126" s="156"/>
      <c r="D126" s="166" t="str">
        <f t="shared" si="175"/>
        <v/>
      </c>
      <c r="E126" s="4"/>
      <c r="F126" s="3"/>
      <c r="G126" s="5"/>
      <c r="H126" s="6"/>
      <c r="I126" s="34">
        <f>IFERROR((S126*E126),"")</f>
        <v>0</v>
      </c>
      <c r="J126" s="78" t="str">
        <f>IFERROR(VLOOKUP(C126,[2]Sheet1!$D:$J,7,0),"")</f>
        <v/>
      </c>
      <c r="K126" s="80" t="str">
        <f>IFERROR((I126+J126),"")</f>
        <v/>
      </c>
      <c r="L126" s="7">
        <f>IFERROR((G126*H126),"")</f>
        <v>0</v>
      </c>
      <c r="M126" s="8" t="str">
        <f>IFERROR(K126-L126,"")</f>
        <v/>
      </c>
      <c r="N126" s="57" t="str">
        <f t="shared" si="172"/>
        <v/>
      </c>
      <c r="O126" s="9"/>
      <c r="P126" s="10"/>
      <c r="Q126" s="10"/>
      <c r="R126" s="10"/>
      <c r="S126" s="41">
        <f t="shared" si="173"/>
        <v>0</v>
      </c>
      <c r="T126" s="190"/>
      <c r="U126" s="190"/>
      <c r="V126" s="190"/>
      <c r="W126" s="190"/>
      <c r="X126" s="190"/>
      <c r="Y126" s="42"/>
      <c r="AA126" s="206" t="str">
        <f t="shared" si="174"/>
        <v/>
      </c>
    </row>
    <row r="127" spans="1:27" hidden="1" ns3:dyDescent="0.3">
      <c r="A127" s="16" t="s">
        <v>443</v>
      </c>
      <c r="B127" s="11">
        <f>ROUNDUP(HLOOKUP(A127,'야채 계산기'!$2:$3,2,0)*1.03,0)</f>
        <v>1381</v>
      </c>
      <c r="C127" s="156"/>
      <c r="D127" s="166" t="str">
        <f>IFERROR((F127/E127),"")</f>
        <v/>
      </c>
      <c r="E127" s="4"/>
      <c r="F127" s="3"/>
      <c r="G127" s="5"/>
      <c r="H127" s="6"/>
      <c r="I127" s="34">
        <f>IFERROR((S127*E127),"")</f>
        <v>0</v>
      </c>
      <c r="J127" s="78" t="str">
        <f>IFERROR(VLOOKUP(C127,[2]Sheet1!$D:$J,7,0),"")</f>
        <v/>
      </c>
      <c r="K127" s="80" t="str">
        <f>IFERROR((I127+J127),"")</f>
        <v/>
      </c>
      <c r="L127" s="7">
        <f>IFERROR((G127*H127),"")</f>
        <v>0</v>
      </c>
      <c r="M127" s="8" t="str">
        <f>IFERROR(K127-L127,"")</f>
        <v/>
      </c>
      <c r="N127" s="57" t="str">
        <f t="shared" ref="N127" si="180">IFERROR((K127/H127),"")</f>
        <v/>
      </c>
      <c r="O127" s="9"/>
      <c r="P127" s="10"/>
      <c r="Q127" s="10"/>
      <c r="R127" s="10"/>
      <c r="S127" s="41">
        <f t="shared" si="173"/>
        <v>0</v>
      </c>
      <c r="T127" s="190"/>
      <c r="U127" s="190"/>
      <c r="V127" s="190"/>
      <c r="W127" s="190"/>
      <c r="X127" s="190"/>
      <c r="Y127" s="42"/>
      <c r="AA127" s="206" t="str">
        <f t="shared" si="174"/>
        <v/>
      </c>
    </row>
    <row r="128" spans="1:27" hidden="1" ns3:dyDescent="0.3">
      <c r="A128" s="61" t="s">
        <v>563</v>
      </c>
      <c r="B128" s="11">
        <f>ROUNDUP(HLOOKUP(A128,'야채 계산기'!$2:$3,2,0)*1.03,0)</f>
        <v>1834</v>
      </c>
      <c r="C128" s="156"/>
      <c r="D128" s="166" t="str">
        <f>IFERROR((F128/E128),"")</f>
        <v/>
      </c>
      <c r="E128" s="4"/>
      <c r="F128" s="3"/>
      <c r="G128" s="5"/>
      <c r="H128" s="6"/>
      <c r="I128" s="34">
        <f>IFERROR((S128*E128),"")</f>
        <v>0</v>
      </c>
      <c r="J128" s="78" t="str">
        <f>IFERROR(VLOOKUP(C128,[2]Sheet1!$D:$J,7,0),"")</f>
        <v/>
      </c>
      <c r="K128" s="80" t="str">
        <f>IFERROR((I128+J128),"")</f>
        <v/>
      </c>
      <c r="L128" s="7">
        <f>IFERROR((G128*H128),"")</f>
        <v>0</v>
      </c>
      <c r="M128" s="8" t="str">
        <f>IFERROR(K128-L128,"")</f>
        <v/>
      </c>
      <c r="N128" s="57" t="str">
        <f t="shared" si="172"/>
        <v/>
      </c>
      <c r="O128" s="9"/>
      <c r="P128" s="10"/>
      <c r="Q128" s="10"/>
      <c r="R128" s="10"/>
      <c r="S128" s="41">
        <f t="shared" si="173"/>
        <v>0</v>
      </c>
      <c r="T128" s="190"/>
      <c r="U128" s="190"/>
      <c r="V128" s="190"/>
      <c r="W128" s="190"/>
      <c r="X128" s="190"/>
      <c r="Y128" s="42"/>
      <c r="AA128" s="206" t="str">
        <f t="shared" si="174"/>
        <v/>
      </c>
    </row>
    <row r="129" spans="1:27" hidden="1" ns3:dyDescent="0.3">
      <c r="A129" s="13" t="s">
        <v>174</v>
      </c>
      <c r="B129" s="11">
        <f>ROUNDUP(HLOOKUP(A129,'야채 계산기'!$2:$3,2,0)*1.03,0)</f>
        <v>176</v>
      </c>
      <c r="C129" s="191"/>
      <c r="D129" s="166"/>
      <c r="E129" s="4"/>
      <c r="F129" s="3"/>
      <c r="G129" s="5"/>
      <c r="H129" s="6"/>
      <c r="I129" s="34">
        <f t="shared" si="176"/>
        <v>0</v>
      </c>
      <c r="J129" s="78" t="str">
        <f>IFERROR(VLOOKUP(C129,[2]Sheet1!$D:$J,7,0),"")</f>
        <v/>
      </c>
      <c r="K129" s="80" t="str">
        <f t="shared" si="177"/>
        <v/>
      </c>
      <c r="L129" s="7">
        <f t="shared" si="178"/>
        <v>0</v>
      </c>
      <c r="M129" s="8" t="str">
        <f t="shared" si="179"/>
        <v/>
      </c>
      <c r="N129" s="57"/>
      <c r="O129" s="9"/>
      <c r="P129" s="10"/>
      <c r="Q129" s="10"/>
      <c r="R129" s="10"/>
      <c r="S129" s="41">
        <f t="shared" si="173"/>
        <v>0</v>
      </c>
      <c r="T129" s="190"/>
      <c r="U129" s="190"/>
      <c r="V129" s="190"/>
      <c r="W129" s="190"/>
      <c r="X129" s="190"/>
      <c r="Y129" s="42"/>
      <c r="Z129" s="1"/>
      <c r="AA129" s="206" t="str">
        <f t="shared" si="174"/>
        <v/>
      </c>
    </row>
    <row r="130" spans="1:27" hidden="1" ns3:dyDescent="0.3">
      <c r="A130" s="13" t="s">
        <v>189</v>
      </c>
      <c r="B130" s="11">
        <f>ROUNDUP(HLOOKUP(A130,'야채 계산기'!$2:$3,2,0)*1.03,0)</f>
        <v>145</v>
      </c>
      <c r="C130" s="191"/>
      <c r="D130" s="166"/>
      <c r="E130" s="4"/>
      <c r="F130" s="3"/>
      <c r="G130" s="5"/>
      <c r="H130" s="6"/>
      <c r="I130" s="34">
        <f t="shared" si="176"/>
        <v>0</v>
      </c>
      <c r="J130" s="78" t="str">
        <f>IFERROR(VLOOKUP(C130,[2]Sheet1!$D:$J,7,0),"")</f>
        <v/>
      </c>
      <c r="K130" s="80" t="str">
        <f t="shared" si="177"/>
        <v/>
      </c>
      <c r="L130" s="7">
        <f t="shared" si="178"/>
        <v>0</v>
      </c>
      <c r="M130" s="8" t="str">
        <f t="shared" si="179"/>
        <v/>
      </c>
      <c r="N130" s="57"/>
      <c r="O130" s="9"/>
      <c r="P130" s="10"/>
      <c r="Q130" s="10"/>
      <c r="R130" s="10"/>
      <c r="S130" s="41">
        <f t="shared" ref="S130" si="181">SUM(Y130,T130:X130)</f>
        <v>0</v>
      </c>
      <c r="Y130" s="42"/>
      <c r="Z130" s="1"/>
      <c r="AA130" s="206" t="str">
        <f t="shared" ref="AA130" si="182">IFERROR(H130*7.5/E130/7,"")</f>
        <v/>
      </c>
    </row>
    <row r="131" spans="1:27" hidden="1" ns3:dyDescent="0.3">
      <c r="A131" s="60" t="s">
        <v>649</v>
      </c>
      <c r="B131" s="11">
        <f>ROUNDUP(HLOOKUP(A131,'야채 계산기'!$2:$3,2,0)*1.03,0)</f>
        <v>742</v>
      </c>
      <c r="C131" s="191"/>
      <c r="D131" s="166"/>
      <c r="E131" s="4"/>
      <c r="F131" s="3"/>
      <c r="G131" s="5"/>
      <c r="H131" s="6"/>
      <c r="I131" s="34">
        <f t="shared" ref="I131" si="183">IFERROR((S131*E131),"")</f>
        <v>0</v>
      </c>
      <c r="J131" s="78" t="str">
        <f>IFERROR(VLOOKUP(C131,[2]Sheet1!$D:$J,7,0),"")</f>
        <v/>
      </c>
      <c r="K131" s="80" t="str">
        <f t="shared" ref="K131" si="184">IFERROR((I131+J131),"")</f>
        <v/>
      </c>
      <c r="L131" s="7">
        <f t="shared" ref="L131" si="185">IFERROR((G131*H131),"")</f>
        <v>0</v>
      </c>
      <c r="M131" s="8" t="str">
        <f t="shared" ref="M131" si="186">IFERROR(K131-L131,"")</f>
        <v/>
      </c>
      <c r="N131" s="57"/>
      <c r="O131" s="9"/>
      <c r="P131" s="10"/>
      <c r="Q131" s="10"/>
      <c r="R131" s="10"/>
      <c r="S131" s="41">
        <f t="shared" si="173"/>
        <v>0</v>
      </c>
      <c r="Y131" s="42"/>
      <c r="Z131" s="1"/>
      <c r="AA131" s="206" t="str">
        <f t="shared" si="174"/>
        <v/>
      </c>
    </row>
    <row r="132" spans="1:27" ht="17.25" customHeight="1" ns3:dyDescent="0.3">
      <c r="A132" s="13"/>
      <c r="B132" s="134" t="s">
        <v>183</v>
      </c>
      <c r="C132" s="188" t="s">
        <v>288</v>
      </c>
      <c r="D132" s="166">
        <f>IFERROR((F132/E132),"")</f>
        <v>-8.7499999999998579E-2</v>
      </c>
      <c r="E132" s="4">
        <v>32</v>
      </c>
      <c r="F132" s="3">
        <f>IFERROR((L132-K132),"")</f>
        <v>-2.7999999999999545</v>
      </c>
      <c r="G132" s="5">
        <f>G117</f>
        <v>3.5</v>
      </c>
      <c r="H132" s="6">
        <f>ROUNDUP((SUM(B133:B138))/100,0)*1.1</f>
        <v>255.20000000000002</v>
      </c>
      <c r="I132" s="34">
        <f>IFERROR((S132*E132),"")</f>
        <v>320</v>
      </c>
      <c r="J132" s="78">
        <f>IFERROR(VLOOKUP(C132,[2]Sheet1!$D:$J,7,0),"")</f>
        <v>576</v>
      </c>
      <c r="K132" s="80">
        <f t="shared" si="144"/>
        <v>896</v>
      </c>
      <c r="L132" s="7">
        <f t="shared" si="162"/>
        <v>893.2</v>
      </c>
      <c r="M132" s="8">
        <f t="shared" si="163"/>
        <v>2.7999999999999545</v>
      </c>
      <c r="N132" s="57">
        <f>IFERROR((K132/H132),"")</f>
        <v>3.5109717868338555</v>
      </c>
      <c r="O132" s="9"/>
      <c r="P132" s="10"/>
      <c r="Q132" s="10">
        <v>11800</v>
      </c>
      <c r="R132" s="10">
        <f>O132*P132*Q132</f>
        <v>0</v>
      </c>
      <c r="S132" s="41">
        <f t="shared" si="111"/>
        <v>10</v>
      </c>
      <c r="T132" s="173"/>
      <c r="U132" s="173">
        <v>10</v>
      </c>
      <c r="V132" s="173"/>
      <c r="W132" s="173"/>
      <c r="X132" s="173"/>
      <c r="Y132" s="173"/>
      <c r="Z132" s="1"/>
      <c r="AA132" s="206">
        <f t="shared" si="166"/>
        <v>8.5446428571428577</v>
      </c>
    </row>
    <row r="133" spans="1:27" ns3:dyDescent="0.3">
      <c r="A133" s="13" t="s">
        <v>491</v>
      </c>
      <c r="B133" s="11">
        <f>ROUNDUP(HLOOKUP(A133,'야채 계산기'!$2:$3,2,0)*1.03,0)</f>
        <v>4553</v>
      </c>
      <c r="C133" s="62"/>
      <c r="D133" s="166" t="str">
        <f t="shared" ref="D133:D136" si="187">IFERROR((F133/E133),"")</f>
        <v/>
      </c>
      <c r="E133" s="4"/>
      <c r="F133" s="3"/>
      <c r="G133" s="5"/>
      <c r="H133" s="6"/>
      <c r="I133" s="34">
        <f t="shared" ref="I133:I137" si="188">IFERROR((S133*E133),"")</f>
        <v>0</v>
      </c>
      <c r="J133" s="78" t="str">
        <f>IFERROR(VLOOKUP(C133,[2]Sheet1!$D:$J,7,0),"")</f>
        <v/>
      </c>
      <c r="K133" s="80" t="str">
        <f t="shared" ref="K133:K137" si="189">IFERROR((I133+J133),"")</f>
        <v/>
      </c>
      <c r="L133" s="7">
        <f t="shared" ref="L133:L137" si="190">IFERROR((G133*H133),"")</f>
        <v>0</v>
      </c>
      <c r="M133" s="8" t="str">
        <f t="shared" ref="M133:M137" si="191">IFERROR(K133-L133,"")</f>
        <v/>
      </c>
      <c r="N133" s="57"/>
      <c r="O133" s="9"/>
      <c r="P133" s="10"/>
      <c r="Q133" s="10"/>
      <c r="R133" s="10"/>
      <c r="S133" s="41">
        <f t="shared" si="111"/>
        <v>0</v>
      </c>
      <c r="Y133" s="42"/>
      <c r="Z133" s="1"/>
      <c r="AA133" s="206" t="str">
        <f t="shared" si="166"/>
        <v/>
      </c>
    </row>
    <row r="134" spans="1:27" ns3:dyDescent="0.3">
      <c r="A134" s="13" t="s">
        <v>303</v>
      </c>
      <c r="B134" s="11">
        <f>ROUNDUP(HLOOKUP(A134,'야채 계산기'!$2:$3,2,0)*1.03,0)</f>
        <v>3729</v>
      </c>
      <c r="C134" s="62"/>
      <c r="D134" s="166" t="str">
        <f t="shared" si="187"/>
        <v/>
      </c>
      <c r="E134" s="4"/>
      <c r="F134" s="3"/>
      <c r="G134" s="5"/>
      <c r="H134" s="6"/>
      <c r="I134" s="34">
        <f t="shared" si="188"/>
        <v>0</v>
      </c>
      <c r="J134" s="78" t="str">
        <f>IFERROR(VLOOKUP(C134,[2]Sheet1!$D:$J,7,0),"")</f>
        <v/>
      </c>
      <c r="K134" s="80" t="str">
        <f t="shared" si="189"/>
        <v/>
      </c>
      <c r="L134" s="7">
        <f t="shared" si="190"/>
        <v>0</v>
      </c>
      <c r="M134" s="8" t="str">
        <f t="shared" si="191"/>
        <v/>
      </c>
      <c r="N134" s="57"/>
      <c r="O134" s="9"/>
      <c r="P134" s="10"/>
      <c r="Q134" s="10"/>
      <c r="R134" s="10"/>
      <c r="S134" s="41">
        <f t="shared" si="111"/>
        <v>0</v>
      </c>
      <c r="T134" s="190"/>
      <c r="U134" s="190"/>
      <c r="V134" s="190"/>
      <c r="W134" s="190"/>
      <c r="Y134" s="42"/>
      <c r="Z134" s="1"/>
      <c r="AA134" s="206" t="str">
        <f t="shared" si="166"/>
        <v/>
      </c>
    </row>
    <row r="135" spans="1:27" ns3:dyDescent="0.3">
      <c r="A135" s="13" t="s">
        <v>302</v>
      </c>
      <c r="B135" s="11">
        <f>ROUNDUP(HLOOKUP(A135,'야채 계산기'!$2:$3,2,0)*1.03,0)</f>
        <v>6211</v>
      </c>
      <c r="C135" s="62"/>
      <c r="D135" s="166" t="str">
        <f t="shared" si="187"/>
        <v/>
      </c>
      <c r="E135" s="4"/>
      <c r="F135" s="3"/>
      <c r="G135" s="5"/>
      <c r="H135" s="6"/>
      <c r="I135" s="34">
        <f>IFERROR((S135*E135),"")</f>
        <v>0</v>
      </c>
      <c r="J135" s="78" t="str">
        <f>IFERROR(VLOOKUP(C135,[2]Sheet1!$D:$J,7,0),"")</f>
        <v/>
      </c>
      <c r="K135" s="80" t="str">
        <f>IFERROR((I135+J135),"")</f>
        <v/>
      </c>
      <c r="L135" s="7">
        <f>IFERROR((G135*H135),"")</f>
        <v>0</v>
      </c>
      <c r="M135" s="8" t="str">
        <f>IFERROR(K135-L135,"")</f>
        <v/>
      </c>
      <c r="N135" s="57"/>
      <c r="O135" s="9"/>
      <c r="P135" s="10"/>
      <c r="Q135" s="10"/>
      <c r="R135" s="10"/>
      <c r="S135" s="41">
        <f t="shared" si="111"/>
        <v>0</v>
      </c>
      <c r="T135" s="190"/>
      <c r="U135" s="190"/>
      <c r="V135" s="190"/>
      <c r="W135" s="190"/>
      <c r="Y135" s="42"/>
      <c r="Z135" s="1"/>
      <c r="AA135" s="206" t="str">
        <f t="shared" si="166"/>
        <v/>
      </c>
    </row>
    <row r="136" spans="1:27" ns3:dyDescent="0.3">
      <c r="A136" s="13" t="s">
        <v>297</v>
      </c>
      <c r="B136" s="11">
        <f>ROUNDUP(HLOOKUP(A136,'야채 계산기'!$2:$3,2,0)*1.03,0)</f>
        <v>5047</v>
      </c>
      <c r="C136" s="62"/>
      <c r="D136" s="166" t="str">
        <f t="shared" si="187"/>
        <v/>
      </c>
      <c r="E136" s="4"/>
      <c r="F136" s="3"/>
      <c r="G136" s="5"/>
      <c r="H136" s="6"/>
      <c r="I136" s="34">
        <f t="shared" si="188"/>
        <v>0</v>
      </c>
      <c r="J136" s="78" t="str">
        <f>IFERROR(VLOOKUP(C136,[2]Sheet1!$D:$J,7,0),"")</f>
        <v/>
      </c>
      <c r="K136" s="80" t="str">
        <f t="shared" si="189"/>
        <v/>
      </c>
      <c r="L136" s="7">
        <f t="shared" si="190"/>
        <v>0</v>
      </c>
      <c r="M136" s="8" t="str">
        <f t="shared" si="191"/>
        <v/>
      </c>
      <c r="N136" s="57"/>
      <c r="O136" s="9"/>
      <c r="P136" s="10"/>
      <c r="Q136" s="10"/>
      <c r="R136" s="10"/>
      <c r="S136" s="41">
        <f t="shared" si="111"/>
        <v>0</v>
      </c>
      <c r="Y136" s="42"/>
      <c r="Z136" s="1"/>
      <c r="AA136" s="206" t="str">
        <f t="shared" si="166"/>
        <v/>
      </c>
    </row>
    <row r="137" spans="1:27" ns3:dyDescent="0.3">
      <c r="A137" s="60" t="s">
        <v>576</v>
      </c>
      <c r="B137" s="11">
        <f>ROUNDUP(HLOOKUP(A137,'야채 계산기'!$2:$3,2,0)*1.03,0)</f>
        <v>1896</v>
      </c>
      <c r="C137" s="62"/>
      <c r="D137" s="166" t="str">
        <f>IFERROR((F137/E137),"")</f>
        <v/>
      </c>
      <c r="E137" s="4"/>
      <c r="F137" s="17"/>
      <c r="G137" s="5"/>
      <c r="H137" s="6"/>
      <c r="I137" s="34">
        <f t="shared" si="188"/>
        <v>0</v>
      </c>
      <c r="J137" s="78" t="str">
        <f>IFERROR(VLOOKUP(C137,[2]Sheet1!$D:$J,7,0),"")</f>
        <v/>
      </c>
      <c r="K137" s="80" t="str">
        <f t="shared" si="189"/>
        <v/>
      </c>
      <c r="L137" s="7">
        <f t="shared" si="190"/>
        <v>0</v>
      </c>
      <c r="M137" s="8" t="str">
        <f t="shared" si="191"/>
        <v/>
      </c>
      <c r="N137" s="57"/>
      <c r="O137" s="9"/>
      <c r="P137" s="10"/>
      <c r="Q137" s="10"/>
      <c r="R137" s="10">
        <f>O137*P137*Q137</f>
        <v>0</v>
      </c>
      <c r="S137" s="41">
        <f t="shared" ref="S137" si="192">SUM(Y137,T137:X137)</f>
        <v>0</v>
      </c>
      <c r="T137" s="190"/>
      <c r="U137" s="190"/>
      <c r="V137" s="190"/>
      <c r="W137" s="190"/>
      <c r="Y137" s="42"/>
      <c r="Z137" s="1"/>
      <c r="AA137" s="206" t="str">
        <f t="shared" ref="AA137" si="193">IFERROR(H137*7.5/E137/7,"")</f>
        <v/>
      </c>
    </row>
    <row r="138" spans="1:27" ns3:dyDescent="0.3">
      <c r="A138" s="273" t="s">
        <v>722</v>
      </c>
      <c r="B138" s="11">
        <f>ROUNDUP(HLOOKUP(A138,'야채 계산기'!$2:$3,2,0)*1.03,0)</f>
        <v>1679</v>
      </c>
      <c r="C138" s="62"/>
      <c r="D138" s="166" t="str">
        <f>IFERROR((F138/E138),"")</f>
        <v/>
      </c>
      <c r="E138" s="4"/>
      <c r="F138" s="17"/>
      <c r="G138" s="5"/>
      <c r="H138" s="6"/>
      <c r="I138" s="34">
        <f t="shared" si="143"/>
        <v>0</v>
      </c>
      <c r="J138" s="78" t="str">
        <f>IFERROR(VLOOKUP(C138,[2]Sheet1!$D:$J,7,0),"")</f>
        <v/>
      </c>
      <c r="K138" s="80" t="str">
        <f t="shared" ref="K138:K141" si="194">IFERROR((I138+J138),"")</f>
        <v/>
      </c>
      <c r="L138" s="7">
        <f t="shared" ref="L138:L141" si="195">IFERROR((G138*H138),"")</f>
        <v>0</v>
      </c>
      <c r="M138" s="8" t="str">
        <f t="shared" ref="M138:M141" si="196">IFERROR(K138-L138,"")</f>
        <v/>
      </c>
      <c r="N138" s="57"/>
      <c r="O138" s="9"/>
      <c r="P138" s="10"/>
      <c r="Q138" s="10"/>
      <c r="R138" s="10">
        <f>O138*P138*Q138</f>
        <v>0</v>
      </c>
      <c r="S138" s="41">
        <f t="shared" si="111"/>
        <v>0</v>
      </c>
      <c r="T138" s="190"/>
      <c r="U138" s="190"/>
      <c r="V138" s="190"/>
      <c r="W138" s="190"/>
      <c r="Y138" s="42"/>
      <c r="Z138" s="1"/>
      <c r="AA138" s="206" t="str">
        <f t="shared" si="166"/>
        <v/>
      </c>
    </row>
    <row r="139" spans="1:27" hidden="1" ns3:dyDescent="0.3">
      <c r="A139" s="13"/>
      <c r="B139" s="11"/>
      <c r="C139" s="262" t="s">
        <v>631</v>
      </c>
      <c r="D139" s="166" t="str">
        <f t="shared" ref="D139" si="197">IFERROR((F139/E139),"")</f>
        <v/>
      </c>
      <c r="E139" s="4">
        <v>5</v>
      </c>
      <c r="F139" s="3" t="str">
        <f>IFERROR((L139-K139),"")</f>
        <v/>
      </c>
      <c r="G139" s="5">
        <f>G117</f>
        <v>3.5</v>
      </c>
      <c r="H139" s="6" t="e">
        <f>ROUNDUP((B140*C140)/500,1)</f>
        <v>#N/A</v>
      </c>
      <c r="I139" s="34">
        <f t="shared" ref="I139:I140" si="198">IFERROR((S139*E139),"")</f>
        <v>0</v>
      </c>
      <c r="J139" s="78" t="str">
        <f>IFERROR(VLOOKUP(C139,[2]Sheet1!$D:$J,7,0),"")</f>
        <v/>
      </c>
      <c r="K139" s="80" t="str">
        <f t="shared" si="194"/>
        <v/>
      </c>
      <c r="L139" s="7" t="str">
        <f t="shared" si="195"/>
        <v/>
      </c>
      <c r="M139" s="8" t="str">
        <f t="shared" si="196"/>
        <v/>
      </c>
      <c r="N139" s="57" t="str">
        <f t="shared" ref="N139:N140" si="199">IFERROR((K139/H139),"")</f>
        <v/>
      </c>
      <c r="O139" s="9"/>
      <c r="P139" s="10"/>
      <c r="Q139" s="10"/>
      <c r="R139" s="10">
        <f t="shared" ref="R139" si="200">O139*P139*Q139</f>
        <v>0</v>
      </c>
      <c r="S139" s="41">
        <f t="shared" ref="S139:S140" si="201">SUM(Y139,T139:X139)</f>
        <v>0</v>
      </c>
      <c r="T139" s="173"/>
      <c r="U139" s="173"/>
      <c r="V139" s="173"/>
      <c r="W139" s="173"/>
      <c r="X139" s="173"/>
      <c r="Y139" s="173"/>
      <c r="Z139" s="1"/>
      <c r="AA139" s="206" t="str">
        <f t="shared" ref="AA139:AA140" si="202">IFERROR(H139*7.5/E139/7,"")</f>
        <v/>
      </c>
    </row>
    <row r="140" spans="1:27" hidden="1" ns3:dyDescent="0.3">
      <c r="A140" s="273" t="s">
        <v>632</v>
      </c>
      <c r="B140" s="11" t="e">
        <f>ROUNDUP(HLOOKUP(A140,'야채 계산기'!$2:$3,2,0)*1.03,0)</f>
        <v>#N/A</v>
      </c>
      <c r="C140" s="62">
        <f>'[1]비빔참치우동(26.08.18)'!$B$9</f>
        <v>0.1</v>
      </c>
      <c r="D140" s="166"/>
      <c r="E140" s="4"/>
      <c r="F140" s="3"/>
      <c r="G140" s="5"/>
      <c r="H140" s="6"/>
      <c r="I140" s="34">
        <f t="shared" si="198"/>
        <v>0</v>
      </c>
      <c r="J140" s="78" t="str">
        <f>IFERROR(VLOOKUP(C140,[2]Sheet1!$D:$J,7,0),"")</f>
        <v/>
      </c>
      <c r="K140" s="80" t="str">
        <f t="shared" si="194"/>
        <v/>
      </c>
      <c r="L140" s="7">
        <f t="shared" si="195"/>
        <v>0</v>
      </c>
      <c r="M140" s="8" t="str">
        <f t="shared" si="196"/>
        <v/>
      </c>
      <c r="N140" s="57" t="str">
        <f t="shared" si="199"/>
        <v/>
      </c>
      <c r="O140" s="9"/>
      <c r="P140" s="10"/>
      <c r="Q140" s="10"/>
      <c r="R140" s="10"/>
      <c r="S140" s="41">
        <f t="shared" si="201"/>
        <v>0</v>
      </c>
      <c r="Y140" s="1"/>
      <c r="Z140" s="1"/>
      <c r="AA140" s="206" t="str">
        <f t="shared" si="202"/>
        <v/>
      </c>
    </row>
    <row r="141" spans="1:27" ns3:dyDescent="0.3">
      <c r="A141" s="2"/>
      <c r="B141" s="2"/>
      <c r="C141" s="62"/>
      <c r="D141" s="166" t="str">
        <f>IFERROR((F141/E141),"")</f>
        <v/>
      </c>
      <c r="E141" s="4"/>
      <c r="F141" s="17"/>
      <c r="G141" s="5"/>
      <c r="H141" s="6"/>
      <c r="I141" s="34">
        <f t="shared" si="143"/>
        <v>0</v>
      </c>
      <c r="J141" s="78" t="str">
        <f>IFERROR(VLOOKUP(C141,[2]Sheet1!$D:$J,7,0),"")</f>
        <v/>
      </c>
      <c r="K141" s="80" t="str">
        <f t="shared" si="194"/>
        <v/>
      </c>
      <c r="L141" s="7">
        <f t="shared" si="195"/>
        <v>0</v>
      </c>
      <c r="M141" s="8" t="str">
        <f t="shared" si="196"/>
        <v/>
      </c>
      <c r="N141" s="57"/>
      <c r="O141" s="9"/>
      <c r="P141" s="10"/>
      <c r="Q141" s="10"/>
      <c r="R141" s="10">
        <f t="shared" ref="R141:R145" si="203">O141*P141*Q141</f>
        <v>0</v>
      </c>
      <c r="S141" s="41">
        <f t="shared" si="111"/>
        <v>0</v>
      </c>
      <c r="T141" s="190"/>
      <c r="U141" s="190"/>
      <c r="V141" s="190"/>
      <c r="W141" s="190"/>
      <c r="Y141" s="42"/>
      <c r="Z141" s="1"/>
      <c r="AA141" s="206" t="str">
        <f t="shared" si="166"/>
        <v/>
      </c>
    </row>
    <row r="142" spans="1:27" ns3:dyDescent="0.3">
      <c r="A142" s="95" t="s">
        <v>274</v>
      </c>
      <c r="B142" s="58" t="s">
        <v>32</v>
      </c>
      <c r="C142" s="196"/>
      <c r="D142" s="166" t="str">
        <f t="shared" ref="D142:D152" si="204">IFERROR((F142/E142),"")</f>
        <v/>
      </c>
      <c r="E142" s="4"/>
      <c r="F142" s="17"/>
      <c r="G142" s="5"/>
      <c r="H142" s="6"/>
      <c r="I142" s="34">
        <f t="shared" ref="I142:I160" si="205">IFERROR((S142*E142),"")</f>
        <v>0</v>
      </c>
      <c r="J142" s="78" t="str">
        <f>IFERROR(VLOOKUP(C142,[2]Sheet1!$D:$J,7,0),"")</f>
        <v/>
      </c>
      <c r="K142" s="80" t="str">
        <f t="shared" ref="K142:K161" si="206">IFERROR((I142+J142),"")</f>
        <v/>
      </c>
      <c r="L142" s="7">
        <f t="shared" ref="L142:L160" si="207">IFERROR((G142*H142),"")</f>
        <v>0</v>
      </c>
      <c r="M142" s="8" t="str">
        <f t="shared" ref="M142:M160" si="208">IFERROR(K142-L142,"")</f>
        <v/>
      </c>
      <c r="N142" s="57" t="str">
        <f t="shared" ref="N142:N145" si="209">IFERROR((K142/H142),"")</f>
        <v/>
      </c>
      <c r="O142" s="9"/>
      <c r="P142" s="10"/>
      <c r="Q142" s="10"/>
      <c r="R142" s="10">
        <f t="shared" si="203"/>
        <v>0</v>
      </c>
      <c r="S142" s="41">
        <f t="shared" si="111"/>
        <v>0</v>
      </c>
      <c r="T142" s="190"/>
      <c r="U142" s="190"/>
      <c r="V142" s="190"/>
      <c r="W142" s="190"/>
      <c r="Y142" s="42"/>
      <c r="Z142" s="1"/>
      <c r="AA142" s="206" t="str">
        <f t="shared" si="166"/>
        <v/>
      </c>
    </row>
    <row r="143" spans="1:27" ns3:dyDescent="0.3">
      <c r="A143" s="13"/>
      <c r="B143" s="59"/>
      <c r="C143" s="164" t="s">
        <v>600</v>
      </c>
      <c r="D143" s="166">
        <f>IFERROR((F143/E143),"")</f>
        <v>-1.2449999999999999</v>
      </c>
      <c r="E143" s="4">
        <v>10</v>
      </c>
      <c r="F143" s="3">
        <f>IFERROR((L143-K143),"")</f>
        <v>-12.45</v>
      </c>
      <c r="G143" s="5">
        <v>3.5</v>
      </c>
      <c r="H143" s="6">
        <f>ROUNDUP((B144*C144)/2000,1)</f>
        <v>7.3</v>
      </c>
      <c r="I143" s="34">
        <f t="shared" ref="I143" si="210">IFERROR((S143*E143),"")</f>
        <v>20</v>
      </c>
      <c r="J143" s="78">
        <f>IFERROR(VLOOKUP(C143,[2]Sheet1!$D:$J,7,0),"")</f>
        <v>18</v>
      </c>
      <c r="K143" s="80">
        <f>IFERROR((I143+J143),"")</f>
        <v>38</v>
      </c>
      <c r="L143" s="7">
        <f t="shared" ref="L143" si="211">IFERROR((G143*H143),"")</f>
        <v>25.55</v>
      </c>
      <c r="M143" s="8">
        <f t="shared" ref="M143" si="212">IFERROR(K143-L143,"")</f>
        <v>12.45</v>
      </c>
      <c r="N143" s="57">
        <f t="shared" si="209"/>
        <v>5.2054794520547949</v>
      </c>
      <c r="O143" s="9"/>
      <c r="P143" s="10"/>
      <c r="Q143" s="10">
        <v>6000</v>
      </c>
      <c r="R143" s="10">
        <f t="shared" si="203"/>
        <v>0</v>
      </c>
      <c r="S143" s="41">
        <f t="shared" si="111"/>
        <v>2</v>
      </c>
      <c r="T143" s="173">
        <v>1</v>
      </c>
      <c r="U143" s="173"/>
      <c r="V143" s="173">
        <v>1</v>
      </c>
      <c r="W143" s="173"/>
      <c r="X143" s="173"/>
      <c r="Y143" s="173"/>
      <c r="Z143" s="1"/>
      <c r="AA143" s="206">
        <f t="shared" si="166"/>
        <v>0.78214285714285714</v>
      </c>
    </row>
    <row r="144" spans="1:27" ns3:dyDescent="0.3">
      <c r="A144" s="13" t="s">
        <v>757</v>
      </c>
      <c r="B144" s="11">
        <f>ROUNDUP(HLOOKUP(A144,'야채 계산기'!$2:$3,2,0)*1.03,0)</f>
        <v>2266</v>
      </c>
      <c r="C144" s="164">
        <f>9.16*70%</f>
        <v>6.4119999999999999</v>
      </c>
      <c r="D144" s="166" t="str">
        <f>IFERROR((F144/E144),"")</f>
        <v/>
      </c>
      <c r="E144" s="4"/>
      <c r="F144" s="3"/>
      <c r="G144" s="5"/>
      <c r="H144" s="47"/>
      <c r="I144" s="34">
        <f t="shared" ref="I144" si="213">IFERROR((S144*E144),"")</f>
        <v>0</v>
      </c>
      <c r="J144" s="78" t="str">
        <f>IFERROR(VLOOKUP(C144,[2]Sheet1!$D:$J,7,0),"")</f>
        <v/>
      </c>
      <c r="K144" s="80" t="str">
        <f>IFERROR((I144+J144),"")</f>
        <v/>
      </c>
      <c r="L144" s="7">
        <f t="shared" ref="L144" si="214">IFERROR((G144*H144),"")</f>
        <v>0</v>
      </c>
      <c r="M144" s="8" t="str">
        <f t="shared" ref="M144" si="215">IFERROR(K144-L144,"")</f>
        <v/>
      </c>
      <c r="N144" s="57" t="str">
        <f t="shared" si="209"/>
        <v/>
      </c>
      <c r="O144" s="9"/>
      <c r="P144" s="10"/>
      <c r="Q144" s="10"/>
      <c r="R144" s="10">
        <f t="shared" si="203"/>
        <v>0</v>
      </c>
      <c r="S144" s="41">
        <f t="shared" ref="S144" si="216">SUM(Y144,T144:X144)</f>
        <v>0</v>
      </c>
      <c r="Y144" s="1"/>
      <c r="Z144" s="1"/>
      <c r="AA144" s="206" t="str">
        <f t="shared" ref="AA144" si="217">IFERROR(H144*7.5/E144/7,"")</f>
        <v/>
      </c>
    </row>
    <row r="145" spans="1:27" ns3:dyDescent="0.3">
      <c r="A145" s="59"/>
      <c r="B145" s="11"/>
      <c r="C145" s="62" t="s">
        <v>45</v>
      </c>
      <c r="D145" s="166">
        <f t="shared" si="204"/>
        <v>-3.5300000000000002</v>
      </c>
      <c r="E145" s="4">
        <v>10</v>
      </c>
      <c r="F145" s="3">
        <f t="shared" ref="F145:F152" si="218">IFERROR((L145-K145),"")</f>
        <v>-35.300000000000004</v>
      </c>
      <c r="G145" s="5">
        <f>G143</f>
        <v>3.5</v>
      </c>
      <c r="H145" s="6">
        <f>ROUNDUP(SUMPRODUCT(B146:B147,C146:C147)/2000,1)</f>
        <v>8.1999999999999993</v>
      </c>
      <c r="I145" s="34">
        <f t="shared" si="205"/>
        <v>20</v>
      </c>
      <c r="J145" s="78">
        <f>IFERROR(VLOOKUP(C145,[2]Sheet1!$D:$J,7,0),"")</f>
        <v>44</v>
      </c>
      <c r="K145" s="80">
        <f t="shared" si="206"/>
        <v>64</v>
      </c>
      <c r="L145" s="7">
        <f t="shared" si="207"/>
        <v>28.699999999999996</v>
      </c>
      <c r="M145" s="8">
        <f t="shared" si="208"/>
        <v>35.300000000000004</v>
      </c>
      <c r="N145" s="57">
        <f t="shared" si="209"/>
        <v>7.8048780487804885</v>
      </c>
      <c r="O145" s="9"/>
      <c r="P145" s="10"/>
      <c r="Q145" s="10">
        <v>7000</v>
      </c>
      <c r="R145" s="10">
        <f t="shared" si="203"/>
        <v>0</v>
      </c>
      <c r="S145" s="41">
        <f t="shared" si="111"/>
        <v>2</v>
      </c>
      <c r="T145" s="173">
        <v>2</v>
      </c>
      <c r="U145" s="173"/>
      <c r="V145" s="173"/>
      <c r="W145" s="173"/>
      <c r="X145" s="173"/>
      <c r="Y145" s="173"/>
      <c r="Z145" s="1"/>
      <c r="AA145" s="206">
        <f t="shared" si="166"/>
        <v>0.87857142857142845</v>
      </c>
    </row>
    <row r="146" spans="1:27" ns3:dyDescent="0.3">
      <c r="A146" s="13" t="s">
        <v>297</v>
      </c>
      <c r="B146" s="11">
        <f>ROUNDUP(HLOOKUP(A146,'야채 계산기'!$2:$3,2,0)*1.03,0)</f>
        <v>5047</v>
      </c>
      <c r="C146" s="170">
        <v>3.03</v>
      </c>
      <c r="D146" s="166" t="str">
        <f t="shared" ref="D146" si="219">IFERROR((F146/E146),"")</f>
        <v/>
      </c>
      <c r="E146" s="4"/>
      <c r="F146" s="3" t="str">
        <f t="shared" si="218"/>
        <v/>
      </c>
      <c r="G146" s="5"/>
      <c r="H146" s="6"/>
      <c r="I146" s="34">
        <f t="shared" ref="I146" si="220">IFERROR((S146*E146),"")</f>
        <v>0</v>
      </c>
      <c r="J146" s="78" t="str">
        <f>IFERROR(VLOOKUP(C146,[2]Sheet1!$D:$J,7,0),"")</f>
        <v/>
      </c>
      <c r="K146" s="80" t="str">
        <f t="shared" ref="K146" si="221">IFERROR((I146+J146),"")</f>
        <v/>
      </c>
      <c r="L146" s="7">
        <f t="shared" ref="L146" si="222">IFERROR((G146*H146),"")</f>
        <v>0</v>
      </c>
      <c r="M146" s="8" t="str">
        <f t="shared" ref="M146" si="223">IFERROR(K146-L146,"")</f>
        <v/>
      </c>
      <c r="N146" s="57"/>
      <c r="O146" s="9"/>
      <c r="P146" s="10"/>
      <c r="Q146" s="10"/>
      <c r="R146" s="10"/>
      <c r="S146" s="41">
        <f t="shared" si="111"/>
        <v>0</v>
      </c>
      <c r="Y146" s="1"/>
      <c r="Z146" s="1"/>
      <c r="AA146" s="206" t="str">
        <f t="shared" si="166"/>
        <v/>
      </c>
    </row>
    <row r="147" spans="1:27" ns3:dyDescent="0.3">
      <c r="A147" s="273" t="s">
        <v>799</v>
      </c>
      <c r="B147" s="11">
        <f>ROUNDUP(HLOOKUP(A147,'야채 계산기'!$2:$3,2,0)*1.03,0)</f>
        <v>1679</v>
      </c>
      <c r="C147" s="170">
        <v>0.6</v>
      </c>
      <c r="D147" s="166" t="str">
        <f t="shared" si="204"/>
        <v/>
      </c>
      <c r="E147" s="4"/>
      <c r="F147" s="3" t="str">
        <f t="shared" si="218"/>
        <v/>
      </c>
      <c r="G147" s="5"/>
      <c r="H147" s="6"/>
      <c r="I147" s="34">
        <f t="shared" si="205"/>
        <v>0</v>
      </c>
      <c r="J147" s="78" t="str">
        <f>IFERROR(VLOOKUP(C147,[2]Sheet1!$D:$J,7,0),"")</f>
        <v/>
      </c>
      <c r="K147" s="80" t="str">
        <f t="shared" si="206"/>
        <v/>
      </c>
      <c r="L147" s="7">
        <f t="shared" si="207"/>
        <v>0</v>
      </c>
      <c r="M147" s="8" t="str">
        <f t="shared" si="208"/>
        <v/>
      </c>
      <c r="N147" s="57"/>
      <c r="O147" s="9"/>
      <c r="P147" s="10"/>
      <c r="Q147" s="10"/>
      <c r="R147" s="10"/>
      <c r="S147" s="41">
        <f t="shared" ref="S147:S216" si="224">SUM(Y147,T147:X147)</f>
        <v>0</v>
      </c>
      <c r="Y147" s="1"/>
      <c r="Z147" s="1"/>
      <c r="AA147" s="206" t="str">
        <f t="shared" si="166"/>
        <v/>
      </c>
    </row>
    <row r="148" spans="1:27" ns3:dyDescent="0.3">
      <c r="A148" s="13"/>
      <c r="B148" s="11"/>
      <c r="C148" s="247" t="s">
        <v>810</v>
      </c>
      <c r="D148" s="166">
        <f t="shared" si="204"/>
        <v>-4.0431249999999999</v>
      </c>
      <c r="E148" s="4">
        <v>800</v>
      </c>
      <c r="F148" s="3">
        <f t="shared" si="218"/>
        <v>-3234.5</v>
      </c>
      <c r="G148" s="5">
        <f>G143</f>
        <v>3.5</v>
      </c>
      <c r="H148" s="6">
        <f>ROUNDUP((B149*C149)/1,0)</f>
        <v>1133</v>
      </c>
      <c r="I148" s="34">
        <f t="shared" si="205"/>
        <v>3200</v>
      </c>
      <c r="J148" s="78">
        <f>IFERROR(VLOOKUP(C148,[2]Sheet1!$D:$J,7,0),"")</f>
        <v>4000</v>
      </c>
      <c r="K148" s="80">
        <f t="shared" si="206"/>
        <v>7200</v>
      </c>
      <c r="L148" s="7">
        <f t="shared" si="207"/>
        <v>3965.5</v>
      </c>
      <c r="M148" s="8">
        <f t="shared" si="208"/>
        <v>3234.5</v>
      </c>
      <c r="N148" s="57">
        <f>IFERROR((K148/H148),"")</f>
        <v>6.3548102383053839</v>
      </c>
      <c r="O148" s="9"/>
      <c r="P148" s="10"/>
      <c r="Q148" s="10">
        <v>110</v>
      </c>
      <c r="R148" s="10">
        <f>O148*P148*Q148</f>
        <v>0</v>
      </c>
      <c r="S148" s="41">
        <f t="shared" si="224"/>
        <v>4</v>
      </c>
      <c r="T148" s="173"/>
      <c r="U148" s="173">
        <v>2</v>
      </c>
      <c r="V148" s="173">
        <v>2</v>
      </c>
      <c r="W148" s="173"/>
      <c r="X148" s="173"/>
      <c r="Y148" s="173"/>
      <c r="AA148" s="206">
        <f t="shared" si="166"/>
        <v>1.5174107142857143</v>
      </c>
    </row>
    <row r="149" spans="1:27" ns3:dyDescent="0.3">
      <c r="A149" s="248" t="s">
        <v>796</v>
      </c>
      <c r="B149" s="11">
        <f>ROUNDUP(HLOOKUP(A149,'야채 계산기'!$2:$3,2,0)*1.03,0)</f>
        <v>1133</v>
      </c>
      <c r="C149" s="164">
        <v>1</v>
      </c>
      <c r="D149" s="166"/>
      <c r="E149" s="4"/>
      <c r="F149" s="3"/>
      <c r="G149" s="5"/>
      <c r="H149" s="6"/>
      <c r="I149" s="34">
        <f t="shared" si="205"/>
        <v>0</v>
      </c>
      <c r="J149" s="78" t="str">
        <f>IFERROR(VLOOKUP(C149,[2]Sheet1!$D:$J,7,0),"")</f>
        <v/>
      </c>
      <c r="K149" s="80" t="str">
        <f t="shared" si="206"/>
        <v/>
      </c>
      <c r="L149" s="7">
        <f t="shared" si="207"/>
        <v>0</v>
      </c>
      <c r="M149" s="8" t="str">
        <f t="shared" si="208"/>
        <v/>
      </c>
      <c r="N149" s="57"/>
      <c r="O149" s="9"/>
      <c r="P149" s="10"/>
      <c r="Q149" s="10"/>
      <c r="R149" s="10"/>
      <c r="S149" s="41">
        <f t="shared" si="224"/>
        <v>0</v>
      </c>
      <c r="Y149" s="1"/>
      <c r="Z149" s="1"/>
      <c r="AA149" s="206" t="str">
        <f t="shared" si="166"/>
        <v/>
      </c>
    </row>
    <row r="150" spans="1:27" ns3:dyDescent="0.3">
      <c r="A150" s="13"/>
      <c r="B150" s="11"/>
      <c r="C150" s="62" t="s">
        <v>710</v>
      </c>
      <c r="D150" s="166">
        <f t="shared" ref="D150" si="225">IFERROR((F150/E150),"")</f>
        <v>-1.575</v>
      </c>
      <c r="E150" s="4">
        <v>420</v>
      </c>
      <c r="F150" s="3">
        <f t="shared" ref="F150" si="226">IFERROR((L150-K150),"")</f>
        <v>-661.5</v>
      </c>
      <c r="G150" s="5">
        <f>G143</f>
        <v>3.5</v>
      </c>
      <c r="H150" s="6">
        <f>ROUNDUP((B151*C151)/1,0)</f>
        <v>1731</v>
      </c>
      <c r="I150" s="34">
        <f t="shared" ref="I150:I151" si="227">IFERROR((S150*E150),"")</f>
        <v>2520</v>
      </c>
      <c r="J150" s="78">
        <f>IFERROR(VLOOKUP(C150,[2]Sheet1!$D:$J,7,0),"")</f>
        <v>4200</v>
      </c>
      <c r="K150" s="80">
        <f t="shared" ref="K150:K151" si="228">IFERROR((I150+J150),"")</f>
        <v>6720</v>
      </c>
      <c r="L150" s="7">
        <f t="shared" ref="L150:L151" si="229">IFERROR((G150*H150),"")</f>
        <v>6058.5</v>
      </c>
      <c r="M150" s="8">
        <f t="shared" ref="M150:M151" si="230">IFERROR(K150-L150,"")</f>
        <v>661.5</v>
      </c>
      <c r="N150" s="57">
        <f>IFERROR((K150/H150),"")</f>
        <v>3.8821490467937609</v>
      </c>
      <c r="O150" s="9"/>
      <c r="P150" s="10"/>
      <c r="Q150" s="10">
        <v>230</v>
      </c>
      <c r="R150" s="10">
        <f>O150*P150*Q150</f>
        <v>0</v>
      </c>
      <c r="S150" s="41">
        <f t="shared" ref="S150:S151" si="231">SUM(Y150,T150:X150)</f>
        <v>6</v>
      </c>
      <c r="T150" s="173">
        <v>4</v>
      </c>
      <c r="U150" s="173">
        <v>2</v>
      </c>
      <c r="V150" s="173"/>
      <c r="W150" s="173"/>
      <c r="X150" s="173"/>
      <c r="Y150" s="173"/>
      <c r="AA150" s="206">
        <f t="shared" ref="AA150:AA151" si="232">IFERROR(H150*7.5/E150/7,"")</f>
        <v>4.4158163265306118</v>
      </c>
    </row>
    <row r="151" spans="1:27" ns3:dyDescent="0.3">
      <c r="A151" s="60" t="s">
        <v>709</v>
      </c>
      <c r="B151" s="11">
        <f>ROUNDUP(HLOOKUP(A151,'야채 계산기'!$2:$3,2,0)*1.03,0)</f>
        <v>1731</v>
      </c>
      <c r="C151" s="164">
        <v>1</v>
      </c>
      <c r="D151" s="166"/>
      <c r="E151" s="4"/>
      <c r="F151" s="3"/>
      <c r="G151" s="5"/>
      <c r="H151" s="6"/>
      <c r="I151" s="34">
        <f t="shared" si="227"/>
        <v>0</v>
      </c>
      <c r="J151" s="78" t="str">
        <f>IFERROR(VLOOKUP(C151,[2]Sheet1!$D:$J,7,0),"")</f>
        <v/>
      </c>
      <c r="K151" s="80" t="str">
        <f t="shared" si="228"/>
        <v/>
      </c>
      <c r="L151" s="7">
        <f t="shared" si="229"/>
        <v>0</v>
      </c>
      <c r="M151" s="8" t="str">
        <f t="shared" si="230"/>
        <v/>
      </c>
      <c r="N151" s="57"/>
      <c r="O151" s="9"/>
      <c r="P151" s="10"/>
      <c r="Q151" s="10"/>
      <c r="R151" s="10"/>
      <c r="S151" s="41">
        <f t="shared" si="231"/>
        <v>0</v>
      </c>
      <c r="Y151" s="1"/>
      <c r="Z151" s="1"/>
      <c r="AA151" s="206" t="str">
        <f t="shared" si="232"/>
        <v/>
      </c>
    </row>
    <row r="152" spans="1:27" ns3:dyDescent="0.3">
      <c r="A152" s="13"/>
      <c r="B152" s="11"/>
      <c r="C152" s="164" t="s">
        <v>172</v>
      </c>
      <c r="D152" s="166">
        <f t="shared" si="204"/>
        <v>-6.375</v>
      </c>
      <c r="E152" s="4">
        <v>240</v>
      </c>
      <c r="F152" s="3">
        <f t="shared" si="218"/>
        <v>-1530</v>
      </c>
      <c r="G152" s="5">
        <f>G145</f>
        <v>3.5</v>
      </c>
      <c r="H152" s="6">
        <f>ROUNDUP((B153*C153)/1,0)</f>
        <v>660</v>
      </c>
      <c r="I152" s="34">
        <f t="shared" si="205"/>
        <v>1440</v>
      </c>
      <c r="J152" s="78">
        <f>IFERROR(VLOOKUP(C152,[2]Sheet1!$D:$J,7,0),"")</f>
        <v>2400</v>
      </c>
      <c r="K152" s="80">
        <f t="shared" si="206"/>
        <v>3840</v>
      </c>
      <c r="L152" s="7">
        <f t="shared" si="207"/>
        <v>2310</v>
      </c>
      <c r="M152" s="8">
        <f t="shared" si="208"/>
        <v>1530</v>
      </c>
      <c r="N152" s="57">
        <f>IFERROR((K152/H152),"")</f>
        <v>5.8181818181818183</v>
      </c>
      <c r="O152" s="9"/>
      <c r="P152" s="10"/>
      <c r="Q152" s="10">
        <v>265</v>
      </c>
      <c r="R152" s="10">
        <f>O152*P152*Q152</f>
        <v>0</v>
      </c>
      <c r="S152" s="41">
        <f t="shared" si="224"/>
        <v>6</v>
      </c>
      <c r="T152" s="173">
        <v>4</v>
      </c>
      <c r="U152" s="173">
        <v>2</v>
      </c>
      <c r="V152" s="173"/>
      <c r="W152" s="173"/>
      <c r="X152" s="173"/>
      <c r="Y152" s="173"/>
      <c r="AA152" s="206">
        <f t="shared" si="166"/>
        <v>2.9464285714285716</v>
      </c>
    </row>
    <row r="153" spans="1:27" ns3:dyDescent="0.3">
      <c r="A153" s="11" t="s">
        <v>494</v>
      </c>
      <c r="B153" s="11">
        <f>ROUNDUP(HLOOKUP(A153,'야채 계산기'!$2:$3,2,0)*1.03,0)</f>
        <v>660</v>
      </c>
      <c r="C153" s="164">
        <v>1</v>
      </c>
      <c r="D153" s="166"/>
      <c r="E153" s="4"/>
      <c r="F153" s="3"/>
      <c r="G153" s="5"/>
      <c r="H153" s="6"/>
      <c r="I153" s="34">
        <f t="shared" si="205"/>
        <v>0</v>
      </c>
      <c r="J153" s="78" t="str">
        <f>IFERROR(VLOOKUP(C153,[2]Sheet1!$D:$J,7,0),"")</f>
        <v/>
      </c>
      <c r="K153" s="80" t="str">
        <f t="shared" si="206"/>
        <v/>
      </c>
      <c r="L153" s="7">
        <f t="shared" si="207"/>
        <v>0</v>
      </c>
      <c r="M153" s="8" t="str">
        <f t="shared" si="208"/>
        <v/>
      </c>
      <c r="N153" s="57"/>
      <c r="O153" s="9"/>
      <c r="P153" s="10"/>
      <c r="Q153" s="10"/>
      <c r="R153" s="10"/>
      <c r="S153" s="41">
        <f t="shared" si="224"/>
        <v>0</v>
      </c>
      <c r="Y153" s="1"/>
      <c r="Z153" s="1"/>
      <c r="AA153" s="206" t="str">
        <f t="shared" si="166"/>
        <v/>
      </c>
    </row>
    <row r="154" spans="1:27" ht="15.75" customHeight="1" ns3:dyDescent="0.3">
      <c r="A154" s="13"/>
      <c r="B154" s="11"/>
      <c r="C154" s="164" t="s">
        <v>19</v>
      </c>
      <c r="D154" s="166">
        <f t="shared" ref="D154:D161" si="233">IFERROR((F154/E154),"")</f>
        <v>-5.1850000000000005</v>
      </c>
      <c r="E154" s="4">
        <v>10</v>
      </c>
      <c r="F154" s="3">
        <f>IFERROR((L154-K154),"")</f>
        <v>-51.85</v>
      </c>
      <c r="G154" s="5">
        <f>G152</f>
        <v>3.5</v>
      </c>
      <c r="H154" s="6">
        <f>ROUNDUP(SUMPRODUCT(B155:B155, C155:C155)/2000,1)</f>
        <v>10.9</v>
      </c>
      <c r="I154" s="34">
        <f t="shared" si="205"/>
        <v>80</v>
      </c>
      <c r="J154" s="78">
        <f>IFERROR(VLOOKUP(C154,[2]Sheet1!$D:$J,7,0),"")</f>
        <v>10</v>
      </c>
      <c r="K154" s="80">
        <f t="shared" si="206"/>
        <v>90</v>
      </c>
      <c r="L154" s="7">
        <f t="shared" si="207"/>
        <v>38.15</v>
      </c>
      <c r="M154" s="8">
        <f t="shared" si="208"/>
        <v>51.85</v>
      </c>
      <c r="N154" s="57">
        <f t="shared" ref="N154:N161" si="234">IFERROR((K154/H154),"")</f>
        <v>8.2568807339449535</v>
      </c>
      <c r="O154" s="9"/>
      <c r="P154" s="10"/>
      <c r="Q154" s="10">
        <v>8300</v>
      </c>
      <c r="R154" s="10">
        <f t="shared" ref="R154:R161" si="235">O154*P154*Q154</f>
        <v>0</v>
      </c>
      <c r="S154" s="41">
        <f t="shared" si="224"/>
        <v>8</v>
      </c>
      <c r="T154" s="173">
        <v>2</v>
      </c>
      <c r="U154" s="173">
        <v>4</v>
      </c>
      <c r="V154" s="173">
        <v>2</v>
      </c>
      <c r="W154" s="173"/>
      <c r="X154" s="173"/>
      <c r="Y154" s="173"/>
      <c r="Z154" s="1"/>
      <c r="AA154" s="206">
        <f t="shared" si="166"/>
        <v>1.1678571428571429</v>
      </c>
    </row>
    <row r="155" spans="1:27" ns3:dyDescent="0.3">
      <c r="A155" s="13" t="s">
        <v>18</v>
      </c>
      <c r="B155" s="11">
        <f>ROUNDUP(HLOOKUP(A155,'야채 계산기'!$2:$3,2,0),0)</f>
        <v>3150</v>
      </c>
      <c r="C155" s="164">
        <v>6.87</v>
      </c>
      <c r="D155" s="166" t="str">
        <f t="shared" si="233"/>
        <v/>
      </c>
      <c r="E155" s="4"/>
      <c r="F155" s="3"/>
      <c r="G155" s="5"/>
      <c r="H155" s="6"/>
      <c r="I155" s="34">
        <f t="shared" si="205"/>
        <v>0</v>
      </c>
      <c r="J155" s="78" t="str">
        <f>IFERROR(VLOOKUP(C155,[2]Sheet1!$D:$J,7,0),"")</f>
        <v/>
      </c>
      <c r="K155" s="80" t="str">
        <f t="shared" si="206"/>
        <v/>
      </c>
      <c r="L155" s="7">
        <f t="shared" si="207"/>
        <v>0</v>
      </c>
      <c r="M155" s="8" t="str">
        <f t="shared" si="208"/>
        <v/>
      </c>
      <c r="N155" s="57" t="str">
        <f t="shared" si="234"/>
        <v/>
      </c>
      <c r="O155" s="9"/>
      <c r="P155" s="10"/>
      <c r="Q155" s="10"/>
      <c r="R155" s="10">
        <f t="shared" si="235"/>
        <v>0</v>
      </c>
      <c r="S155" s="41">
        <f>SUM(Y155,T155:X155)</f>
        <v>0</v>
      </c>
      <c r="Y155" s="1"/>
      <c r="Z155" s="1"/>
      <c r="AA155" s="206" t="str">
        <f t="shared" si="166"/>
        <v/>
      </c>
    </row>
    <row r="156" spans="1:27" ns3:dyDescent="0.3">
      <c r="A156" s="13"/>
      <c r="B156" s="11"/>
      <c r="C156" s="247" t="s">
        <v>811</v>
      </c>
      <c r="D156" s="166">
        <f t="shared" ref="D156" si="236">IFERROR((F156/E156),"")</f>
        <v>-8.0849999999999991</v>
      </c>
      <c r="E156" s="4">
        <v>10</v>
      </c>
      <c r="F156" s="3">
        <f t="shared" ref="F156" si="237">IFERROR((L156-K156),"")</f>
        <v>-80.849999999999994</v>
      </c>
      <c r="G156" s="5">
        <f>G143</f>
        <v>3.5</v>
      </c>
      <c r="H156" s="6">
        <f>ROUNDUP(SUMPRODUCT(B157:B158, C157:C158)/2000,1)</f>
        <v>4.8999999999999995</v>
      </c>
      <c r="I156" s="34">
        <f>IFERROR((S156*E156),"")</f>
        <v>60</v>
      </c>
      <c r="J156" s="78">
        <f>IFERROR(VLOOKUP(C156,[2]Sheet1!$D:$J,7,0),"")</f>
        <v>38</v>
      </c>
      <c r="K156" s="80">
        <f>IFERROR((I156+J156),"")</f>
        <v>98</v>
      </c>
      <c r="L156" s="7">
        <f>IFERROR((G156*H156),"")</f>
        <v>17.149999999999999</v>
      </c>
      <c r="M156" s="8">
        <f>IFERROR(K156-L156,"")</f>
        <v>80.849999999999994</v>
      </c>
      <c r="N156" s="57">
        <f>IFERROR((K156/H156),"")</f>
        <v>20.000000000000004</v>
      </c>
      <c r="O156" s="9"/>
      <c r="P156" s="10"/>
      <c r="Q156" s="10">
        <v>5400</v>
      </c>
      <c r="R156" s="10">
        <f>O156*P156*Q156</f>
        <v>0</v>
      </c>
      <c r="S156" s="41">
        <f>SUM(Y156,T156:X156)</f>
        <v>6</v>
      </c>
      <c r="T156" s="173">
        <v>2</v>
      </c>
      <c r="U156" s="173">
        <v>4</v>
      </c>
      <c r="V156" s="173"/>
      <c r="W156" s="173"/>
      <c r="X156" s="173"/>
      <c r="Y156" s="173"/>
      <c r="AA156" s="206">
        <f>IFERROR(H156*7.5/E156/7,"")</f>
        <v>0.52499999999999991</v>
      </c>
    </row>
    <row r="157" spans="1:27" ns3:dyDescent="0.3">
      <c r="A157" s="248" t="s">
        <v>800</v>
      </c>
      <c r="B157" s="11">
        <f>ROUNDUP(HLOOKUP(A157,'야채 계산기'!$2:$3,2,0)*1.03,0)</f>
        <v>1133</v>
      </c>
      <c r="C157" s="164">
        <v>8.5299999999999994</v>
      </c>
      <c r="D157" s="166"/>
      <c r="E157" s="4"/>
      <c r="F157" s="3"/>
      <c r="G157" s="5"/>
      <c r="H157" s="6"/>
      <c r="I157" s="34">
        <f>IFERROR((S157*E157),"")</f>
        <v>0</v>
      </c>
      <c r="J157" s="78" t="str">
        <f>IFERROR(VLOOKUP(C157,[2]Sheet1!$D:$J,7,0),"")</f>
        <v/>
      </c>
      <c r="K157" s="80" t="str">
        <f>IFERROR((I157+J157),"")</f>
        <v/>
      </c>
      <c r="L157" s="7">
        <f>IFERROR((G157*H157),"")</f>
        <v>0</v>
      </c>
      <c r="M157" s="8" t="str">
        <f>IFERROR(K157-L157,"")</f>
        <v/>
      </c>
      <c r="N157" s="57"/>
      <c r="O157" s="9"/>
      <c r="P157" s="10"/>
      <c r="Q157" s="10"/>
      <c r="R157" s="10"/>
      <c r="S157" s="41">
        <f>SUM(Y157,T157:X157)</f>
        <v>0</v>
      </c>
      <c r="Y157" s="1"/>
      <c r="Z157" s="1"/>
      <c r="AA157" s="206" t="str">
        <f>IFERROR(H157*7.5/E157/7,"")</f>
        <v/>
      </c>
    </row>
    <row r="158" spans="1:27" ns3:dyDescent="0.3">
      <c r="A158" s="248" t="s">
        <v>892</v>
      </c>
      <c r="B158" s="11">
        <f>ROUNDUP(HLOOKUP(A158,'야채 계산기'!$2:$3,2,0)*1.03,0)</f>
        <v>0</v>
      </c>
      <c r="C158" s="164">
        <v>8.5299999999999994</v>
      </c>
      <c r="D158" s="166"/>
      <c r="E158" s="4"/>
      <c r="F158" s="3"/>
      <c r="G158" s="5"/>
      <c r="H158" s="6"/>
      <c r="I158" s="34">
        <f>IFERROR((S158*E158),"")</f>
        <v>0</v>
      </c>
      <c r="J158" s="78" t="str">
        <f>IFERROR(VLOOKUP(C158,[2]Sheet1!$D:$J,7,0),"")</f>
        <v/>
      </c>
      <c r="K158" s="80" t="str">
        <f>IFERROR((I158+J158),"")</f>
        <v/>
      </c>
      <c r="L158" s="7">
        <f>IFERROR((G158*H158),"")</f>
        <v>0</v>
      </c>
      <c r="M158" s="8" t="str">
        <f>IFERROR(K158-L158,"")</f>
        <v/>
      </c>
      <c r="N158" s="57"/>
      <c r="O158" s="9"/>
      <c r="P158" s="10"/>
      <c r="Q158" s="10"/>
      <c r="R158" s="10"/>
      <c r="S158" s="41">
        <f>SUM(Y158,T158:X158)</f>
        <v>0</v>
      </c>
      <c r="Y158" s="1"/>
      <c r="Z158" s="1"/>
      <c r="AA158" s="206" t="str">
        <f>IFERROR(H158*7.5/E158/7,"")</f>
        <v/>
      </c>
    </row>
    <row r="159" spans="1:27" ns3:dyDescent="0.3">
      <c r="A159" s="13"/>
      <c r="B159" s="11"/>
      <c r="C159" s="164" t="s">
        <v>275</v>
      </c>
      <c r="D159" s="166">
        <f t="shared" si="233"/>
        <v>-0.5</v>
      </c>
      <c r="E159" s="4">
        <v>10</v>
      </c>
      <c r="F159" s="3">
        <f>IFERROR((L159-K159),"")</f>
        <v>-5</v>
      </c>
      <c r="G159" s="5">
        <f>G154</f>
        <v>3.5</v>
      </c>
      <c r="H159" s="6">
        <f>ROUNDUP((B160*C160)/2000,0)</f>
        <v>12</v>
      </c>
      <c r="I159" s="34">
        <f t="shared" si="205"/>
        <v>30</v>
      </c>
      <c r="J159" s="78">
        <f>IFERROR(VLOOKUP(C159,[2]Sheet1!$D:$J,7,0),"")</f>
        <v>17</v>
      </c>
      <c r="K159" s="80">
        <f t="shared" si="206"/>
        <v>47</v>
      </c>
      <c r="L159" s="7">
        <f t="shared" si="207"/>
        <v>42</v>
      </c>
      <c r="M159" s="8">
        <f t="shared" si="208"/>
        <v>5</v>
      </c>
      <c r="N159" s="57">
        <f t="shared" si="234"/>
        <v>3.9166666666666665</v>
      </c>
      <c r="O159" s="9"/>
      <c r="P159" s="10"/>
      <c r="Q159" s="10">
        <v>4900</v>
      </c>
      <c r="R159" s="10">
        <f t="shared" si="235"/>
        <v>0</v>
      </c>
      <c r="S159" s="41">
        <f t="shared" si="224"/>
        <v>3</v>
      </c>
      <c r="T159" s="173">
        <v>2</v>
      </c>
      <c r="U159" s="173">
        <v>1</v>
      </c>
      <c r="V159" s="173"/>
      <c r="W159" s="173"/>
      <c r="X159" s="173"/>
      <c r="Y159" s="173"/>
      <c r="Z159" s="1"/>
      <c r="AA159" s="206">
        <f t="shared" si="166"/>
        <v>1.2857142857142858</v>
      </c>
    </row>
    <row r="160" spans="1:27" ns3:dyDescent="0.3">
      <c r="A160" s="13" t="s">
        <v>270</v>
      </c>
      <c r="B160" s="11">
        <f>ROUNDUP(HLOOKUP(A160,'야채 계산기'!$2:$3,2,0)*1.03,0)</f>
        <v>1133</v>
      </c>
      <c r="C160" s="164">
        <f>'[1]깐부)마늘간장치킨김밥(26.1.13)'!$B$6</f>
        <v>20.13</v>
      </c>
      <c r="D160" s="166" t="str">
        <f t="shared" si="233"/>
        <v/>
      </c>
      <c r="E160" s="4"/>
      <c r="F160" s="3"/>
      <c r="G160" s="5"/>
      <c r="H160" s="47"/>
      <c r="I160" s="34">
        <f t="shared" si="205"/>
        <v>0</v>
      </c>
      <c r="J160" s="78" t="str">
        <f>IFERROR(VLOOKUP(C160,[2]Sheet1!$D:$J,7,0),"")</f>
        <v/>
      </c>
      <c r="K160" s="80" t="str">
        <f t="shared" si="206"/>
        <v/>
      </c>
      <c r="L160" s="7">
        <f t="shared" si="207"/>
        <v>0</v>
      </c>
      <c r="M160" s="8" t="str">
        <f t="shared" si="208"/>
        <v/>
      </c>
      <c r="N160" s="57" t="str">
        <f t="shared" si="234"/>
        <v/>
      </c>
      <c r="O160" s="9"/>
      <c r="P160" s="10"/>
      <c r="Q160" s="10"/>
      <c r="R160" s="10">
        <f t="shared" si="235"/>
        <v>0</v>
      </c>
      <c r="S160" s="41">
        <f t="shared" si="224"/>
        <v>0</v>
      </c>
      <c r="Y160" s="1"/>
      <c r="Z160" s="1"/>
      <c r="AA160" s="206" t="str">
        <f t="shared" si="166"/>
        <v/>
      </c>
    </row>
    <row r="161" spans="1:28" ns3:dyDescent="0.3">
      <c r="A161" s="13"/>
      <c r="B161" s="11"/>
      <c r="C161" s="164" t="s">
        <v>258</v>
      </c>
      <c r="D161" s="166">
        <f t="shared" si="233"/>
        <v>4.97</v>
      </c>
      <c r="E161" s="4">
        <v>10</v>
      </c>
      <c r="F161" s="3">
        <f>IFERROR((L161-K161),"")</f>
        <v>49.699999999999996</v>
      </c>
      <c r="G161" s="5">
        <f>G154</f>
        <v>3.5</v>
      </c>
      <c r="H161" s="6">
        <f>ROUNDUP(SUMPRODUCT(B162:B167,C162:C167)/2000,1)</f>
        <v>14.2</v>
      </c>
      <c r="I161" s="34">
        <f t="shared" ref="I161:I165" si="238">IFERROR((S161*E161),"")</f>
        <v>0</v>
      </c>
      <c r="J161" s="78">
        <f>IFERROR(VLOOKUP(C161,[2]Sheet1!$D:$J,7,0),"")</f>
        <v>0</v>
      </c>
      <c r="K161" s="80">
        <f t="shared" si="206"/>
        <v>0</v>
      </c>
      <c r="L161" s="7">
        <f t="shared" ref="L161:L165" si="239">IFERROR((G161*H161),"")</f>
        <v>49.699999999999996</v>
      </c>
      <c r="M161" s="8">
        <f t="shared" ref="M161:M165" si="240">IFERROR(K161-L161,"")</f>
        <v>-49.699999999999996</v>
      </c>
      <c r="N161" s="57">
        <f t="shared" si="234"/>
        <v>0</v>
      </c>
      <c r="O161" s="9"/>
      <c r="P161" s="10"/>
      <c r="Q161" s="10">
        <v>5900</v>
      </c>
      <c r="R161" s="10">
        <f t="shared" si="235"/>
        <v>0</v>
      </c>
      <c r="S161" s="41">
        <f t="shared" si="224"/>
        <v>0</v>
      </c>
      <c r="Y161" s="1"/>
      <c r="Z161" s="1"/>
      <c r="AA161" s="206">
        <f t="shared" si="166"/>
        <v>1.5214285714285716</v>
      </c>
    </row>
    <row r="162" spans="1:28" ns3:dyDescent="0.3">
      <c r="A162" s="13" t="s">
        <v>256</v>
      </c>
      <c r="B162" s="11">
        <f>ROUNDUP(HLOOKUP(A162,'야채 계산기'!$2:$3,2,0),0)</f>
        <v>2840</v>
      </c>
      <c r="C162" s="164">
        <v>3.13</v>
      </c>
      <c r="D162" s="166" t="str">
        <f t="shared" ref="D162:D167" si="241">IFERROR((F162/E162),"")</f>
        <v/>
      </c>
      <c r="E162" s="4"/>
      <c r="F162" s="3"/>
      <c r="G162" s="5"/>
      <c r="H162" s="47"/>
      <c r="I162" s="34">
        <f t="shared" si="238"/>
        <v>0</v>
      </c>
      <c r="J162" s="78" t="str">
        <f>IFERROR(VLOOKUP(C162,[2]Sheet1!$D:$J,7,0),"")</f>
        <v/>
      </c>
      <c r="K162" s="80" t="str">
        <f t="shared" ref="K162:K167" si="242">IFERROR((I162+J162),"")</f>
        <v/>
      </c>
      <c r="L162" s="7">
        <f t="shared" si="239"/>
        <v>0</v>
      </c>
      <c r="M162" s="8" t="str">
        <f t="shared" si="240"/>
        <v/>
      </c>
      <c r="N162" s="57" t="str">
        <f t="shared" ref="N162:N167" si="243">IFERROR((K162/H162),"")</f>
        <v/>
      </c>
      <c r="O162" s="9"/>
      <c r="P162" s="10"/>
      <c r="Q162" s="10"/>
      <c r="R162" s="10">
        <f t="shared" ref="R162:R166" si="244">O162*P162*Q162</f>
        <v>0</v>
      </c>
      <c r="S162" s="41">
        <f t="shared" si="224"/>
        <v>0</v>
      </c>
      <c r="Y162" s="1"/>
      <c r="Z162" s="1"/>
      <c r="AA162" s="206" t="str">
        <f t="shared" si="166"/>
        <v/>
      </c>
    </row>
    <row r="163" spans="1:28" ns3:dyDescent="0.3">
      <c r="A163" s="13" t="s">
        <v>267</v>
      </c>
      <c r="B163" s="11">
        <f>ROUNDUP(HLOOKUP(A163,'야채 계산기'!$2:$3,2,0),0)</f>
        <v>1290</v>
      </c>
      <c r="C163" s="164">
        <v>3.13</v>
      </c>
      <c r="D163" s="166" t="str">
        <f>IFERROR((F163/E163),"")</f>
        <v/>
      </c>
      <c r="E163" s="4"/>
      <c r="F163" s="3"/>
      <c r="G163" s="5"/>
      <c r="H163" s="47"/>
      <c r="I163" s="34">
        <f t="shared" si="238"/>
        <v>0</v>
      </c>
      <c r="J163" s="78" t="str">
        <f>IFERROR(VLOOKUP(C163,[2]Sheet1!$D:$J,7,0),"")</f>
        <v/>
      </c>
      <c r="K163" s="80" t="str">
        <f>IFERROR((I163+J163),"")</f>
        <v/>
      </c>
      <c r="L163" s="7">
        <f t="shared" si="239"/>
        <v>0</v>
      </c>
      <c r="M163" s="8" t="str">
        <f t="shared" si="240"/>
        <v/>
      </c>
      <c r="N163" s="57" t="str">
        <f>IFERROR((K163/H163),"")</f>
        <v/>
      </c>
      <c r="O163" s="9"/>
      <c r="P163" s="10"/>
      <c r="Q163" s="10"/>
      <c r="R163" s="10">
        <f>O163*P163*Q163</f>
        <v>0</v>
      </c>
      <c r="S163" s="41">
        <f t="shared" si="224"/>
        <v>0</v>
      </c>
      <c r="Y163" s="1"/>
      <c r="Z163" s="1"/>
      <c r="AA163" s="206" t="str">
        <f t="shared" si="166"/>
        <v/>
      </c>
    </row>
    <row r="164" spans="1:28" ns3:dyDescent="0.3">
      <c r="A164" s="13" t="s">
        <v>270</v>
      </c>
      <c r="B164" s="11">
        <f>ROUNDUP(HLOOKUP(A164,'야채 계산기'!$2:$3,2,0),0)</f>
        <v>1100</v>
      </c>
      <c r="C164" s="164">
        <v>3.13</v>
      </c>
      <c r="D164" s="166" t="str">
        <f t="shared" si="241"/>
        <v/>
      </c>
      <c r="E164" s="4"/>
      <c r="F164" s="3"/>
      <c r="G164" s="5"/>
      <c r="H164" s="47"/>
      <c r="I164" s="34">
        <f t="shared" si="238"/>
        <v>0</v>
      </c>
      <c r="J164" s="78" t="str">
        <f>IFERROR(VLOOKUP(C164,[2]Sheet1!$D:$J,7,0),"")</f>
        <v/>
      </c>
      <c r="K164" s="80" t="str">
        <f t="shared" si="242"/>
        <v/>
      </c>
      <c r="L164" s="7">
        <f t="shared" si="239"/>
        <v>0</v>
      </c>
      <c r="M164" s="8" t="str">
        <f t="shared" si="240"/>
        <v/>
      </c>
      <c r="N164" s="57" t="str">
        <f t="shared" si="243"/>
        <v/>
      </c>
      <c r="O164" s="9"/>
      <c r="P164" s="10"/>
      <c r="Q164" s="10"/>
      <c r="R164" s="10">
        <f t="shared" si="244"/>
        <v>0</v>
      </c>
      <c r="S164" s="41">
        <f t="shared" si="224"/>
        <v>0</v>
      </c>
      <c r="Y164" s="1"/>
      <c r="Z164" s="1"/>
      <c r="AA164" s="206" t="str">
        <f t="shared" si="166"/>
        <v/>
      </c>
    </row>
    <row r="165" spans="1:28" ns3:dyDescent="0.3">
      <c r="A165" s="13" t="s">
        <v>269</v>
      </c>
      <c r="B165" s="11">
        <f>ROUNDUP(HLOOKUP(A165,'야채 계산기'!$2:$3,2,0),0)</f>
        <v>1050</v>
      </c>
      <c r="C165" s="164">
        <v>3.13</v>
      </c>
      <c r="D165" s="166" t="str">
        <f t="shared" si="241"/>
        <v/>
      </c>
      <c r="E165" s="4"/>
      <c r="F165" s="3"/>
      <c r="G165" s="5"/>
      <c r="H165" s="47"/>
      <c r="I165" s="34">
        <f t="shared" si="238"/>
        <v>0</v>
      </c>
      <c r="J165" s="78" t="str">
        <f>IFERROR(VLOOKUP(C165,[2]Sheet1!$D:$J,7,0),"")</f>
        <v/>
      </c>
      <c r="K165" s="80" t="str">
        <f t="shared" si="242"/>
        <v/>
      </c>
      <c r="L165" s="7">
        <f t="shared" si="239"/>
        <v>0</v>
      </c>
      <c r="M165" s="8" t="str">
        <f t="shared" si="240"/>
        <v/>
      </c>
      <c r="N165" s="57" t="str">
        <f t="shared" si="243"/>
        <v/>
      </c>
      <c r="O165" s="9"/>
      <c r="P165" s="10"/>
      <c r="Q165" s="10"/>
      <c r="R165" s="10">
        <f t="shared" si="244"/>
        <v>0</v>
      </c>
      <c r="S165" s="41">
        <f t="shared" si="224"/>
        <v>0</v>
      </c>
      <c r="Y165" s="1"/>
      <c r="Z165" s="1"/>
      <c r="AA165" s="206" t="str">
        <f t="shared" ref="AA165:AA196" si="245">IFERROR(H165*7.5/E165/7,"")</f>
        <v/>
      </c>
    </row>
    <row r="166" spans="1:28" ns3:dyDescent="0.3">
      <c r="A166" s="13" t="s">
        <v>443</v>
      </c>
      <c r="B166" s="11">
        <f>ROUNDUP(HLOOKUP(A166,'야채 계산기'!$2:$3,2,0),0)</f>
        <v>1340</v>
      </c>
      <c r="C166" s="164">
        <v>3.39</v>
      </c>
      <c r="D166" s="166" t="str">
        <f t="shared" si="241"/>
        <v/>
      </c>
      <c r="E166" s="4"/>
      <c r="F166" s="3"/>
      <c r="G166" s="5"/>
      <c r="H166" s="47"/>
      <c r="I166" s="34">
        <f>IFERROR((S166*E166),"")</f>
        <v>0</v>
      </c>
      <c r="J166" s="78" t="str">
        <f>IFERROR(VLOOKUP(C166,[2]Sheet1!$D:$J,7,0),"")</f>
        <v/>
      </c>
      <c r="K166" s="80" t="str">
        <f t="shared" si="242"/>
        <v/>
      </c>
      <c r="L166" s="7">
        <f>IFERROR((G166*H166),"")</f>
        <v>0</v>
      </c>
      <c r="M166" s="8" t="str">
        <f>IFERROR(K166-L166,"")</f>
        <v/>
      </c>
      <c r="N166" s="57" t="str">
        <f t="shared" si="243"/>
        <v/>
      </c>
      <c r="O166" s="9"/>
      <c r="P166" s="10"/>
      <c r="Q166" s="10"/>
      <c r="R166" s="10">
        <f t="shared" si="244"/>
        <v>0</v>
      </c>
      <c r="S166" s="41">
        <f t="shared" si="224"/>
        <v>0</v>
      </c>
      <c r="Y166" s="1"/>
      <c r="Z166" s="1"/>
      <c r="AA166" s="206" t="str">
        <f t="shared" si="245"/>
        <v/>
      </c>
    </row>
    <row r="167" spans="1:28" ns3:dyDescent="0.3">
      <c r="A167" s="13" t="s">
        <v>324</v>
      </c>
      <c r="B167" s="11">
        <f>ROUNDUP(HLOOKUP(A167,'야채 계산기'!$2:$3,2,0),0)</f>
        <v>1190</v>
      </c>
      <c r="C167" s="164">
        <v>3.39</v>
      </c>
      <c r="D167" s="166" t="str">
        <f t="shared" si="241"/>
        <v/>
      </c>
      <c r="E167" s="4"/>
      <c r="F167" s="3"/>
      <c r="G167" s="5"/>
      <c r="H167" s="47"/>
      <c r="I167" s="34">
        <f t="shared" ref="I167" si="246">IFERROR((S167*E167),"")</f>
        <v>0</v>
      </c>
      <c r="J167" s="78" t="str">
        <f>IFERROR(VLOOKUP(C167,[2]Sheet1!$D:$J,7,0),"")</f>
        <v/>
      </c>
      <c r="K167" s="80" t="str">
        <f t="shared" si="242"/>
        <v/>
      </c>
      <c r="L167" s="7">
        <f t="shared" ref="L167" si="247">IFERROR((G167*H167),"")</f>
        <v>0</v>
      </c>
      <c r="M167" s="8" t="str">
        <f t="shared" ref="M167" si="248">IFERROR(K167-L167,"")</f>
        <v/>
      </c>
      <c r="N167" s="57" t="str">
        <f t="shared" si="243"/>
        <v/>
      </c>
      <c r="O167" s="9"/>
      <c r="P167" s="10"/>
      <c r="Q167" s="10"/>
      <c r="R167" s="10">
        <f>O167*P167*Q167</f>
        <v>0</v>
      </c>
      <c r="S167" s="41">
        <f t="shared" si="224"/>
        <v>0</v>
      </c>
      <c r="Y167" s="1"/>
      <c r="Z167" s="1"/>
      <c r="AA167" s="206" t="str">
        <f t="shared" si="245"/>
        <v/>
      </c>
    </row>
    <row r="168" spans="1:28" hidden="1" ns3:dyDescent="0.3">
      <c r="A168" s="13"/>
      <c r="B168" s="11"/>
      <c r="C168" s="295" t="s">
        <v>510</v>
      </c>
      <c r="D168" s="166" t="str">
        <f t="shared" ref="D168:D169" si="249">IFERROR((F168/E168),"")</f>
        <v/>
      </c>
      <c r="E168" s="4">
        <v>60</v>
      </c>
      <c r="F168" s="3" t="str">
        <f>IFERROR((L168-K168),"")</f>
        <v/>
      </c>
      <c r="G168" s="5">
        <f>G143</f>
        <v>3.5</v>
      </c>
      <c r="H168" s="6" t="e">
        <f>ROUNDUP(SUMPRODUCT(B169,C169)/250,1)</f>
        <v>#N/A</v>
      </c>
      <c r="I168" s="34">
        <f t="shared" ref="I168:I169" si="250">IFERROR((S168*E168),"")</f>
        <v>0</v>
      </c>
      <c r="J168" s="78" t="str">
        <f>IFERROR(VLOOKUP(C168,[2]Sheet1!$D:$J,7,0),"")</f>
        <v/>
      </c>
      <c r="K168" s="80" t="str">
        <f t="shared" ref="K168:K169" si="251">IFERROR((I168+J168),"")</f>
        <v/>
      </c>
      <c r="L168" s="7" t="str">
        <f>IFERROR((G168*H168),"")</f>
        <v/>
      </c>
      <c r="M168" s="8" t="str">
        <f>IFERROR(K168-L168,"")</f>
        <v/>
      </c>
      <c r="N168" s="57" t="str">
        <f t="shared" ref="N168:N171" si="252">IFERROR((K168/H168),"")</f>
        <v/>
      </c>
      <c r="O168" s="9"/>
      <c r="P168" s="10"/>
      <c r="Q168" s="10">
        <v>139</v>
      </c>
      <c r="R168" s="10">
        <f t="shared" ref="R168:R169" si="253">O168*P168*Q168</f>
        <v>0</v>
      </c>
      <c r="S168" s="41">
        <f t="shared" si="224"/>
        <v>0</v>
      </c>
      <c r="T168" s="173"/>
      <c r="U168" s="193"/>
      <c r="V168" s="173"/>
      <c r="W168" s="173"/>
      <c r="X168" s="173"/>
      <c r="Y168" s="173"/>
      <c r="Z168" s="1"/>
      <c r="AA168" s="206" t="str">
        <f t="shared" si="245"/>
        <v/>
      </c>
    </row>
    <row r="169" spans="1:28" hidden="1" ns3:dyDescent="0.3">
      <c r="A169" s="296" t="s">
        <v>509</v>
      </c>
      <c r="B169" s="11" t="e">
        <f>ROUNDUP(HLOOKUP(A169,'야채 계산기'!$2:$3,2,0)*1.03,0)</f>
        <v>#N/A</v>
      </c>
      <c r="C169" s="164">
        <v>250</v>
      </c>
      <c r="D169" s="166" t="str">
        <f t="shared" si="249"/>
        <v/>
      </c>
      <c r="E169" s="4"/>
      <c r="F169" s="3"/>
      <c r="G169" s="5"/>
      <c r="H169" s="47"/>
      <c r="I169" s="34">
        <f t="shared" si="250"/>
        <v>0</v>
      </c>
      <c r="J169" s="78" t="str">
        <f>IFERROR(VLOOKUP(C169,[2]Sheet1!$D:$J,7,0),"")</f>
        <v/>
      </c>
      <c r="K169" s="80" t="str">
        <f t="shared" si="251"/>
        <v/>
      </c>
      <c r="L169" s="7">
        <f>IFERROR((G169*H169),"")</f>
        <v>0</v>
      </c>
      <c r="M169" s="8" t="str">
        <f>IFERROR(K169-L169,"")</f>
        <v/>
      </c>
      <c r="N169" s="57" t="str">
        <f t="shared" si="252"/>
        <v/>
      </c>
      <c r="O169" s="9"/>
      <c r="P169" s="10"/>
      <c r="Q169" s="10"/>
      <c r="R169" s="10">
        <f t="shared" si="253"/>
        <v>0</v>
      </c>
      <c r="S169" s="41">
        <f t="shared" si="224"/>
        <v>0</v>
      </c>
      <c r="Y169" s="1"/>
      <c r="Z169" s="1"/>
      <c r="AA169" s="206" t="str">
        <f t="shared" si="245"/>
        <v/>
      </c>
    </row>
    <row r="170" spans="1:28" ns3:dyDescent="0.3">
      <c r="A170" s="13"/>
      <c r="B170" s="11"/>
      <c r="C170" s="164" t="s">
        <v>145</v>
      </c>
      <c r="D170" s="166">
        <f t="shared" ref="D170:D175" si="254">IFERROR((F170/E170),"")</f>
        <v>-8.5504999999999995</v>
      </c>
      <c r="E170" s="4">
        <v>10</v>
      </c>
      <c r="F170" s="3">
        <f>IFERROR((L170-K170),"")</f>
        <v>-85.504999999999995</v>
      </c>
      <c r="G170" s="5">
        <f>G143</f>
        <v>3.5</v>
      </c>
      <c r="H170" s="6">
        <f>ROUNDUP(SUMPRODUCT(B171:B172, C171:C172)/2000,1)*1.1</f>
        <v>75.569999999999993</v>
      </c>
      <c r="I170" s="34">
        <f t="shared" ref="I170:I206" si="255">IFERROR((S170*E170),"")</f>
        <v>200</v>
      </c>
      <c r="J170" s="78">
        <f>IFERROR(VLOOKUP(C170,[2]Sheet1!$D:$J,7,0),"")</f>
        <v>150</v>
      </c>
      <c r="K170" s="80">
        <f t="shared" ref="K170:K220" si="256">IFERROR((I170+J170),"")</f>
        <v>350</v>
      </c>
      <c r="L170" s="7">
        <f t="shared" ref="L170:L206" si="257">IFERROR((G170*H170),"")</f>
        <v>264.495</v>
      </c>
      <c r="M170" s="8">
        <f t="shared" ref="M170:M206" si="258">IFERROR(K170-L170,"")</f>
        <v>85.504999999999995</v>
      </c>
      <c r="N170" s="57">
        <f t="shared" si="252"/>
        <v>4.6314675135635834</v>
      </c>
      <c r="O170" s="9"/>
      <c r="P170" s="10"/>
      <c r="Q170" s="10">
        <v>9000</v>
      </c>
      <c r="R170" s="10"/>
      <c r="S170" s="41">
        <f t="shared" si="224"/>
        <v>20</v>
      </c>
      <c r="T170" s="173">
        <v>10</v>
      </c>
      <c r="U170" s="173">
        <v>10</v>
      </c>
      <c r="V170" s="173"/>
      <c r="W170" s="173"/>
      <c r="X170" s="173"/>
      <c r="Y170" s="173"/>
      <c r="Z170" s="1"/>
      <c r="AA170" s="206">
        <f t="shared" si="245"/>
        <v>8.0967857142857138</v>
      </c>
      <c r="AB170" s="1" t="s">
        <v>634</v>
      </c>
    </row>
    <row r="171" spans="1:28" ns3:dyDescent="0.3">
      <c r="A171" s="11" t="s">
        <v>302</v>
      </c>
      <c r="B171" s="11">
        <f>ROUNDUP(HLOOKUP(A171,'야채 계산기'!$2:$3,2,0)*1.03,0)</f>
        <v>6211</v>
      </c>
      <c r="C171" s="164">
        <v>16.87</v>
      </c>
      <c r="D171" s="166" t="str">
        <f t="shared" ref="D171" si="259">IFERROR((F171/E171),"")</f>
        <v/>
      </c>
      <c r="E171" s="4"/>
      <c r="F171" s="3"/>
      <c r="G171" s="5"/>
      <c r="H171" s="6"/>
      <c r="I171" s="34">
        <f t="shared" ref="I171" si="260">IFERROR((S171*E171),"")</f>
        <v>0</v>
      </c>
      <c r="J171" s="78" t="str">
        <f>IFERROR(VLOOKUP(C171,[2]Sheet1!$D:$J,7,0),"")</f>
        <v/>
      </c>
      <c r="K171" s="80" t="str">
        <f t="shared" ref="K171" si="261">IFERROR((I171+J171),"")</f>
        <v/>
      </c>
      <c r="L171" s="7">
        <f t="shared" ref="L171" si="262">IFERROR((G171*H171),"")</f>
        <v>0</v>
      </c>
      <c r="M171" s="8" t="str">
        <f t="shared" ref="M171" si="263">IFERROR(K171-L171,"")</f>
        <v/>
      </c>
      <c r="N171" s="57" t="str">
        <f t="shared" si="252"/>
        <v/>
      </c>
      <c r="O171" s="9"/>
      <c r="P171" s="10"/>
      <c r="Q171" s="10"/>
      <c r="R171" s="10">
        <f t="shared" ref="R171" si="264">O171*P171*Q171</f>
        <v>0</v>
      </c>
      <c r="S171" s="41">
        <f t="shared" si="224"/>
        <v>0</v>
      </c>
      <c r="Y171" s="1"/>
      <c r="Z171" s="1"/>
      <c r="AA171" s="206" t="str">
        <f t="shared" si="245"/>
        <v/>
      </c>
    </row>
    <row r="172" spans="1:28" ns3:dyDescent="0.3">
      <c r="A172" s="13" t="s">
        <v>563</v>
      </c>
      <c r="B172" s="11">
        <f>ROUNDUP(HLOOKUP(A172,'야채 계산기'!$2:$3,2,0)*1.03,0)</f>
        <v>1834</v>
      </c>
      <c r="C172" s="164">
        <v>17.7</v>
      </c>
      <c r="D172" s="166" t="str">
        <f t="shared" si="254"/>
        <v/>
      </c>
      <c r="E172" s="4"/>
      <c r="F172" s="3"/>
      <c r="G172" s="5"/>
      <c r="H172" s="6"/>
      <c r="I172" s="34">
        <f t="shared" si="255"/>
        <v>0</v>
      </c>
      <c r="J172" s="78" t="str">
        <f>IFERROR(VLOOKUP(C172,[2]Sheet1!$D:$J,7,0),"")</f>
        <v/>
      </c>
      <c r="K172" s="80" t="str">
        <f t="shared" si="256"/>
        <v/>
      </c>
      <c r="L172" s="7">
        <f t="shared" si="257"/>
        <v>0</v>
      </c>
      <c r="M172" s="8" t="str">
        <f t="shared" si="258"/>
        <v/>
      </c>
      <c r="N172" s="57" t="str">
        <f t="shared" ref="N172" si="265">IFERROR((K172/H172),"")</f>
        <v/>
      </c>
      <c r="O172" s="9"/>
      <c r="P172" s="10"/>
      <c r="Q172" s="10"/>
      <c r="R172" s="10">
        <f t="shared" ref="R172:R183" si="266">O172*P172*Q172</f>
        <v>0</v>
      </c>
      <c r="S172" s="41">
        <f t="shared" si="224"/>
        <v>0</v>
      </c>
      <c r="Y172" s="1"/>
      <c r="Z172" s="1"/>
      <c r="AA172" s="206" t="str">
        <f t="shared" si="245"/>
        <v/>
      </c>
    </row>
    <row r="173" spans="1:28" hidden="1" ns3:dyDescent="0.3">
      <c r="A173" s="13"/>
      <c r="B173" s="11"/>
      <c r="C173" s="262" t="s">
        <v>612</v>
      </c>
      <c r="D173" s="166" t="str">
        <f>IFERROR((F173/E173),"")</f>
        <v/>
      </c>
      <c r="E173" s="4">
        <v>10</v>
      </c>
      <c r="F173" s="3" t="str">
        <f>IFERROR((L173-K173),"")</f>
        <v/>
      </c>
      <c r="G173" s="5">
        <f>G143</f>
        <v>3.5</v>
      </c>
      <c r="H173" s="6" t="e">
        <f>ROUNDUP(SUMPRODUCT(B174:B174,C174:C174)/2000,1)</f>
        <v>#N/A</v>
      </c>
      <c r="I173" s="34">
        <f>IFERROR((S173*E173),"")</f>
        <v>0</v>
      </c>
      <c r="J173" s="78" t="str">
        <f>IFERROR(VLOOKUP(C173,[2]Sheet1!$D:$J,7,0),"")</f>
        <v/>
      </c>
      <c r="K173" s="80" t="str">
        <f>IFERROR((I173+J173),"")</f>
        <v/>
      </c>
      <c r="L173" s="7" t="str">
        <f>IFERROR((G173*H173),"")</f>
        <v/>
      </c>
      <c r="M173" s="8" t="str">
        <f>IFERROR(K173-L173,"")</f>
        <v/>
      </c>
      <c r="N173" s="57" t="str">
        <f>IFERROR((K173/H173),"")</f>
        <v/>
      </c>
      <c r="O173" s="9"/>
      <c r="P173" s="10"/>
      <c r="Q173" s="10">
        <v>7400</v>
      </c>
      <c r="R173" s="10">
        <f>O173*P173*Q173</f>
        <v>0</v>
      </c>
      <c r="S173" s="41">
        <f t="shared" si="224"/>
        <v>0</v>
      </c>
      <c r="T173" s="173"/>
      <c r="U173" s="173"/>
      <c r="V173" s="173"/>
      <c r="W173" s="173"/>
      <c r="X173" s="173"/>
      <c r="Y173" s="173"/>
      <c r="Z173" s="1"/>
      <c r="AA173" s="206" t="str">
        <f t="shared" si="245"/>
        <v/>
      </c>
    </row>
    <row r="174" spans="1:28" hidden="1" ns3:dyDescent="0.3">
      <c r="A174" s="273" t="s">
        <v>597</v>
      </c>
      <c r="B174" s="11" t="e">
        <f>ROUNDUP(HLOOKUP(A174,'야채 계산기'!$2:$3,2,0)*1.03,0)</f>
        <v>#N/A</v>
      </c>
      <c r="C174" s="164">
        <v>2.2799999999999998</v>
      </c>
      <c r="D174" s="166" t="str">
        <f t="shared" ref="D174" si="267">IFERROR((F174/E174),"")</f>
        <v/>
      </c>
      <c r="E174" s="4"/>
      <c r="F174" s="3"/>
      <c r="G174" s="5"/>
      <c r="H174" s="47"/>
      <c r="I174" s="34">
        <f t="shared" ref="I174" si="268">IFERROR((S174*E174),"")</f>
        <v>0</v>
      </c>
      <c r="J174" s="78" t="str">
        <f>IFERROR(VLOOKUP(C174,[2]Sheet1!$D:$J,7,0),"")</f>
        <v/>
      </c>
      <c r="K174" s="80" t="str">
        <f t="shared" ref="K174" si="269">IFERROR((I174+J174),"")</f>
        <v/>
      </c>
      <c r="L174" s="7">
        <f t="shared" ref="L174" si="270">IFERROR((G174*H174),"")</f>
        <v>0</v>
      </c>
      <c r="M174" s="8" t="str">
        <f t="shared" ref="M174" si="271">IFERROR(K174-L174,"")</f>
        <v/>
      </c>
      <c r="N174" s="57" t="str">
        <f t="shared" ref="N174" si="272">IFERROR((K174/H174),"")</f>
        <v/>
      </c>
      <c r="O174" s="9"/>
      <c r="P174" s="10"/>
      <c r="Q174" s="10"/>
      <c r="R174" s="10">
        <f t="shared" ref="R174" si="273">O174*P174*Q174</f>
        <v>0</v>
      </c>
      <c r="S174" s="41">
        <f t="shared" si="224"/>
        <v>0</v>
      </c>
      <c r="Y174" s="1"/>
      <c r="Z174" s="1"/>
      <c r="AA174" s="206" t="str">
        <f t="shared" si="245"/>
        <v/>
      </c>
    </row>
    <row r="175" spans="1:28" ns3:dyDescent="0.3">
      <c r="A175" s="13"/>
      <c r="B175" s="11"/>
      <c r="C175" s="62" t="s">
        <v>104</v>
      </c>
      <c r="D175" s="166">
        <f t="shared" si="254"/>
        <v>-1.46</v>
      </c>
      <c r="E175" s="4">
        <v>10</v>
      </c>
      <c r="F175" s="3">
        <f>IFERROR((L175-K175),"")</f>
        <v>-14.6</v>
      </c>
      <c r="G175" s="5">
        <f>G143</f>
        <v>3.5</v>
      </c>
      <c r="H175" s="6">
        <f>ROUNDUP(SUMPRODUCT(B176:B177, C176:C177)/2000,1)</f>
        <v>2.4</v>
      </c>
      <c r="I175" s="34">
        <f t="shared" si="255"/>
        <v>10</v>
      </c>
      <c r="J175" s="78">
        <f>IFERROR(VLOOKUP(C175,[2]Sheet1!$D:$J,7,0),"")</f>
        <v>13</v>
      </c>
      <c r="K175" s="80">
        <f t="shared" si="256"/>
        <v>23</v>
      </c>
      <c r="L175" s="7">
        <f t="shared" si="257"/>
        <v>8.4</v>
      </c>
      <c r="M175" s="8">
        <f t="shared" si="258"/>
        <v>14.6</v>
      </c>
      <c r="N175" s="57">
        <f>IFERROR((K175/H175),"")</f>
        <v>9.5833333333333339</v>
      </c>
      <c r="O175" s="9"/>
      <c r="P175" s="10"/>
      <c r="Q175" s="10">
        <v>7800</v>
      </c>
      <c r="R175" s="10">
        <f t="shared" si="266"/>
        <v>0</v>
      </c>
      <c r="S175" s="41">
        <f t="shared" si="224"/>
        <v>1</v>
      </c>
      <c r="T175" s="183">
        <v>1</v>
      </c>
      <c r="U175" s="173"/>
      <c r="V175" s="173"/>
      <c r="W175" s="173"/>
      <c r="X175" s="173"/>
      <c r="Y175" s="173"/>
      <c r="Z175" s="1"/>
      <c r="AA175" s="206">
        <f t="shared" si="245"/>
        <v>0.25714285714285717</v>
      </c>
    </row>
    <row r="176" spans="1:28" ns3:dyDescent="0.3">
      <c r="A176" s="60" t="s">
        <v>496</v>
      </c>
      <c r="B176" s="11">
        <f>ROUNDUP(HLOOKUP(A176,'야채 계산기'!$2:$3,2,0)*1.03,0)</f>
        <v>1113</v>
      </c>
      <c r="C176" s="164">
        <f>'[1]뭘좋아할지몰라다넣어봤어(26.08.11)'!$B$25</f>
        <v>1.29</v>
      </c>
      <c r="D176" s="166"/>
      <c r="E176" s="4"/>
      <c r="F176" s="3"/>
      <c r="G176" s="5"/>
      <c r="H176" s="6"/>
      <c r="I176" s="34">
        <f t="shared" si="255"/>
        <v>0</v>
      </c>
      <c r="J176" s="78" t="str">
        <f>IFERROR(VLOOKUP(C176,[2]Sheet1!$D:$J,7,0),"")</f>
        <v/>
      </c>
      <c r="K176" s="80" t="str">
        <f t="shared" si="256"/>
        <v/>
      </c>
      <c r="L176" s="7">
        <f t="shared" si="257"/>
        <v>0</v>
      </c>
      <c r="M176" s="8" t="str">
        <f t="shared" si="258"/>
        <v/>
      </c>
      <c r="N176" s="57"/>
      <c r="O176" s="9"/>
      <c r="P176" s="10"/>
      <c r="Q176" s="10"/>
      <c r="R176" s="10">
        <f t="shared" si="266"/>
        <v>0</v>
      </c>
      <c r="S176" s="41">
        <f t="shared" si="224"/>
        <v>0</v>
      </c>
      <c r="Y176" s="1"/>
      <c r="Z176" s="1"/>
      <c r="AA176" s="206" t="str">
        <f t="shared" si="245"/>
        <v/>
      </c>
    </row>
    <row r="177" spans="1:27" ns3:dyDescent="0.3">
      <c r="A177" s="60" t="s">
        <v>638</v>
      </c>
      <c r="B177" s="11">
        <f>ROUNDUP(HLOOKUP(A177,'야채 계산기'!$2:$3,2,0)*1.03,0)</f>
        <v>1515</v>
      </c>
      <c r="C177" s="164">
        <v>2.15</v>
      </c>
      <c r="D177" s="166"/>
      <c r="E177" s="4"/>
      <c r="F177" s="3"/>
      <c r="G177" s="5"/>
      <c r="H177" s="6"/>
      <c r="I177" s="34">
        <f t="shared" ref="I177" si="274">IFERROR((S177*E177),"")</f>
        <v>0</v>
      </c>
      <c r="J177" s="78" t="str">
        <f>IFERROR(VLOOKUP(C177,[2]Sheet1!$D:$J,7,0),"")</f>
        <v/>
      </c>
      <c r="K177" s="80" t="str">
        <f t="shared" ref="K177" si="275">IFERROR((I177+J177),"")</f>
        <v/>
      </c>
      <c r="L177" s="7">
        <f t="shared" ref="L177" si="276">IFERROR((G177*H177),"")</f>
        <v>0</v>
      </c>
      <c r="M177" s="8" t="str">
        <f t="shared" ref="M177" si="277">IFERROR(K177-L177,"")</f>
        <v/>
      </c>
      <c r="N177" s="57"/>
      <c r="O177" s="9"/>
      <c r="P177" s="10"/>
      <c r="Q177" s="10"/>
      <c r="R177" s="10">
        <f t="shared" ref="R177" si="278">O177*P177*Q177</f>
        <v>0</v>
      </c>
      <c r="S177" s="41">
        <f t="shared" si="224"/>
        <v>0</v>
      </c>
      <c r="Y177" s="1"/>
      <c r="Z177" s="1"/>
      <c r="AA177" s="206" t="str">
        <f t="shared" si="245"/>
        <v/>
      </c>
    </row>
    <row r="178" spans="1:27" ns3:dyDescent="0.3">
      <c r="A178" s="13"/>
      <c r="B178" s="11"/>
      <c r="C178" s="170" t="s">
        <v>20</v>
      </c>
      <c r="D178" s="166">
        <f>IFERROR((F178/E178),"")</f>
        <v>-10.1595</v>
      </c>
      <c r="E178" s="4">
        <v>10</v>
      </c>
      <c r="F178" s="3">
        <f>IFERROR((L178-K178),"")</f>
        <v>-101.595</v>
      </c>
      <c r="G178" s="5">
        <f>G175</f>
        <v>3.5</v>
      </c>
      <c r="H178" s="6">
        <f>ROUNDUP(SUMPRODUCT(B179:B179, C179:C179)/2000,1)*1.1</f>
        <v>27.830000000000002</v>
      </c>
      <c r="I178" s="34">
        <f t="shared" si="255"/>
        <v>140</v>
      </c>
      <c r="J178" s="78">
        <f>IFERROR(VLOOKUP(C178,[2]Sheet1!$D:$J,7,0),"")</f>
        <v>59</v>
      </c>
      <c r="K178" s="80">
        <f t="shared" si="256"/>
        <v>199</v>
      </c>
      <c r="L178" s="7">
        <f t="shared" si="257"/>
        <v>97.405000000000001</v>
      </c>
      <c r="M178" s="8">
        <f t="shared" si="258"/>
        <v>101.595</v>
      </c>
      <c r="N178" s="57">
        <f>IFERROR((K178/H178),"")</f>
        <v>7.1505569529284942</v>
      </c>
      <c r="O178" s="9"/>
      <c r="P178" s="10"/>
      <c r="Q178" s="10">
        <v>7408</v>
      </c>
      <c r="R178" s="10">
        <f t="shared" si="266"/>
        <v>0</v>
      </c>
      <c r="S178" s="41">
        <f t="shared" si="224"/>
        <v>14</v>
      </c>
      <c r="T178" s="173">
        <v>4</v>
      </c>
      <c r="U178" s="173">
        <v>10</v>
      </c>
      <c r="V178" s="173"/>
      <c r="W178" s="173"/>
      <c r="X178" s="173"/>
      <c r="Y178" s="173"/>
      <c r="Z178" s="1"/>
      <c r="AA178" s="206">
        <f t="shared" si="245"/>
        <v>2.9817857142857145</v>
      </c>
    </row>
    <row r="179" spans="1:27" ns3:dyDescent="0.3">
      <c r="A179" s="13" t="s">
        <v>18</v>
      </c>
      <c r="B179" s="11">
        <f>ROUNDUP(HLOOKUP(A179,'야채 계산기'!$2:$3,2,0)*1.03,0)</f>
        <v>3245</v>
      </c>
      <c r="C179" s="144">
        <v>15.57</v>
      </c>
      <c r="D179" s="166"/>
      <c r="E179" s="4"/>
      <c r="F179" s="3"/>
      <c r="G179" s="5"/>
      <c r="H179" s="6"/>
      <c r="I179" s="34">
        <f t="shared" ref="I179" si="279">IFERROR((S179*E179),"")</f>
        <v>0</v>
      </c>
      <c r="J179" s="78" t="str">
        <f>IFERROR(VLOOKUP(C179,[2]Sheet1!$D:$J,7,0),"")</f>
        <v/>
      </c>
      <c r="K179" s="80" t="str">
        <f t="shared" ref="K179" si="280">IFERROR((I179+J179),"")</f>
        <v/>
      </c>
      <c r="L179" s="7">
        <f t="shared" ref="L179" si="281">IFERROR((G179*H179),"")</f>
        <v>0</v>
      </c>
      <c r="M179" s="8" t="str">
        <f t="shared" ref="M179" si="282">IFERROR(K179-L179,"")</f>
        <v/>
      </c>
      <c r="N179" s="57"/>
      <c r="O179" s="9"/>
      <c r="P179" s="10"/>
      <c r="Q179" s="10"/>
      <c r="R179" s="10">
        <f t="shared" ref="R179" si="283">O179*P179*Q179</f>
        <v>0</v>
      </c>
      <c r="S179" s="41">
        <f t="shared" ref="S179" si="284">SUM(Y179,T179:X179)</f>
        <v>0</v>
      </c>
      <c r="Y179" s="1"/>
      <c r="Z179" s="1"/>
      <c r="AA179" s="206" t="str">
        <f t="shared" ref="AA179" si="285">IFERROR(H179*7.5/E179/7,"")</f>
        <v/>
      </c>
    </row>
    <row r="180" spans="1:27" ns3:dyDescent="0.3">
      <c r="A180" s="60"/>
      <c r="B180" s="11"/>
      <c r="C180" s="162" t="s">
        <v>62</v>
      </c>
      <c r="D180" s="166">
        <f>IFERROR((F180/E180),"")</f>
        <v>0.189</v>
      </c>
      <c r="E180" s="4">
        <v>10</v>
      </c>
      <c r="F180" s="3">
        <f>IFERROR((L180-K180),"")</f>
        <v>1.8900000000000001</v>
      </c>
      <c r="G180" s="5">
        <f>G178</f>
        <v>3.5</v>
      </c>
      <c r="H180" s="6">
        <f>ROUNDUP(SUMPRODUCT(B181:B182, C181:C182)/2000,1)*0.9</f>
        <v>0.54</v>
      </c>
      <c r="I180" s="34">
        <f t="shared" si="255"/>
        <v>0</v>
      </c>
      <c r="J180" s="78">
        <f>IFERROR(VLOOKUP(C180,[2]Sheet1!$D:$J,7,0),"")</f>
        <v>0</v>
      </c>
      <c r="K180" s="80">
        <f t="shared" si="256"/>
        <v>0</v>
      </c>
      <c r="L180" s="7">
        <f t="shared" si="257"/>
        <v>1.8900000000000001</v>
      </c>
      <c r="M180" s="8">
        <f t="shared" si="258"/>
        <v>-1.8900000000000001</v>
      </c>
      <c r="N180" s="57">
        <f>IFERROR((K180/H180),"")</f>
        <v>0</v>
      </c>
      <c r="O180" s="9"/>
      <c r="P180" s="10"/>
      <c r="Q180" s="10">
        <v>5400</v>
      </c>
      <c r="R180" s="10">
        <f t="shared" si="266"/>
        <v>0</v>
      </c>
      <c r="S180" s="41">
        <f t="shared" si="224"/>
        <v>0</v>
      </c>
      <c r="Y180" s="1"/>
      <c r="AA180" s="206">
        <f t="shared" si="245"/>
        <v>5.7857142857142871E-2</v>
      </c>
    </row>
    <row r="181" spans="1:27" ns3:dyDescent="0.3">
      <c r="A181" s="59" t="s">
        <v>174</v>
      </c>
      <c r="B181" s="11">
        <f>ROUNDUP(HLOOKUP(A181,'야채 계산기'!$2:$3,2,0)*1.03,0)</f>
        <v>176</v>
      </c>
      <c r="C181" s="62">
        <v>4.1399999999999997</v>
      </c>
      <c r="D181" s="167" t="str">
        <f>IFERROR((F181/E181),"")</f>
        <v/>
      </c>
      <c r="E181" s="4"/>
      <c r="F181" s="17"/>
      <c r="G181" s="5"/>
      <c r="H181" s="6"/>
      <c r="I181" s="34">
        <f t="shared" si="255"/>
        <v>0</v>
      </c>
      <c r="J181" s="78" t="str">
        <f>IFERROR(VLOOKUP(C181,[2]Sheet1!$D:$J,7,0),"")</f>
        <v/>
      </c>
      <c r="K181" s="80" t="str">
        <f t="shared" si="256"/>
        <v/>
      </c>
      <c r="L181" s="7">
        <f t="shared" si="257"/>
        <v>0</v>
      </c>
      <c r="M181" s="8" t="str">
        <f t="shared" si="258"/>
        <v/>
      </c>
      <c r="N181" s="57" t="str">
        <f>IFERROR((K181/H181),"")</f>
        <v/>
      </c>
      <c r="O181" s="56"/>
      <c r="P181" s="10"/>
      <c r="Q181" s="10"/>
      <c r="R181" s="10">
        <f t="shared" si="266"/>
        <v>0</v>
      </c>
      <c r="S181" s="41">
        <f t="shared" si="224"/>
        <v>0</v>
      </c>
      <c r="Y181" s="1"/>
      <c r="Z181" s="1"/>
      <c r="AA181" s="206" t="str">
        <f t="shared" si="245"/>
        <v/>
      </c>
    </row>
    <row r="182" spans="1:27" ns3:dyDescent="0.3">
      <c r="A182" s="59" t="s">
        <v>189</v>
      </c>
      <c r="B182" s="11">
        <f>ROUNDUP(HLOOKUP(A182,'야채 계산기'!$2:$3,2,0)*1.03,0)</f>
        <v>145</v>
      </c>
      <c r="C182" s="62">
        <f>'[1]착한김치김밥(250612)슈퍼'!$B$6</f>
        <v>2.76</v>
      </c>
      <c r="D182" s="167" t="str">
        <f>IFERROR((F182/E182),"")</f>
        <v/>
      </c>
      <c r="E182" s="4"/>
      <c r="F182" s="17"/>
      <c r="G182" s="5"/>
      <c r="H182" s="6"/>
      <c r="I182" s="34">
        <f t="shared" si="255"/>
        <v>0</v>
      </c>
      <c r="J182" s="78" t="str">
        <f>IFERROR(VLOOKUP(C182,[2]Sheet1!$D:$J,7,0),"")</f>
        <v/>
      </c>
      <c r="K182" s="80" t="str">
        <f t="shared" si="256"/>
        <v/>
      </c>
      <c r="L182" s="7">
        <f t="shared" si="257"/>
        <v>0</v>
      </c>
      <c r="M182" s="8" t="str">
        <f t="shared" si="258"/>
        <v/>
      </c>
      <c r="N182" s="57" t="str">
        <f>IFERROR((K182/H182),"")</f>
        <v/>
      </c>
      <c r="O182" s="56"/>
      <c r="P182" s="10"/>
      <c r="Q182" s="10"/>
      <c r="R182" s="10">
        <f t="shared" si="266"/>
        <v>0</v>
      </c>
      <c r="S182" s="41">
        <f t="shared" si="224"/>
        <v>0</v>
      </c>
      <c r="Y182" s="1"/>
      <c r="Z182" s="1"/>
      <c r="AA182" s="206" t="str">
        <f t="shared" si="245"/>
        <v/>
      </c>
    </row>
    <row r="183" spans="1:27" hidden="1" ns3:dyDescent="0.3">
      <c r="A183" s="61"/>
      <c r="B183" s="11"/>
      <c r="C183" s="247" t="s">
        <v>251</v>
      </c>
      <c r="D183" s="166" t="str">
        <f>IFERROR((F183/E183),"")</f>
        <v/>
      </c>
      <c r="E183" s="4">
        <v>9</v>
      </c>
      <c r="F183" s="3" t="str">
        <f>IFERROR((L183-K183),"")</f>
        <v/>
      </c>
      <c r="G183" s="5">
        <f>G180</f>
        <v>3.5</v>
      </c>
      <c r="H183" s="6" t="e">
        <f>ROUNDUP(SUMPRODUCT(B184,C184)/2000,1)</f>
        <v>#N/A</v>
      </c>
      <c r="I183" s="34">
        <f t="shared" si="255"/>
        <v>0</v>
      </c>
      <c r="J183" s="78">
        <f>IFERROR(VLOOKUP(C183,[2]Sheet1!$D:$J,7,0),"")</f>
        <v>0</v>
      </c>
      <c r="K183" s="80">
        <f t="shared" si="256"/>
        <v>0</v>
      </c>
      <c r="L183" s="7" t="str">
        <f t="shared" si="257"/>
        <v/>
      </c>
      <c r="M183" s="8" t="str">
        <f t="shared" si="258"/>
        <v/>
      </c>
      <c r="N183" s="57" t="str">
        <f>IFERROR((K183/H183),"")</f>
        <v/>
      </c>
      <c r="O183" s="9"/>
      <c r="P183" s="10"/>
      <c r="Q183" s="10">
        <v>12600</v>
      </c>
      <c r="R183" s="10">
        <f t="shared" si="266"/>
        <v>0</v>
      </c>
      <c r="S183" s="41">
        <f t="shared" si="224"/>
        <v>0</v>
      </c>
      <c r="Y183" s="1"/>
      <c r="Z183" s="169"/>
      <c r="AA183" s="206" t="str">
        <f t="shared" si="245"/>
        <v/>
      </c>
    </row>
    <row r="184" spans="1:27" hidden="1" ns3:dyDescent="0.3">
      <c r="A184" s="248" t="s">
        <v>539</v>
      </c>
      <c r="B184" s="11" t="e">
        <f>ROUNDUP(HLOOKUP(A184,'야채 계산기'!$2:$3,2,0)*1.03,0)</f>
        <v>#N/A</v>
      </c>
      <c r="C184" s="144">
        <v>19.809999999999999</v>
      </c>
      <c r="D184" s="166"/>
      <c r="E184" s="4"/>
      <c r="F184" s="3"/>
      <c r="G184" s="5"/>
      <c r="H184" s="6"/>
      <c r="I184" s="34">
        <f t="shared" si="255"/>
        <v>0</v>
      </c>
      <c r="J184" s="78" t="str">
        <f>IFERROR(VLOOKUP(C184,[2]Sheet1!$D:$J,7,0),"")</f>
        <v/>
      </c>
      <c r="K184" s="80" t="str">
        <f t="shared" si="256"/>
        <v/>
      </c>
      <c r="L184" s="7">
        <f t="shared" si="257"/>
        <v>0</v>
      </c>
      <c r="M184" s="8" t="str">
        <f t="shared" si="258"/>
        <v/>
      </c>
      <c r="N184" s="57"/>
      <c r="O184" s="9"/>
      <c r="P184" s="10"/>
      <c r="Q184" s="10"/>
      <c r="R184" s="10"/>
      <c r="S184" s="41">
        <f t="shared" si="224"/>
        <v>0</v>
      </c>
      <c r="Y184" s="1"/>
      <c r="Z184" s="1"/>
      <c r="AA184" s="206" t="str">
        <f t="shared" si="245"/>
        <v/>
      </c>
    </row>
    <row r="185" spans="1:27" hidden="1" ns3:dyDescent="0.3">
      <c r="A185" s="61"/>
      <c r="B185" s="11"/>
      <c r="C185" s="262" t="s">
        <v>226</v>
      </c>
      <c r="D185" s="166" t="str">
        <f>IFERROR((F185/E185),"")</f>
        <v/>
      </c>
      <c r="E185" s="4">
        <v>420</v>
      </c>
      <c r="F185" s="3" t="str">
        <f>IFERROR((L185-K185),"")</f>
        <v/>
      </c>
      <c r="G185" s="5">
        <f>G183</f>
        <v>3.5</v>
      </c>
      <c r="H185" s="6" t="e">
        <f>ROUNDUP(SUMPRODUCT(B186,C186),1)</f>
        <v>#N/A</v>
      </c>
      <c r="I185" s="34">
        <f t="shared" si="255"/>
        <v>0</v>
      </c>
      <c r="J185" s="78">
        <f>IFERROR(VLOOKUP(C185,[2]Sheet1!$D:$J,7,0),"")</f>
        <v>0</v>
      </c>
      <c r="K185" s="80">
        <f t="shared" si="256"/>
        <v>0</v>
      </c>
      <c r="L185" s="7" t="str">
        <f t="shared" si="257"/>
        <v/>
      </c>
      <c r="M185" s="8" t="str">
        <f t="shared" si="258"/>
        <v/>
      </c>
      <c r="N185" s="57" t="str">
        <f>IFERROR((K185/H185),"")</f>
        <v/>
      </c>
      <c r="O185" s="9"/>
      <c r="P185" s="10"/>
      <c r="Q185" s="10">
        <v>190</v>
      </c>
      <c r="R185" s="10">
        <f>O185*P185*Q185</f>
        <v>0</v>
      </c>
      <c r="S185" s="41">
        <f t="shared" si="224"/>
        <v>0</v>
      </c>
      <c r="T185" s="173"/>
      <c r="U185" s="173"/>
      <c r="V185" s="173"/>
      <c r="W185" s="173"/>
      <c r="X185" s="173"/>
      <c r="Y185" s="173"/>
      <c r="Z185" s="1"/>
      <c r="AA185" s="206" t="str">
        <f t="shared" si="245"/>
        <v/>
      </c>
    </row>
    <row r="186" spans="1:27" hidden="1" ns3:dyDescent="0.3">
      <c r="A186" s="273" t="s">
        <v>493</v>
      </c>
      <c r="B186" s="11" t="e">
        <f>ROUNDUP(HLOOKUP(A186,'야채 계산기'!$2:$3,2,0)*1.03,0)</f>
        <v>#N/A</v>
      </c>
      <c r="C186" s="144">
        <v>1</v>
      </c>
      <c r="D186" s="166"/>
      <c r="E186" s="4"/>
      <c r="F186" s="3"/>
      <c r="G186" s="5"/>
      <c r="H186" s="6"/>
      <c r="I186" s="34">
        <f t="shared" si="255"/>
        <v>0</v>
      </c>
      <c r="J186" s="78" t="str">
        <f>IFERROR(VLOOKUP(C186,[2]Sheet1!$D:$J,7,0),"")</f>
        <v/>
      </c>
      <c r="K186" s="80" t="str">
        <f t="shared" si="256"/>
        <v/>
      </c>
      <c r="L186" s="7">
        <f t="shared" si="257"/>
        <v>0</v>
      </c>
      <c r="M186" s="8" t="str">
        <f t="shared" si="258"/>
        <v/>
      </c>
      <c r="N186" s="57"/>
      <c r="O186" s="9"/>
      <c r="P186" s="10"/>
      <c r="Q186" s="10"/>
      <c r="R186" s="10"/>
      <c r="S186" s="41">
        <f t="shared" si="224"/>
        <v>0</v>
      </c>
      <c r="Y186" s="1"/>
      <c r="Z186" s="1"/>
      <c r="AA186" s="206" t="str">
        <f t="shared" si="245"/>
        <v/>
      </c>
    </row>
    <row r="187" spans="1:27" ns3:dyDescent="0.3">
      <c r="A187" s="61"/>
      <c r="B187" s="11"/>
      <c r="C187" s="144" t="s">
        <v>105</v>
      </c>
      <c r="D187" s="166">
        <f>IFERROR((F187/E187),"")</f>
        <v>-3.7900000000000005</v>
      </c>
      <c r="E187" s="4">
        <v>10</v>
      </c>
      <c r="F187" s="3">
        <f>IFERROR((L187-K187),"")</f>
        <v>-37.900000000000006</v>
      </c>
      <c r="G187" s="5">
        <f>G185</f>
        <v>3.5</v>
      </c>
      <c r="H187" s="6">
        <f>ROUNDUP(SUMPRODUCT(B188:B189,C188:C189)/2000,1)</f>
        <v>8.6</v>
      </c>
      <c r="I187" s="34">
        <f t="shared" si="255"/>
        <v>20</v>
      </c>
      <c r="J187" s="78">
        <f>IFERROR(VLOOKUP(C187,[2]Sheet1!$D:$J,7,0),"")</f>
        <v>48</v>
      </c>
      <c r="K187" s="80">
        <f t="shared" si="256"/>
        <v>68</v>
      </c>
      <c r="L187" s="7">
        <f t="shared" si="257"/>
        <v>30.099999999999998</v>
      </c>
      <c r="M187" s="8">
        <f t="shared" si="258"/>
        <v>37.900000000000006</v>
      </c>
      <c r="N187" s="57">
        <f>IFERROR((K187/H187),"")</f>
        <v>7.9069767441860472</v>
      </c>
      <c r="O187" s="9"/>
      <c r="P187" s="10"/>
      <c r="Q187" s="10">
        <v>7980</v>
      </c>
      <c r="R187" s="10">
        <f>O187*P187*Q187</f>
        <v>0</v>
      </c>
      <c r="S187" s="41">
        <f t="shared" si="224"/>
        <v>2</v>
      </c>
      <c r="T187" s="173">
        <v>2</v>
      </c>
      <c r="U187" s="173"/>
      <c r="V187" s="173"/>
      <c r="W187" s="173"/>
      <c r="X187" s="173"/>
      <c r="Y187" s="173"/>
      <c r="Z187" s="1"/>
      <c r="AA187" s="206">
        <f t="shared" si="245"/>
        <v>0.92142857142857149</v>
      </c>
    </row>
    <row r="188" spans="1:27" ns3:dyDescent="0.3">
      <c r="A188" s="59" t="s">
        <v>496</v>
      </c>
      <c r="B188" s="11">
        <f>ROUNDUP(HLOOKUP(A188,'야채 계산기'!$2:$3,2,0)*1.03,0)</f>
        <v>1113</v>
      </c>
      <c r="C188" s="144">
        <f>'[1]뭘좋아할지몰라다넣어봤어(26.08.11)'!$B$27</f>
        <v>10.199999999999999</v>
      </c>
      <c r="D188" s="166"/>
      <c r="E188" s="4"/>
      <c r="F188" s="3"/>
      <c r="G188" s="5"/>
      <c r="H188" s="6"/>
      <c r="I188" s="34">
        <f t="shared" ref="I188" si="286">IFERROR((S188*E188),"")</f>
        <v>0</v>
      </c>
      <c r="J188" s="78" t="str">
        <f>IFERROR(VLOOKUP(C188,[2]Sheet1!$D:$J,7,0),"")</f>
        <v/>
      </c>
      <c r="K188" s="80" t="str">
        <f t="shared" ref="K188" si="287">IFERROR((I188+J188),"")</f>
        <v/>
      </c>
      <c r="L188" s="7">
        <f t="shared" ref="L188" si="288">IFERROR((G188*H188),"")</f>
        <v>0</v>
      </c>
      <c r="M188" s="8" t="str">
        <f t="shared" ref="M188" si="289">IFERROR(K188-L188,"")</f>
        <v/>
      </c>
      <c r="N188" s="57"/>
      <c r="O188" s="9"/>
      <c r="P188" s="10"/>
      <c r="Q188" s="10"/>
      <c r="R188" s="10"/>
      <c r="S188" s="41">
        <f t="shared" si="224"/>
        <v>0</v>
      </c>
      <c r="Y188" s="1"/>
      <c r="Z188" s="1"/>
      <c r="AA188" s="206" t="str">
        <f t="shared" si="245"/>
        <v/>
      </c>
    </row>
    <row r="189" spans="1:27" ns3:dyDescent="0.3">
      <c r="A189" s="59" t="s">
        <v>781</v>
      </c>
      <c r="B189" s="11">
        <f>ROUNDUP(HLOOKUP(A189,'야채 계산기'!$2:$3,2,0)*1.03,0)</f>
        <v>567</v>
      </c>
      <c r="C189" s="144">
        <v>10.31</v>
      </c>
      <c r="D189" s="166"/>
      <c r="E189" s="4"/>
      <c r="F189" s="3"/>
      <c r="G189" s="5"/>
      <c r="H189" s="6"/>
      <c r="I189" s="34">
        <f t="shared" si="255"/>
        <v>0</v>
      </c>
      <c r="J189" s="78" t="str">
        <f>IFERROR(VLOOKUP(C189,[2]Sheet1!$D:$J,7,0),"")</f>
        <v/>
      </c>
      <c r="K189" s="80" t="str">
        <f t="shared" si="256"/>
        <v/>
      </c>
      <c r="L189" s="7">
        <f t="shared" si="257"/>
        <v>0</v>
      </c>
      <c r="M189" s="8" t="str">
        <f t="shared" si="258"/>
        <v/>
      </c>
      <c r="N189" s="57"/>
      <c r="O189" s="9"/>
      <c r="P189" s="10"/>
      <c r="Q189" s="10"/>
      <c r="R189" s="10"/>
      <c r="S189" s="41">
        <f t="shared" si="224"/>
        <v>0</v>
      </c>
      <c r="Y189" s="1"/>
      <c r="Z189" s="1"/>
      <c r="AA189" s="206" t="str">
        <f t="shared" si="245"/>
        <v/>
      </c>
    </row>
    <row r="190" spans="1:27" ns3:dyDescent="0.3">
      <c r="A190" s="59"/>
      <c r="B190" s="11"/>
      <c r="C190" s="62" t="s">
        <v>613</v>
      </c>
      <c r="D190" s="166">
        <f>IFERROR((F190/E190),"")</f>
        <v>-2.2600000000000002</v>
      </c>
      <c r="E190" s="4">
        <v>10</v>
      </c>
      <c r="F190" s="3">
        <f>IFERROR((L190-K190),"")</f>
        <v>-22.6</v>
      </c>
      <c r="G190" s="5">
        <f>G185</f>
        <v>3.5</v>
      </c>
      <c r="H190" s="6">
        <f>ROUNDUP(SUMPRODUCT(B191:B193, C191:C193)/2000,1)</f>
        <v>4.3999999999999995</v>
      </c>
      <c r="I190" s="34">
        <f>IFERROR((S190*E190),"")</f>
        <v>20</v>
      </c>
      <c r="J190" s="78">
        <f>IFERROR(VLOOKUP(C190,[2]Sheet1!$D:$J,7,0),"")</f>
        <v>18</v>
      </c>
      <c r="K190" s="80">
        <f>IFERROR((I190+J190),"")</f>
        <v>38</v>
      </c>
      <c r="L190" s="7">
        <f>IFERROR((G190*H190),"")</f>
        <v>15.399999999999999</v>
      </c>
      <c r="M190" s="8">
        <f>IFERROR(K190-L190,"")</f>
        <v>22.6</v>
      </c>
      <c r="N190" s="57">
        <f>IFERROR((K190/H190),"")</f>
        <v>8.6363636363636367</v>
      </c>
      <c r="O190" s="9"/>
      <c r="P190" s="10"/>
      <c r="Q190" s="10">
        <v>7400</v>
      </c>
      <c r="R190" s="10">
        <f>O190*P190*Q190</f>
        <v>0</v>
      </c>
      <c r="S190" s="41">
        <f t="shared" si="224"/>
        <v>2</v>
      </c>
      <c r="T190" s="173">
        <v>2</v>
      </c>
      <c r="U190" s="173"/>
      <c r="V190" s="173"/>
      <c r="W190" s="173"/>
      <c r="X190" s="173"/>
      <c r="Y190" s="173"/>
      <c r="Z190" s="1"/>
      <c r="AA190" s="206">
        <f t="shared" si="245"/>
        <v>0.47142857142857136</v>
      </c>
    </row>
    <row r="191" spans="1:27" ns3:dyDescent="0.3">
      <c r="A191" s="59" t="s">
        <v>781</v>
      </c>
      <c r="B191" s="11">
        <f>ROUNDUP(HLOOKUP(A191,'야채 계산기'!$2:$3,2,0)*1.03,0)</f>
        <v>567</v>
      </c>
      <c r="C191" s="164">
        <v>2.33</v>
      </c>
      <c r="D191" s="166" t="str">
        <f t="shared" ref="D191:D192" si="290">IFERROR((F191/E191),"")</f>
        <v/>
      </c>
      <c r="E191" s="4"/>
      <c r="F191" s="3"/>
      <c r="G191" s="5"/>
      <c r="H191" s="47"/>
      <c r="I191" s="34">
        <f t="shared" ref="I191:I192" si="291">IFERROR((S191*E191),"")</f>
        <v>0</v>
      </c>
      <c r="J191" s="78" t="str">
        <f>IFERROR(VLOOKUP(C191,[2]Sheet1!$D:$J,7,0),"")</f>
        <v/>
      </c>
      <c r="K191" s="80" t="str">
        <f t="shared" ref="K191:K192" si="292">IFERROR((I191+J191),"")</f>
        <v/>
      </c>
      <c r="L191" s="7">
        <f t="shared" ref="L191:L192" si="293">IFERROR((G191*H191),"")</f>
        <v>0</v>
      </c>
      <c r="M191" s="8" t="str">
        <f t="shared" ref="M191:M192" si="294">IFERROR(K191-L191,"")</f>
        <v/>
      </c>
      <c r="N191" s="57" t="str">
        <f t="shared" ref="N191:N192" si="295">IFERROR((K191/H191),"")</f>
        <v/>
      </c>
      <c r="O191" s="9"/>
      <c r="P191" s="10"/>
      <c r="Q191" s="10"/>
      <c r="R191" s="10">
        <f t="shared" ref="R191:R192" si="296">O191*P191*Q191</f>
        <v>0</v>
      </c>
      <c r="S191" s="41">
        <f t="shared" ref="S191:S192" si="297">SUM(Y191,T191:X191)</f>
        <v>0</v>
      </c>
      <c r="Y191" s="1"/>
      <c r="Z191" s="1"/>
      <c r="AA191" s="206" t="str">
        <f t="shared" ref="AA191:AA192" si="298">IFERROR(H191*7.5/E191/7,"")</f>
        <v/>
      </c>
    </row>
    <row r="192" spans="1:27" ns3:dyDescent="0.3">
      <c r="A192" s="59" t="s">
        <v>624</v>
      </c>
      <c r="B192" s="11">
        <f>ROUNDUP(HLOOKUP(A192,'야채 계산기'!$2:$3,2,0)*1.03,0)</f>
        <v>1206</v>
      </c>
      <c r="C192" s="164">
        <v>2.95</v>
      </c>
      <c r="D192" s="166" t="str">
        <f t="shared" si="290"/>
        <v/>
      </c>
      <c r="E192" s="4"/>
      <c r="F192" s="3"/>
      <c r="G192" s="5"/>
      <c r="H192" s="47"/>
      <c r="I192" s="34">
        <f t="shared" si="291"/>
        <v>0</v>
      </c>
      <c r="J192" s="78" t="str">
        <f>IFERROR(VLOOKUP(C192,[2]Sheet1!$D:$J,7,0),"")</f>
        <v/>
      </c>
      <c r="K192" s="80" t="str">
        <f t="shared" si="292"/>
        <v/>
      </c>
      <c r="L192" s="7">
        <f t="shared" si="293"/>
        <v>0</v>
      </c>
      <c r="M192" s="8" t="str">
        <f t="shared" si="294"/>
        <v/>
      </c>
      <c r="N192" s="57" t="str">
        <f t="shared" si="295"/>
        <v/>
      </c>
      <c r="O192" s="9"/>
      <c r="P192" s="10"/>
      <c r="Q192" s="10"/>
      <c r="R192" s="10">
        <f t="shared" si="296"/>
        <v>0</v>
      </c>
      <c r="S192" s="41">
        <f t="shared" si="297"/>
        <v>0</v>
      </c>
      <c r="Y192" s="1"/>
      <c r="Z192" s="1"/>
      <c r="AA192" s="206" t="str">
        <f t="shared" si="298"/>
        <v/>
      </c>
    </row>
    <row r="193" spans="1:27" ns3:dyDescent="0.3">
      <c r="A193" s="59" t="s">
        <v>709</v>
      </c>
      <c r="B193" s="11">
        <f>ROUNDUP(HLOOKUP(A193,'야채 계산기'!$2:$3,2,0)*1.03,0)</f>
        <v>1731</v>
      </c>
      <c r="C193" s="164">
        <v>2.21</v>
      </c>
      <c r="D193" s="166" t="str">
        <f t="shared" ref="D193" si="299">IFERROR((F193/E193),"")</f>
        <v/>
      </c>
      <c r="E193" s="4"/>
      <c r="F193" s="3"/>
      <c r="G193" s="5"/>
      <c r="H193" s="47"/>
      <c r="I193" s="34">
        <f t="shared" ref="I193" si="300">IFERROR((S193*E193),"")</f>
        <v>0</v>
      </c>
      <c r="J193" s="78" t="str">
        <f>IFERROR(VLOOKUP(C193,[2]Sheet1!$D:$J,7,0),"")</f>
        <v/>
      </c>
      <c r="K193" s="80" t="str">
        <f t="shared" ref="K193" si="301">IFERROR((I193+J193),"")</f>
        <v/>
      </c>
      <c r="L193" s="7">
        <f t="shared" ref="L193" si="302">IFERROR((G193*H193),"")</f>
        <v>0</v>
      </c>
      <c r="M193" s="8" t="str">
        <f t="shared" ref="M193" si="303">IFERROR(K193-L193,"")</f>
        <v/>
      </c>
      <c r="N193" s="57" t="str">
        <f t="shared" ref="N193" si="304">IFERROR((K193/H193),"")</f>
        <v/>
      </c>
      <c r="O193" s="9"/>
      <c r="P193" s="10"/>
      <c r="Q193" s="10"/>
      <c r="R193" s="10">
        <f t="shared" ref="R193" si="305">O193*P193*Q193</f>
        <v>0</v>
      </c>
      <c r="S193" s="41">
        <f t="shared" si="224"/>
        <v>0</v>
      </c>
      <c r="Y193" s="1"/>
      <c r="Z193" s="1"/>
      <c r="AA193" s="206" t="str">
        <f t="shared" si="245"/>
        <v/>
      </c>
    </row>
    <row r="194" spans="1:27" ns3:dyDescent="0.3">
      <c r="A194" s="60"/>
      <c r="B194" s="11"/>
      <c r="C194" s="164" t="s">
        <v>203</v>
      </c>
      <c r="D194" s="166">
        <f>IFERROR((F194/E194),"")</f>
        <v>-1.6650000000000003</v>
      </c>
      <c r="E194" s="4">
        <v>10</v>
      </c>
      <c r="F194" s="3">
        <f>IFERROR((L194-K194),"")</f>
        <v>-16.650000000000002</v>
      </c>
      <c r="G194" s="5">
        <f>G170</f>
        <v>3.5</v>
      </c>
      <c r="H194" s="6">
        <f>ROUNDUP((B195*C195)/2000,1)</f>
        <v>8.1</v>
      </c>
      <c r="I194" s="34">
        <f>IFERROR((S194*E194),"")</f>
        <v>20</v>
      </c>
      <c r="J194" s="78">
        <f>IFERROR(VLOOKUP(C194,[2]Sheet1!$D:$J,7,0),"")</f>
        <v>25</v>
      </c>
      <c r="K194" s="80">
        <f>IFERROR((I194+J194),"")</f>
        <v>45</v>
      </c>
      <c r="L194" s="7">
        <f>IFERROR((G194*H194),"")</f>
        <v>28.349999999999998</v>
      </c>
      <c r="M194" s="8">
        <f>IFERROR(K194-L194,"")</f>
        <v>16.650000000000002</v>
      </c>
      <c r="N194" s="57">
        <f>IFERROR((K194/H194),"")</f>
        <v>5.5555555555555554</v>
      </c>
      <c r="O194" s="9"/>
      <c r="P194" s="10"/>
      <c r="Q194" s="10">
        <v>7400</v>
      </c>
      <c r="R194" s="10">
        <f>O194*P194*Q194</f>
        <v>0</v>
      </c>
      <c r="S194" s="41">
        <f t="shared" ref="S194:S195" si="306">SUM(Y194,T194:X194)</f>
        <v>2</v>
      </c>
      <c r="T194" s="183">
        <v>2</v>
      </c>
      <c r="U194" s="173"/>
      <c r="V194" s="173"/>
      <c r="W194" s="173"/>
      <c r="X194" s="173"/>
      <c r="Y194" s="173"/>
      <c r="Z194" s="1"/>
      <c r="AA194" s="206">
        <f>IFERROR(H194*7.5/E194/7,"")</f>
        <v>0.86785714285714288</v>
      </c>
    </row>
    <row r="195" spans="1:27" ns3:dyDescent="0.3">
      <c r="A195" s="60" t="s">
        <v>757</v>
      </c>
      <c r="B195" s="11">
        <f>ROUNDUP(HLOOKUP(A195,'야채 계산기'!$2:$3,2,0)*1.03,0)</f>
        <v>2266</v>
      </c>
      <c r="C195" s="164">
        <f>'[1]혜자)돌아온 명불허전(25.8.12)'!$B$15</f>
        <v>7.1</v>
      </c>
      <c r="D195" s="166" t="str">
        <f>IFERROR((F195/E195),"")</f>
        <v/>
      </c>
      <c r="E195" s="4"/>
      <c r="F195" s="3"/>
      <c r="G195" s="5"/>
      <c r="H195" s="47"/>
      <c r="I195" s="34">
        <f>IFERROR((S195*E195),"")</f>
        <v>0</v>
      </c>
      <c r="J195" s="78" t="str">
        <f>IFERROR(VLOOKUP(C195,[2]Sheet1!$D:$J,7,0),"")</f>
        <v/>
      </c>
      <c r="K195" s="80" t="str">
        <f>IFERROR((I195+J195),"")</f>
        <v/>
      </c>
      <c r="L195" s="7">
        <f>IFERROR((G195*H195),"")</f>
        <v>0</v>
      </c>
      <c r="M195" s="8" t="str">
        <f>IFERROR(K195-L195,"")</f>
        <v/>
      </c>
      <c r="N195" s="57" t="str">
        <f>IFERROR((K195/H195),"")</f>
        <v/>
      </c>
      <c r="O195" s="9"/>
      <c r="P195" s="10"/>
      <c r="Q195" s="10"/>
      <c r="R195" s="10">
        <f>O195*P195*Q195</f>
        <v>0</v>
      </c>
      <c r="S195" s="41">
        <f t="shared" si="306"/>
        <v>0</v>
      </c>
      <c r="Y195" s="1"/>
      <c r="Z195" s="1"/>
      <c r="AA195" s="206" t="str">
        <f>IFERROR(H195*7.5/E195/7,"")</f>
        <v/>
      </c>
    </row>
    <row r="196" spans="1:27" ns3:dyDescent="0.3">
      <c r="A196" s="16"/>
      <c r="B196" s="11"/>
      <c r="C196" s="164" t="s">
        <v>103</v>
      </c>
      <c r="D196" s="166">
        <f t="shared" ref="D196" si="307">IFERROR((F196/E196),"")</f>
        <v>-1.1100000000000001</v>
      </c>
      <c r="E196" s="4">
        <v>10</v>
      </c>
      <c r="F196" s="3">
        <f>IFERROR((L196-K196),"")</f>
        <v>-11.100000000000001</v>
      </c>
      <c r="G196" s="5">
        <f>G202</f>
        <v>3.5</v>
      </c>
      <c r="H196" s="6">
        <f>ROUNDUP(SUMPRODUCT(B197:B199, C197:C199)/2000,1)</f>
        <v>7.3999999999999995</v>
      </c>
      <c r="I196" s="34">
        <f t="shared" ref="I196" si="308">IFERROR((S196*E196),"")</f>
        <v>20</v>
      </c>
      <c r="J196" s="78">
        <f>IFERROR(VLOOKUP(C196,[2]Sheet1!$D:$J,7,0),"")</f>
        <v>17</v>
      </c>
      <c r="K196" s="80">
        <f t="shared" ref="K196" si="309">IFERROR((I196+J196),"")</f>
        <v>37</v>
      </c>
      <c r="L196" s="7">
        <f t="shared" ref="L196" si="310">IFERROR((G196*H196),"")</f>
        <v>25.9</v>
      </c>
      <c r="M196" s="8">
        <f t="shared" ref="M196" si="311">IFERROR(K196-L196,"")</f>
        <v>11.100000000000001</v>
      </c>
      <c r="N196" s="57">
        <f t="shared" ref="N196:N201" si="312">IFERROR((K196/H196),"")</f>
        <v>5</v>
      </c>
      <c r="O196" s="9"/>
      <c r="P196" s="10"/>
      <c r="Q196" s="10">
        <v>7885</v>
      </c>
      <c r="R196" s="10">
        <f t="shared" ref="R196" si="313">O196*P196*Q196</f>
        <v>0</v>
      </c>
      <c r="S196" s="41">
        <f t="shared" si="224"/>
        <v>2</v>
      </c>
      <c r="T196" s="173">
        <v>1</v>
      </c>
      <c r="U196" s="173">
        <v>1</v>
      </c>
      <c r="V196" s="173"/>
      <c r="W196" s="173"/>
      <c r="X196" s="173"/>
      <c r="Y196" s="173"/>
      <c r="Z196" s="1"/>
      <c r="AA196" s="206">
        <f t="shared" si="245"/>
        <v>0.7928571428571427</v>
      </c>
    </row>
    <row r="197" spans="1:27" ns3:dyDescent="0.3">
      <c r="A197" s="273" t="s">
        <v>570</v>
      </c>
      <c r="B197" s="11">
        <f>ROUNDUP(HLOOKUP(A197,'야채 계산기'!$2:$3,2,0)*1.03,0)</f>
        <v>835</v>
      </c>
      <c r="C197" s="170">
        <f>'[1]혜자)갈비양념제육도시락(25.9.30)'!$B$9</f>
        <v>10.41</v>
      </c>
      <c r="D197" s="166" t="str">
        <f t="shared" ref="D197:D199" si="314">IFERROR((F197/E197),"")</f>
        <v/>
      </c>
      <c r="E197" s="4"/>
      <c r="F197" s="3"/>
      <c r="G197" s="5"/>
      <c r="H197" s="6"/>
      <c r="I197" s="34">
        <f t="shared" ref="I197:I199" si="315">IFERROR((S197*E197),"")</f>
        <v>0</v>
      </c>
      <c r="J197" s="78" t="str">
        <f>IFERROR(VLOOKUP(C197,[2]Sheet1!$D:$J,7,0),"")</f>
        <v/>
      </c>
      <c r="K197" s="80" t="str">
        <f t="shared" ref="K197:K199" si="316">IFERROR((I197+J197),"")</f>
        <v/>
      </c>
      <c r="L197" s="7">
        <f t="shared" ref="L197:L199" si="317">IFERROR((G197*H197),"")</f>
        <v>0</v>
      </c>
      <c r="M197" s="8" t="str">
        <f t="shared" ref="M197:M199" si="318">IFERROR(K197-L197,"")</f>
        <v/>
      </c>
      <c r="N197" s="57" t="str">
        <f t="shared" ref="N197:N199" si="319">IFERROR((K197/H197),"")</f>
        <v/>
      </c>
      <c r="O197" s="9"/>
      <c r="P197" s="10"/>
      <c r="Q197" s="10"/>
      <c r="R197" s="10">
        <f t="shared" ref="R197:R199" si="320">O197*P197*Q197</f>
        <v>0</v>
      </c>
      <c r="S197" s="41">
        <f t="shared" si="224"/>
        <v>0</v>
      </c>
      <c r="Y197" s="1"/>
      <c r="Z197" s="1"/>
      <c r="AA197" s="206" t="str">
        <f t="shared" ref="AA197:AA222" si="321">IFERROR(H197*7.5/E197/7,"")</f>
        <v/>
      </c>
    </row>
    <row r="198" spans="1:27" ns3:dyDescent="0.3">
      <c r="A198" s="60" t="s">
        <v>781</v>
      </c>
      <c r="B198" s="11">
        <f>ROUNDUP(HLOOKUP(A198,'야채 계산기'!$2:$3,2,0)*1.03,0)</f>
        <v>567</v>
      </c>
      <c r="C198" s="170">
        <v>2.92</v>
      </c>
      <c r="D198" s="166" t="str">
        <f t="shared" si="314"/>
        <v/>
      </c>
      <c r="E198" s="4"/>
      <c r="F198" s="3"/>
      <c r="G198" s="5"/>
      <c r="H198" s="6"/>
      <c r="I198" s="34">
        <f t="shared" si="315"/>
        <v>0</v>
      </c>
      <c r="J198" s="78" t="str">
        <f>IFERROR(VLOOKUP(C198,[2]Sheet1!$D:$J,7,0),"")</f>
        <v/>
      </c>
      <c r="K198" s="80" t="str">
        <f t="shared" si="316"/>
        <v/>
      </c>
      <c r="L198" s="7">
        <f t="shared" si="317"/>
        <v>0</v>
      </c>
      <c r="M198" s="8" t="str">
        <f t="shared" si="318"/>
        <v/>
      </c>
      <c r="N198" s="57" t="str">
        <f t="shared" si="319"/>
        <v/>
      </c>
      <c r="O198" s="9"/>
      <c r="P198" s="10"/>
      <c r="Q198" s="10"/>
      <c r="R198" s="10">
        <f t="shared" si="320"/>
        <v>0</v>
      </c>
      <c r="S198" s="41">
        <f t="shared" ref="S198:S199" si="322">SUM(Y198,T198:X198)</f>
        <v>0</v>
      </c>
      <c r="Y198" s="1"/>
      <c r="Z198" s="1"/>
      <c r="AA198" s="206" t="str">
        <f t="shared" ref="AA198:AA199" si="323">IFERROR(H198*7.5/E198/7,"")</f>
        <v/>
      </c>
    </row>
    <row r="199" spans="1:27" ns3:dyDescent="0.3">
      <c r="A199" s="60" t="s">
        <v>623</v>
      </c>
      <c r="B199" s="11">
        <f>ROUNDUP(HLOOKUP(A199,'야채 계산기'!$2:$3,2,0)*1.03,0)</f>
        <v>1113</v>
      </c>
      <c r="C199" s="170">
        <f>'[1]뭘좋아할지몰라다넣어봤어(26.08.11)'!$B$22</f>
        <v>3.87</v>
      </c>
      <c r="D199" s="166" t="str">
        <f t="shared" si="314"/>
        <v/>
      </c>
      <c r="E199" s="4"/>
      <c r="F199" s="3"/>
      <c r="G199" s="5"/>
      <c r="H199" s="6"/>
      <c r="I199" s="34">
        <f t="shared" si="315"/>
        <v>0</v>
      </c>
      <c r="J199" s="78" t="str">
        <f>IFERROR(VLOOKUP(C199,[2]Sheet1!$D:$J,7,0),"")</f>
        <v/>
      </c>
      <c r="K199" s="80" t="str">
        <f t="shared" si="316"/>
        <v/>
      </c>
      <c r="L199" s="7">
        <f t="shared" si="317"/>
        <v>0</v>
      </c>
      <c r="M199" s="8" t="str">
        <f t="shared" si="318"/>
        <v/>
      </c>
      <c r="N199" s="57" t="str">
        <f t="shared" si="319"/>
        <v/>
      </c>
      <c r="O199" s="9"/>
      <c r="P199" s="10"/>
      <c r="Q199" s="10"/>
      <c r="R199" s="10">
        <f t="shared" si="320"/>
        <v>0</v>
      </c>
      <c r="S199" s="41">
        <f t="shared" si="322"/>
        <v>0</v>
      </c>
      <c r="Y199" s="1"/>
      <c r="Z199" s="1"/>
      <c r="AA199" s="206" t="str">
        <f t="shared" si="323"/>
        <v/>
      </c>
    </row>
    <row r="200" spans="1:27" ns3:dyDescent="0.3">
      <c r="A200" s="60"/>
      <c r="B200" s="11"/>
      <c r="C200" s="62" t="s">
        <v>745</v>
      </c>
      <c r="D200" s="166">
        <f>IFERROR((F200/E200),"")</f>
        <v>-2.3050000000000006</v>
      </c>
      <c r="E200" s="4">
        <v>10</v>
      </c>
      <c r="F200" s="3">
        <f>IFERROR((L200-K200),"")</f>
        <v>-23.050000000000004</v>
      </c>
      <c r="G200" s="5">
        <f>G143</f>
        <v>3.5</v>
      </c>
      <c r="H200" s="6">
        <f>ROUNDUP((B201*C201)/2000,1)</f>
        <v>9.6999999999999993</v>
      </c>
      <c r="I200" s="34">
        <f>IFERROR((S200*E200),"")</f>
        <v>20</v>
      </c>
      <c r="J200" s="78">
        <f>IFERROR(VLOOKUP(C200,[2]Sheet1!$D:$J,7,0),"")</f>
        <v>37</v>
      </c>
      <c r="K200" s="80">
        <f>IFERROR((I200+J200),"")</f>
        <v>57</v>
      </c>
      <c r="L200" s="7">
        <f>IFERROR((G200*H200),"")</f>
        <v>33.949999999999996</v>
      </c>
      <c r="M200" s="8">
        <f>IFERROR(K200-L200,"")</f>
        <v>23.050000000000004</v>
      </c>
      <c r="N200" s="57">
        <f t="shared" si="312"/>
        <v>5.8762886597938149</v>
      </c>
      <c r="O200" s="9"/>
      <c r="P200" s="10"/>
      <c r="Q200" s="10">
        <v>7400</v>
      </c>
      <c r="R200" s="10">
        <f>O200*P200*Q200</f>
        <v>0</v>
      </c>
      <c r="S200" s="41">
        <f>SUM(Y200,T200:X200)</f>
        <v>2</v>
      </c>
      <c r="T200" s="183">
        <v>2</v>
      </c>
      <c r="U200" s="173"/>
      <c r="V200" s="173"/>
      <c r="W200" s="173"/>
      <c r="X200" s="173"/>
      <c r="Y200" s="173"/>
      <c r="Z200" s="1"/>
      <c r="AA200" s="206">
        <f>IFERROR(H200*7.5/E200/7,"")</f>
        <v>1.0392857142857144</v>
      </c>
    </row>
    <row r="201" spans="1:27" ns3:dyDescent="0.3">
      <c r="A201" s="60" t="s">
        <v>727</v>
      </c>
      <c r="B201" s="11">
        <f>ROUNDUP(HLOOKUP(A201,'야채 계산기'!$2:$3,2,0)*1.03,0)</f>
        <v>2081</v>
      </c>
      <c r="C201" s="62">
        <v>9.25</v>
      </c>
      <c r="D201" s="166" t="str">
        <f>IFERROR((F201/E201),"")</f>
        <v/>
      </c>
      <c r="E201" s="4"/>
      <c r="F201" s="3"/>
      <c r="G201" s="5"/>
      <c r="H201" s="47"/>
      <c r="I201" s="34">
        <f>IFERROR((S201*E201),"")</f>
        <v>0</v>
      </c>
      <c r="J201" s="78" t="str">
        <f>IFERROR(VLOOKUP(C201,[2]Sheet1!$D:$J,7,0),"")</f>
        <v/>
      </c>
      <c r="K201" s="80" t="str">
        <f>IFERROR((I201+J201),"")</f>
        <v/>
      </c>
      <c r="L201" s="7">
        <f>IFERROR((G201*H201),"")</f>
        <v>0</v>
      </c>
      <c r="M201" s="8" t="str">
        <f>IFERROR(K201-L201,"")</f>
        <v/>
      </c>
      <c r="N201" s="57" t="str">
        <f t="shared" si="312"/>
        <v/>
      </c>
      <c r="O201" s="9"/>
      <c r="P201" s="10"/>
      <c r="Q201" s="10"/>
      <c r="R201" s="10">
        <f>O201*P201*Q201</f>
        <v>0</v>
      </c>
      <c r="S201" s="41">
        <f>SUM(Y201,T201:X201)</f>
        <v>0</v>
      </c>
      <c r="Y201" s="1"/>
      <c r="Z201" s="1"/>
      <c r="AA201" s="206" t="str">
        <f>IFERROR(H201*7.5/E201/7,"")</f>
        <v/>
      </c>
    </row>
    <row r="202" spans="1:27" ns3:dyDescent="0.3">
      <c r="A202" s="60"/>
      <c r="B202" s="11"/>
      <c r="C202" s="62" t="s">
        <v>818</v>
      </c>
      <c r="D202" s="166">
        <f>IFERROR((F202/E202),"")</f>
        <v>-0.13999999999999996</v>
      </c>
      <c r="E202" s="4">
        <v>10</v>
      </c>
      <c r="F202" s="3">
        <f>IFERROR((L202-K202),"")</f>
        <v>-1.3999999999999995</v>
      </c>
      <c r="G202" s="5">
        <f>G173</f>
        <v>3.5</v>
      </c>
      <c r="H202" s="6">
        <f>ROUNDUP((B203*C203)/2000,1)</f>
        <v>1.6</v>
      </c>
      <c r="I202" s="34">
        <f>IFERROR((S202*E202),"")</f>
        <v>0</v>
      </c>
      <c r="J202" s="78">
        <f>IFERROR(VLOOKUP(C202,[2]Sheet1!$D:$J,7,0),"")</f>
        <v>7</v>
      </c>
      <c r="K202" s="80">
        <f>IFERROR((I202+J202),"")</f>
        <v>7</v>
      </c>
      <c r="L202" s="7">
        <f>IFERROR((G202*H202),"")</f>
        <v>5.6000000000000005</v>
      </c>
      <c r="M202" s="8">
        <f>IFERROR(K202-L202,"")</f>
        <v>1.3999999999999995</v>
      </c>
      <c r="N202" s="57">
        <f t="shared" ref="N202:N203" si="324">IFERROR((K202/H202),"")</f>
        <v>4.375</v>
      </c>
      <c r="O202" s="9"/>
      <c r="P202" s="10"/>
      <c r="Q202" s="10">
        <v>6000</v>
      </c>
      <c r="R202" s="10">
        <f>O202*P202*Q202</f>
        <v>0</v>
      </c>
      <c r="S202" s="41">
        <f>SUM(Y202,T202:X202)</f>
        <v>0</v>
      </c>
      <c r="T202" s="183"/>
      <c r="U202" s="173"/>
      <c r="V202" s="173"/>
      <c r="W202" s="173"/>
      <c r="X202" s="173"/>
      <c r="Y202" s="173"/>
      <c r="Z202" s="1"/>
      <c r="AA202" s="206">
        <f>IFERROR(H202*7.5/E202/7,"")</f>
        <v>0.17142857142857143</v>
      </c>
    </row>
    <row r="203" spans="1:27" ns3:dyDescent="0.3">
      <c r="A203" s="60" t="s">
        <v>784</v>
      </c>
      <c r="B203" s="11">
        <f>ROUNDUP(HLOOKUP(A203,'야채 계산기'!$2:$3,2,0)*1.03,0)</f>
        <v>567</v>
      </c>
      <c r="C203" s="62">
        <v>5.63</v>
      </c>
      <c r="D203" s="166" t="str">
        <f>IFERROR((F203/E203),"")</f>
        <v/>
      </c>
      <c r="E203" s="4"/>
      <c r="F203" s="3"/>
      <c r="G203" s="5"/>
      <c r="H203" s="47"/>
      <c r="I203" s="34">
        <f>IFERROR((S203*E203),"")</f>
        <v>0</v>
      </c>
      <c r="J203" s="78" t="str">
        <f>IFERROR(VLOOKUP(C203,[2]Sheet1!$D:$J,7,0),"")</f>
        <v/>
      </c>
      <c r="K203" s="80" t="str">
        <f>IFERROR((I203+J203),"")</f>
        <v/>
      </c>
      <c r="L203" s="7">
        <f>IFERROR((G203*H203),"")</f>
        <v>0</v>
      </c>
      <c r="M203" s="8" t="str">
        <f>IFERROR(K203-L203,"")</f>
        <v/>
      </c>
      <c r="N203" s="57" t="str">
        <f t="shared" si="324"/>
        <v/>
      </c>
      <c r="O203" s="9"/>
      <c r="P203" s="10"/>
      <c r="Q203" s="10"/>
      <c r="R203" s="10">
        <f>O203*P203*Q203</f>
        <v>0</v>
      </c>
      <c r="S203" s="41">
        <f>SUM(Y203,T203:X203)</f>
        <v>0</v>
      </c>
      <c r="Y203" s="1"/>
      <c r="Z203" s="1"/>
      <c r="AA203" s="206" t="str">
        <f>IFERROR(H203*7.5/E203/7,"")</f>
        <v/>
      </c>
    </row>
    <row r="204" spans="1:27" ns3:dyDescent="0.3">
      <c r="A204" s="60"/>
      <c r="B204" s="11"/>
      <c r="C204" s="182" t="s">
        <v>283</v>
      </c>
      <c r="D204" s="166">
        <f t="shared" ref="D204:D222" si="325">IFERROR((F204/E204),"")</f>
        <v>2.4500000000000002</v>
      </c>
      <c r="E204" s="4">
        <v>10</v>
      </c>
      <c r="F204" s="3">
        <f>IFERROR((L204-K204),"")</f>
        <v>24.5</v>
      </c>
      <c r="G204" s="5">
        <f>G154</f>
        <v>3.5</v>
      </c>
      <c r="H204" s="6">
        <f>ROUNDUP(SUMPRODUCT(B205:B206, C205:C206)/2000,1)</f>
        <v>7</v>
      </c>
      <c r="I204" s="34">
        <f t="shared" si="255"/>
        <v>0</v>
      </c>
      <c r="J204" s="78">
        <f>IFERROR(VLOOKUP(C204,[2]Sheet1!$D:$J,7,0),"")</f>
        <v>0</v>
      </c>
      <c r="K204" s="80">
        <f t="shared" si="256"/>
        <v>0</v>
      </c>
      <c r="L204" s="7">
        <f t="shared" si="257"/>
        <v>24.5</v>
      </c>
      <c r="M204" s="8">
        <f t="shared" si="258"/>
        <v>-24.5</v>
      </c>
      <c r="N204" s="57">
        <f>IFERROR((K204/H204),"")</f>
        <v>0</v>
      </c>
      <c r="O204" s="9"/>
      <c r="P204" s="10"/>
      <c r="Q204" s="10">
        <v>15600</v>
      </c>
      <c r="R204" s="10">
        <f t="shared" ref="R204:R222" si="326">O204*P204*Q204</f>
        <v>0</v>
      </c>
      <c r="S204" s="41">
        <f t="shared" si="224"/>
        <v>0</v>
      </c>
      <c r="Y204" s="1"/>
      <c r="Z204" s="1"/>
      <c r="AA204" s="206">
        <f t="shared" si="321"/>
        <v>0.75</v>
      </c>
    </row>
    <row r="205" spans="1:27" ns3:dyDescent="0.3">
      <c r="A205" s="11" t="s">
        <v>303</v>
      </c>
      <c r="B205" s="11">
        <f>ROUNDUP(HLOOKUP(A205,'야채 계산기'!$2:$3,2,0)*1.03,0)</f>
        <v>3729</v>
      </c>
      <c r="C205" s="164">
        <v>1.6</v>
      </c>
      <c r="D205" s="166" t="str">
        <f t="shared" si="325"/>
        <v/>
      </c>
      <c r="E205" s="4"/>
      <c r="F205" s="3"/>
      <c r="G205" s="5"/>
      <c r="H205" s="6"/>
      <c r="I205" s="34">
        <f t="shared" si="255"/>
        <v>0</v>
      </c>
      <c r="J205" s="78" t="str">
        <f>IFERROR(VLOOKUP(C205,[2]Sheet1!$D:$J,7,0),"")</f>
        <v/>
      </c>
      <c r="K205" s="80" t="str">
        <f t="shared" si="256"/>
        <v/>
      </c>
      <c r="L205" s="7">
        <f t="shared" si="257"/>
        <v>0</v>
      </c>
      <c r="M205" s="8" t="str">
        <f t="shared" si="258"/>
        <v/>
      </c>
      <c r="N205" s="57"/>
      <c r="O205" s="9"/>
      <c r="P205" s="10"/>
      <c r="Q205" s="10"/>
      <c r="R205" s="10">
        <f t="shared" si="326"/>
        <v>0</v>
      </c>
      <c r="S205" s="41">
        <f t="shared" si="224"/>
        <v>0</v>
      </c>
      <c r="Y205" s="1"/>
      <c r="Z205" s="1"/>
      <c r="AA205" s="206" t="str">
        <f t="shared" si="321"/>
        <v/>
      </c>
    </row>
    <row r="206" spans="1:27" ns3:dyDescent="0.3">
      <c r="A206" s="11" t="s">
        <v>491</v>
      </c>
      <c r="B206" s="11">
        <f>ROUNDUP(HLOOKUP(A206,'야채 계산기'!$2:$3,2,0)*1.03,0)</f>
        <v>4553</v>
      </c>
      <c r="C206" s="164">
        <v>1.73</v>
      </c>
      <c r="D206" s="166" t="str">
        <f t="shared" si="325"/>
        <v/>
      </c>
      <c r="E206" s="4"/>
      <c r="F206" s="3"/>
      <c r="G206" s="5"/>
      <c r="H206" s="6"/>
      <c r="I206" s="34">
        <f t="shared" si="255"/>
        <v>0</v>
      </c>
      <c r="J206" s="78" t="str">
        <f>IFERROR(VLOOKUP(C206,[2]Sheet1!$D:$J,7,0),"")</f>
        <v/>
      </c>
      <c r="K206" s="80" t="str">
        <f t="shared" si="256"/>
        <v/>
      </c>
      <c r="L206" s="7">
        <f t="shared" si="257"/>
        <v>0</v>
      </c>
      <c r="M206" s="8" t="str">
        <f t="shared" si="258"/>
        <v/>
      </c>
      <c r="N206" s="57"/>
      <c r="O206" s="9"/>
      <c r="P206" s="10"/>
      <c r="Q206" s="10"/>
      <c r="R206" s="10">
        <f t="shared" si="326"/>
        <v>0</v>
      </c>
      <c r="S206" s="41">
        <f t="shared" si="224"/>
        <v>0</v>
      </c>
      <c r="Y206" s="1"/>
      <c r="Z206" s="1"/>
      <c r="AA206" s="206" t="str">
        <f t="shared" si="321"/>
        <v/>
      </c>
    </row>
    <row r="207" spans="1:27" ns3:dyDescent="0.3">
      <c r="A207" s="13"/>
      <c r="B207" s="11"/>
      <c r="C207" s="62" t="s">
        <v>193</v>
      </c>
      <c r="D207" s="166">
        <f t="shared" si="325"/>
        <v>-8.7200000000000006</v>
      </c>
      <c r="E207" s="4">
        <v>10</v>
      </c>
      <c r="F207" s="3">
        <f>IFERROR((L207-K207),"")</f>
        <v>-87.2</v>
      </c>
      <c r="G207" s="5">
        <f>G204</f>
        <v>3.5</v>
      </c>
      <c r="H207" s="6">
        <f>ROUNDUP(SUMPRODUCT(B208:B210, C208:C210)/2000,1)</f>
        <v>20.8</v>
      </c>
      <c r="I207" s="34">
        <f t="shared" ref="I207:I217" si="327">IFERROR((S207*E207),"")</f>
        <v>60</v>
      </c>
      <c r="J207" s="78">
        <f>IFERROR(VLOOKUP(C207,[2]Sheet1!$D:$J,7,0),"")</f>
        <v>100</v>
      </c>
      <c r="K207" s="80">
        <f t="shared" si="256"/>
        <v>160</v>
      </c>
      <c r="L207" s="7">
        <f t="shared" ref="L207:L217" si="328">IFERROR((G207*H207),"")</f>
        <v>72.8</v>
      </c>
      <c r="M207" s="8">
        <f t="shared" ref="M207:M217" si="329">IFERROR(K207-L207,"")</f>
        <v>87.2</v>
      </c>
      <c r="N207" s="57">
        <f t="shared" ref="N207:N227" si="330">IFERROR((K207/H207),"")</f>
        <v>7.6923076923076916</v>
      </c>
      <c r="O207" s="9"/>
      <c r="P207" s="10"/>
      <c r="Q207" s="10">
        <v>9600</v>
      </c>
      <c r="R207" s="10">
        <f t="shared" si="326"/>
        <v>0</v>
      </c>
      <c r="S207" s="41">
        <f t="shared" si="224"/>
        <v>6</v>
      </c>
      <c r="T207" s="173">
        <v>4</v>
      </c>
      <c r="U207" s="173">
        <v>2</v>
      </c>
      <c r="V207" s="173"/>
      <c r="W207" s="173"/>
      <c r="X207" s="173"/>
      <c r="Y207" s="173"/>
      <c r="Z207" s="1"/>
      <c r="AA207" s="206">
        <f t="shared" si="321"/>
        <v>2.2285714285714286</v>
      </c>
    </row>
    <row r="208" spans="1:27" ns3:dyDescent="0.3">
      <c r="A208" s="13" t="s">
        <v>297</v>
      </c>
      <c r="B208" s="11">
        <f>ROUNDUP(HLOOKUP(A208,'야채 계산기'!$2:$3,2,0)*1.03,0)</f>
        <v>5047</v>
      </c>
      <c r="C208" s="164">
        <v>4.84</v>
      </c>
      <c r="D208" s="166" t="str">
        <f t="shared" si="325"/>
        <v/>
      </c>
      <c r="E208" s="4"/>
      <c r="F208" s="3"/>
      <c r="G208" s="5"/>
      <c r="H208" s="6"/>
      <c r="I208" s="34">
        <f>IFERROR((S208*E208),"")</f>
        <v>0</v>
      </c>
      <c r="J208" s="78" t="str">
        <f>IFERROR(VLOOKUP(C208,[2]Sheet1!$D:$J,7,0),"")</f>
        <v/>
      </c>
      <c r="K208" s="80" t="str">
        <f t="shared" si="256"/>
        <v/>
      </c>
      <c r="L208" s="7">
        <f>IFERROR((G208*H208),"")</f>
        <v>0</v>
      </c>
      <c r="M208" s="8" t="str">
        <f>IFERROR(K208-L208,"")</f>
        <v/>
      </c>
      <c r="N208" s="57" t="str">
        <f t="shared" si="330"/>
        <v/>
      </c>
      <c r="O208" s="9"/>
      <c r="P208" s="10"/>
      <c r="Q208" s="10"/>
      <c r="R208" s="10">
        <f t="shared" si="326"/>
        <v>0</v>
      </c>
      <c r="S208" s="41">
        <f t="shared" si="224"/>
        <v>0</v>
      </c>
      <c r="Y208" s="1"/>
      <c r="Z208" s="1"/>
      <c r="AA208" s="206" t="str">
        <f t="shared" si="321"/>
        <v/>
      </c>
    </row>
    <row r="209" spans="1:30" ns3:dyDescent="0.3">
      <c r="A209" s="11" t="s">
        <v>489</v>
      </c>
      <c r="B209" s="11">
        <f>ROUNDUP(HLOOKUP(A209,'야채 계산기'!$2:$3,2,0)*1.03,0)</f>
        <v>2153</v>
      </c>
      <c r="C209" s="164">
        <f>'[1]스팸무스비(25.8.26)'!$B$10</f>
        <v>6.58</v>
      </c>
      <c r="D209" s="166" t="str">
        <f t="shared" si="325"/>
        <v/>
      </c>
      <c r="E209" s="4"/>
      <c r="F209" s="3"/>
      <c r="G209" s="5"/>
      <c r="H209" s="6"/>
      <c r="I209" s="34">
        <f t="shared" si="327"/>
        <v>0</v>
      </c>
      <c r="J209" s="78" t="str">
        <f>IFERROR(VLOOKUP(C209,[2]Sheet1!$D:$J,7,0),"")</f>
        <v/>
      </c>
      <c r="K209" s="80" t="str">
        <f t="shared" si="256"/>
        <v/>
      </c>
      <c r="L209" s="7">
        <f t="shared" si="328"/>
        <v>0</v>
      </c>
      <c r="M209" s="8" t="str">
        <f t="shared" si="329"/>
        <v/>
      </c>
      <c r="N209" s="57" t="str">
        <f t="shared" si="330"/>
        <v/>
      </c>
      <c r="O209" s="9"/>
      <c r="P209" s="10"/>
      <c r="Q209" s="10"/>
      <c r="R209" s="10">
        <f t="shared" si="326"/>
        <v>0</v>
      </c>
      <c r="S209" s="41">
        <f t="shared" si="224"/>
        <v>0</v>
      </c>
      <c r="Y209" s="1"/>
      <c r="Z209" s="1"/>
      <c r="AA209" s="206" t="str">
        <f t="shared" si="321"/>
        <v/>
      </c>
    </row>
    <row r="210" spans="1:30" ns3:dyDescent="0.3">
      <c r="A210" s="60" t="s">
        <v>674</v>
      </c>
      <c r="B210" s="11">
        <f>ROUNDUP(HLOOKUP(A210,'야채 계산기'!$2:$3,2,0)*1.03,0)</f>
        <v>454</v>
      </c>
      <c r="C210" s="164">
        <v>6.58</v>
      </c>
      <c r="D210" s="166" t="str">
        <f t="shared" si="325"/>
        <v/>
      </c>
      <c r="E210" s="4"/>
      <c r="F210" s="3"/>
      <c r="G210" s="5"/>
      <c r="H210" s="6"/>
      <c r="I210" s="34">
        <f t="shared" si="327"/>
        <v>0</v>
      </c>
      <c r="J210" s="78" t="str">
        <f>IFERROR(VLOOKUP(C210,[2]Sheet1!$D:$J,7,0),"")</f>
        <v/>
      </c>
      <c r="K210" s="80" t="str">
        <f t="shared" si="256"/>
        <v/>
      </c>
      <c r="L210" s="7">
        <f t="shared" si="328"/>
        <v>0</v>
      </c>
      <c r="M210" s="8" t="str">
        <f t="shared" si="329"/>
        <v/>
      </c>
      <c r="N210" s="57" t="str">
        <f t="shared" si="330"/>
        <v/>
      </c>
      <c r="O210" s="9"/>
      <c r="P210" s="10"/>
      <c r="Q210" s="10"/>
      <c r="R210" s="10">
        <f t="shared" si="326"/>
        <v>0</v>
      </c>
      <c r="S210" s="41">
        <f t="shared" si="224"/>
        <v>0</v>
      </c>
      <c r="Y210" s="1"/>
      <c r="Z210" s="1"/>
      <c r="AA210" s="206" t="str">
        <f t="shared" si="321"/>
        <v/>
      </c>
    </row>
    <row r="211" spans="1:30" hidden="1" ns3:dyDescent="0.3">
      <c r="A211" s="13"/>
      <c r="B211" s="11"/>
      <c r="C211" s="262" t="s">
        <v>686</v>
      </c>
      <c r="D211" s="166" t="str">
        <f>IFERROR((F211/E211),"")</f>
        <v/>
      </c>
      <c r="E211" s="4">
        <v>10</v>
      </c>
      <c r="F211" s="3" t="str">
        <f>IFERROR((L211-K211),"")</f>
        <v/>
      </c>
      <c r="G211" s="5">
        <f>G223</f>
        <v>3.5</v>
      </c>
      <c r="H211" s="6" t="e">
        <f>ROUNDUP(SUMPRODUCT(B212:B212,C212:C212)/2000,1)</f>
        <v>#N/A</v>
      </c>
      <c r="I211" s="34">
        <f>IFERROR((S211*E211),"")</f>
        <v>0</v>
      </c>
      <c r="J211" s="78">
        <f>IFERROR(VLOOKUP(C211,[2]Sheet1!$D:$J,7,0),"")</f>
        <v>12</v>
      </c>
      <c r="K211" s="80">
        <f>IFERROR((I211+J211),"")</f>
        <v>12</v>
      </c>
      <c r="L211" s="7" t="str">
        <f>IFERROR((G211*H211),"")</f>
        <v/>
      </c>
      <c r="M211" s="8" t="str">
        <f>IFERROR(K211-L211,"")</f>
        <v/>
      </c>
      <c r="N211" s="57" t="str">
        <f>IFERROR((K211/H211),"")</f>
        <v/>
      </c>
      <c r="O211" s="9"/>
      <c r="P211" s="10"/>
      <c r="Q211" s="10">
        <v>7400</v>
      </c>
      <c r="R211" s="10">
        <f>O211*P211*Q211</f>
        <v>0</v>
      </c>
      <c r="S211" s="41">
        <f t="shared" ref="S211:S212" si="331">SUM(Y211,T211:X211)</f>
        <v>0</v>
      </c>
      <c r="T211" s="173"/>
      <c r="U211" s="173"/>
      <c r="V211" s="173"/>
      <c r="W211" s="173"/>
      <c r="X211" s="173"/>
      <c r="Y211" s="173"/>
      <c r="Z211" s="1"/>
      <c r="AA211" s="206" t="str">
        <f t="shared" ref="AA211:AA212" si="332">IFERROR(H211*7.5/E211/7,"")</f>
        <v/>
      </c>
    </row>
    <row r="212" spans="1:30" hidden="1" ns3:dyDescent="0.3">
      <c r="A212" s="273" t="s">
        <v>671</v>
      </c>
      <c r="B212" s="11" t="e">
        <f>ROUNDUP(HLOOKUP(A212,'야채 계산기'!$2:$3,2,0)*1.03,0)</f>
        <v>#N/A</v>
      </c>
      <c r="C212" s="164">
        <f>'[1]이달의도시락9월(한가위편)(26.09.01)'!$B$34</f>
        <v>10.199999999999999</v>
      </c>
      <c r="D212" s="166" t="str">
        <f>IFERROR((F212/E212),"")</f>
        <v/>
      </c>
      <c r="E212" s="4"/>
      <c r="F212" s="3"/>
      <c r="G212" s="5"/>
      <c r="H212" s="47"/>
      <c r="I212" s="34">
        <f>IFERROR((S212*E212),"")</f>
        <v>0</v>
      </c>
      <c r="J212" s="78" t="str">
        <f>IFERROR(VLOOKUP(C212,[2]Sheet1!$D:$J,7,0),"")</f>
        <v/>
      </c>
      <c r="K212" s="80" t="str">
        <f>IFERROR((I212+J212),"")</f>
        <v/>
      </c>
      <c r="L212" s="7">
        <f>IFERROR((G212*H212),"")</f>
        <v>0</v>
      </c>
      <c r="M212" s="8" t="str">
        <f>IFERROR(K212-L212,"")</f>
        <v/>
      </c>
      <c r="N212" s="57" t="str">
        <f>IFERROR((K212/H212),"")</f>
        <v/>
      </c>
      <c r="O212" s="9"/>
      <c r="P212" s="10"/>
      <c r="Q212" s="10"/>
      <c r="R212" s="10">
        <f>O212*P212*Q212</f>
        <v>0</v>
      </c>
      <c r="S212" s="41">
        <f t="shared" si="331"/>
        <v>0</v>
      </c>
      <c r="Y212" s="1"/>
      <c r="Z212" s="1"/>
      <c r="AA212" s="206" t="str">
        <f t="shared" si="332"/>
        <v/>
      </c>
    </row>
    <row r="213" spans="1:30" hidden="1" ns3:dyDescent="0.3">
      <c r="A213" s="13"/>
      <c r="B213" s="11"/>
      <c r="C213" s="262" t="s">
        <v>227</v>
      </c>
      <c r="D213" s="166">
        <f t="shared" si="325"/>
        <v>-0.5</v>
      </c>
      <c r="E213" s="4">
        <v>10</v>
      </c>
      <c r="F213" s="3">
        <f>IFERROR((L213-K213),"")</f>
        <v>-5</v>
      </c>
      <c r="G213" s="5">
        <f>G207</f>
        <v>3.5</v>
      </c>
      <c r="H213" s="6">
        <f>ROUNDUP((B214*C214)/2000,0)</f>
        <v>0</v>
      </c>
      <c r="I213" s="34">
        <f t="shared" si="327"/>
        <v>0</v>
      </c>
      <c r="J213" s="78">
        <f>IFERROR(VLOOKUP(C213,[2]Sheet1!$D:$J,7,0),"")</f>
        <v>5</v>
      </c>
      <c r="K213" s="80">
        <f t="shared" si="256"/>
        <v>5</v>
      </c>
      <c r="L213" s="7">
        <f t="shared" si="328"/>
        <v>0</v>
      </c>
      <c r="M213" s="8">
        <f t="shared" si="329"/>
        <v>5</v>
      </c>
      <c r="N213" s="57" t="str">
        <f t="shared" si="330"/>
        <v/>
      </c>
      <c r="O213" s="9"/>
      <c r="P213" s="10"/>
      <c r="Q213" s="10">
        <v>7600</v>
      </c>
      <c r="R213" s="10">
        <f t="shared" si="326"/>
        <v>0</v>
      </c>
      <c r="S213" s="41">
        <f t="shared" si="224"/>
        <v>0</v>
      </c>
      <c r="T213" s="173"/>
      <c r="U213" s="173"/>
      <c r="V213" s="173"/>
      <c r="W213" s="173"/>
      <c r="X213" s="173"/>
      <c r="Y213" s="173"/>
      <c r="Z213" s="1"/>
      <c r="AA213" s="206">
        <f t="shared" si="321"/>
        <v>0</v>
      </c>
    </row>
    <row r="214" spans="1:30" hidden="1" ns3:dyDescent="0.3">
      <c r="A214" s="273" t="s">
        <v>495</v>
      </c>
      <c r="B214" s="11">
        <f>ROUNDUP(HLOOKUP(A214,'야채 계산기'!$2:$3,2,0)*1.03,0)</f>
        <v>0</v>
      </c>
      <c r="C214" s="164">
        <f>'[1]혜자)직화불고기&amp;오징어제육(25.9.16)'!$B$26</f>
        <v>4.45</v>
      </c>
      <c r="D214" s="166" t="str">
        <f t="shared" si="325"/>
        <v/>
      </c>
      <c r="E214" s="4"/>
      <c r="F214" s="3"/>
      <c r="G214" s="5"/>
      <c r="H214" s="47"/>
      <c r="I214" s="34">
        <f t="shared" si="327"/>
        <v>0</v>
      </c>
      <c r="J214" s="78" t="str">
        <f>IFERROR(VLOOKUP(C214,[2]Sheet1!$D:$J,7,0),"")</f>
        <v/>
      </c>
      <c r="K214" s="80" t="str">
        <f t="shared" si="256"/>
        <v/>
      </c>
      <c r="L214" s="7">
        <f t="shared" si="328"/>
        <v>0</v>
      </c>
      <c r="M214" s="8" t="str">
        <f t="shared" si="329"/>
        <v/>
      </c>
      <c r="N214" s="57" t="str">
        <f t="shared" si="330"/>
        <v/>
      </c>
      <c r="O214" s="9"/>
      <c r="P214" s="10"/>
      <c r="Q214" s="10"/>
      <c r="R214" s="10">
        <f t="shared" si="326"/>
        <v>0</v>
      </c>
      <c r="S214" s="41">
        <f t="shared" si="224"/>
        <v>0</v>
      </c>
      <c r="Y214" s="1"/>
      <c r="Z214" s="1"/>
      <c r="AA214" s="206" t="str">
        <f t="shared" si="321"/>
        <v/>
      </c>
    </row>
    <row r="215" spans="1:30" ns3:dyDescent="0.3">
      <c r="A215" s="13"/>
      <c r="B215" s="11"/>
      <c r="C215" s="62" t="s">
        <v>580</v>
      </c>
      <c r="D215" s="166">
        <f>IFERROR((F215/E215),"")</f>
        <v>-2.9950000000000001</v>
      </c>
      <c r="E215" s="4">
        <v>10</v>
      </c>
      <c r="F215" s="3">
        <f>IFERROR((L215-K215),"")</f>
        <v>-29.95</v>
      </c>
      <c r="G215" s="5">
        <f>G143</f>
        <v>3.5</v>
      </c>
      <c r="H215" s="6">
        <f>ROUNDUP(SUMPRODUCT(B216:B216,C216:C216)/2000,1)</f>
        <v>6.3</v>
      </c>
      <c r="I215" s="34">
        <f>IFERROR((S215*E215),"")</f>
        <v>20</v>
      </c>
      <c r="J215" s="78">
        <f>IFERROR(VLOOKUP(C215,[2]Sheet1!$D:$J,7,0),"")</f>
        <v>32</v>
      </c>
      <c r="K215" s="80">
        <f>IFERROR((I215+J215),"")</f>
        <v>52</v>
      </c>
      <c r="L215" s="7">
        <f>IFERROR((G215*H215),"")</f>
        <v>22.05</v>
      </c>
      <c r="M215" s="8">
        <f>IFERROR(K215-L215,"")</f>
        <v>29.95</v>
      </c>
      <c r="N215" s="57">
        <f>IFERROR((K215/H215),"")</f>
        <v>8.2539682539682548</v>
      </c>
      <c r="O215" s="9"/>
      <c r="P215" s="10"/>
      <c r="Q215" s="10">
        <v>5986</v>
      </c>
      <c r="R215" s="10">
        <f>O215*P215*Q215</f>
        <v>0</v>
      </c>
      <c r="S215" s="41">
        <f t="shared" si="224"/>
        <v>2</v>
      </c>
      <c r="T215" s="173">
        <v>2</v>
      </c>
      <c r="U215" s="173"/>
      <c r="V215" s="173"/>
      <c r="W215" s="173"/>
      <c r="X215" s="173"/>
      <c r="Y215" s="173"/>
      <c r="Z215" s="1"/>
      <c r="AA215" s="206">
        <v>4</v>
      </c>
    </row>
    <row r="216" spans="1:30" ns3:dyDescent="0.3">
      <c r="A216" s="60" t="s">
        <v>582</v>
      </c>
      <c r="B216" s="11">
        <f>ROUNDUP(HLOOKUP(A216,'야채 계산기'!$2:$3,2,0)*1.03,0)</f>
        <v>1896</v>
      </c>
      <c r="C216" s="164">
        <v>6.56</v>
      </c>
      <c r="D216" s="166" t="str">
        <f t="shared" ref="D216" si="333">IFERROR((F216/E216),"")</f>
        <v/>
      </c>
      <c r="E216" s="4"/>
      <c r="F216" s="3"/>
      <c r="G216" s="5"/>
      <c r="H216" s="47"/>
      <c r="I216" s="34">
        <f t="shared" ref="I216" si="334">IFERROR((S216*E216),"")</f>
        <v>0</v>
      </c>
      <c r="J216" s="78" t="str">
        <f>IFERROR(VLOOKUP(C216,[2]Sheet1!$D:$J,7,0),"")</f>
        <v/>
      </c>
      <c r="K216" s="80" t="str">
        <f t="shared" ref="K216" si="335">IFERROR((I216+J216),"")</f>
        <v/>
      </c>
      <c r="L216" s="7">
        <f t="shared" ref="L216" si="336">IFERROR((G216*H216),"")</f>
        <v>0</v>
      </c>
      <c r="M216" s="8" t="str">
        <f t="shared" ref="M216" si="337">IFERROR(K216-L216,"")</f>
        <v/>
      </c>
      <c r="N216" s="57" t="str">
        <f t="shared" ref="N216" si="338">IFERROR((K216/H216),"")</f>
        <v/>
      </c>
      <c r="O216" s="9"/>
      <c r="P216" s="10"/>
      <c r="Q216" s="10"/>
      <c r="R216" s="10">
        <f t="shared" ref="R216" si="339">O216*P216*Q216</f>
        <v>0</v>
      </c>
      <c r="S216" s="41">
        <f t="shared" si="224"/>
        <v>0</v>
      </c>
      <c r="Y216" s="1"/>
      <c r="Z216" s="1"/>
      <c r="AA216" s="206" t="str">
        <f t="shared" si="321"/>
        <v/>
      </c>
    </row>
    <row r="217" spans="1:30" ns3:dyDescent="0.3">
      <c r="A217" s="60"/>
      <c r="B217" s="60"/>
      <c r="C217" s="62" t="s">
        <v>238</v>
      </c>
      <c r="D217" s="166">
        <f t="shared" si="325"/>
        <v>-2.2450000000000001</v>
      </c>
      <c r="E217" s="4">
        <v>10</v>
      </c>
      <c r="F217" s="3">
        <f>IFERROR((L217-K217),"")</f>
        <v>-22.45</v>
      </c>
      <c r="G217" s="5">
        <f>G213</f>
        <v>3.5</v>
      </c>
      <c r="H217" s="6">
        <f>ROUNDUP(SUMPRODUCT(B218:B218,C218:C218)/2000,1)</f>
        <v>3.3000000000000003</v>
      </c>
      <c r="I217" s="34">
        <f t="shared" si="327"/>
        <v>20</v>
      </c>
      <c r="J217" s="78">
        <f>IFERROR(VLOOKUP(C217,[2]Sheet1!$D:$J,7,0),"")</f>
        <v>14</v>
      </c>
      <c r="K217" s="80">
        <f t="shared" si="256"/>
        <v>34</v>
      </c>
      <c r="L217" s="7">
        <f t="shared" si="328"/>
        <v>11.55</v>
      </c>
      <c r="M217" s="8">
        <f t="shared" si="329"/>
        <v>22.45</v>
      </c>
      <c r="N217" s="57">
        <f t="shared" si="330"/>
        <v>10.303030303030303</v>
      </c>
      <c r="O217" s="9"/>
      <c r="P217" s="10"/>
      <c r="Q217" s="10">
        <v>6433</v>
      </c>
      <c r="R217" s="10">
        <f t="shared" si="326"/>
        <v>0</v>
      </c>
      <c r="S217" s="41">
        <f t="shared" ref="S217:S260" si="340">SUM(Y217,T217:X217)</f>
        <v>2</v>
      </c>
      <c r="T217" s="173">
        <v>2</v>
      </c>
      <c r="U217" s="173"/>
      <c r="V217" s="173"/>
      <c r="W217" s="173"/>
      <c r="X217" s="173"/>
      <c r="Y217" s="173"/>
      <c r="Z217" s="1"/>
      <c r="AA217" s="206">
        <f t="shared" si="321"/>
        <v>0.35357142857142865</v>
      </c>
    </row>
    <row r="218" spans="1:30" ns3:dyDescent="0.3">
      <c r="A218" s="13" t="s">
        <v>256</v>
      </c>
      <c r="B218" s="13">
        <f>ROUNDUP(HLOOKUP(A218,'야채 계산기'!$2:$3,2,0)*1.03,0)</f>
        <v>2926</v>
      </c>
      <c r="C218" s="164">
        <v>2.19</v>
      </c>
      <c r="D218" s="166" t="str">
        <f t="shared" si="325"/>
        <v/>
      </c>
      <c r="E218" s="4"/>
      <c r="F218" s="3"/>
      <c r="G218" s="5"/>
      <c r="H218" s="6"/>
      <c r="I218" s="34">
        <f t="shared" ref="I218:I227" si="341">IFERROR((S218*E218),"")</f>
        <v>0</v>
      </c>
      <c r="J218" s="78" t="str">
        <f>IFERROR(VLOOKUP(C218,[2]Sheet1!$D:$J,7,0),"")</f>
        <v/>
      </c>
      <c r="K218" s="80" t="str">
        <f t="shared" si="256"/>
        <v/>
      </c>
      <c r="L218" s="7">
        <f t="shared" ref="L218:L227" si="342">IFERROR((G218*H218),"")</f>
        <v>0</v>
      </c>
      <c r="M218" s="8" t="str">
        <f t="shared" ref="M218:M227" si="343">IFERROR(K218-L218,"")</f>
        <v/>
      </c>
      <c r="N218" s="57" t="str">
        <f t="shared" si="330"/>
        <v/>
      </c>
      <c r="O218" s="9"/>
      <c r="P218" s="10"/>
      <c r="Q218" s="10"/>
      <c r="R218" s="10">
        <f t="shared" si="326"/>
        <v>0</v>
      </c>
      <c r="S218" s="41">
        <f t="shared" si="340"/>
        <v>0</v>
      </c>
      <c r="Y218" s="1"/>
      <c r="Z218" s="1"/>
      <c r="AA218" s="206" t="str">
        <f t="shared" si="321"/>
        <v/>
      </c>
    </row>
    <row r="219" spans="1:30" ns3:dyDescent="0.3">
      <c r="A219" s="11"/>
      <c r="B219" s="11"/>
      <c r="C219" s="164" t="s">
        <v>107</v>
      </c>
      <c r="D219" s="166">
        <f t="shared" si="325"/>
        <v>-0.91249999999999998</v>
      </c>
      <c r="E219" s="4">
        <v>10</v>
      </c>
      <c r="F219" s="3">
        <f>IFERROR((L219-K219),"")</f>
        <v>-9.125</v>
      </c>
      <c r="G219" s="5">
        <f>G217</f>
        <v>3.5</v>
      </c>
      <c r="H219" s="6">
        <f>ROUNDUP(조미식초!G2/2000,0)*0.75</f>
        <v>20.25</v>
      </c>
      <c r="I219" s="34">
        <f t="shared" si="341"/>
        <v>80</v>
      </c>
      <c r="J219" s="78">
        <f>IFERROR(VLOOKUP(C219,[2]Sheet1!$D:$J,7,0),"")</f>
        <v>0</v>
      </c>
      <c r="K219" s="80">
        <f t="shared" si="256"/>
        <v>80</v>
      </c>
      <c r="L219" s="7">
        <f t="shared" si="342"/>
        <v>70.875</v>
      </c>
      <c r="M219" s="8">
        <f t="shared" si="343"/>
        <v>9.125</v>
      </c>
      <c r="N219" s="57">
        <f t="shared" si="330"/>
        <v>3.9506172839506171</v>
      </c>
      <c r="O219" s="9"/>
      <c r="P219" s="10"/>
      <c r="Q219" s="10">
        <v>5000</v>
      </c>
      <c r="R219" s="10">
        <f t="shared" si="326"/>
        <v>0</v>
      </c>
      <c r="S219" s="41">
        <f t="shared" si="340"/>
        <v>8</v>
      </c>
      <c r="T219" s="173">
        <v>4</v>
      </c>
      <c r="U219" s="173">
        <v>4</v>
      </c>
      <c r="V219" s="173"/>
      <c r="W219" s="173"/>
      <c r="X219" s="173"/>
      <c r="Y219" s="173"/>
      <c r="Z219" s="1"/>
      <c r="AA219" s="206">
        <f t="shared" si="321"/>
        <v>2.1696428571428572</v>
      </c>
      <c r="AD219" s="1" t="s">
        <v>197</v>
      </c>
    </row>
    <row r="220" spans="1:30" ns3:dyDescent="0.3">
      <c r="A220" s="11" t="s">
        <v>106</v>
      </c>
      <c r="B220" s="11"/>
      <c r="C220" s="164">
        <v>2.76</v>
      </c>
      <c r="D220" s="167" t="str">
        <f t="shared" si="325"/>
        <v/>
      </c>
      <c r="E220" s="4"/>
      <c r="F220" s="17"/>
      <c r="G220" s="5"/>
      <c r="H220" s="6"/>
      <c r="I220" s="34">
        <f t="shared" si="341"/>
        <v>0</v>
      </c>
      <c r="J220" s="78" t="str">
        <f>IFERROR(VLOOKUP(C220,[2]Sheet1!$D:$J,7,0),"")</f>
        <v/>
      </c>
      <c r="K220" s="80" t="str">
        <f t="shared" si="256"/>
        <v/>
      </c>
      <c r="L220" s="7">
        <f t="shared" si="342"/>
        <v>0</v>
      </c>
      <c r="M220" s="8" t="str">
        <f t="shared" si="343"/>
        <v/>
      </c>
      <c r="N220" s="57" t="str">
        <f t="shared" si="330"/>
        <v/>
      </c>
      <c r="O220" s="56"/>
      <c r="P220" s="10"/>
      <c r="Q220" s="10"/>
      <c r="R220" s="10">
        <f t="shared" si="326"/>
        <v>0</v>
      </c>
      <c r="S220" s="41">
        <f t="shared" si="340"/>
        <v>0</v>
      </c>
      <c r="Y220" s="1"/>
      <c r="AA220" s="206" t="str">
        <f t="shared" si="321"/>
        <v/>
      </c>
    </row>
    <row r="221" spans="1:30" ns3:dyDescent="0.3">
      <c r="A221" s="13"/>
      <c r="B221" s="11"/>
      <c r="C221" s="62" t="s">
        <v>161</v>
      </c>
      <c r="D221" s="166">
        <f t="shared" si="325"/>
        <v>-0.43999999999999995</v>
      </c>
      <c r="E221" s="4">
        <v>10</v>
      </c>
      <c r="F221" s="3">
        <f>IFERROR((L221-K221),"")</f>
        <v>-4.3999999999999995</v>
      </c>
      <c r="G221" s="5">
        <f>G219</f>
        <v>3.5</v>
      </c>
      <c r="H221" s="6">
        <f>ROUNDUP((B222*C222)/2000,1)</f>
        <v>1.6</v>
      </c>
      <c r="I221" s="34">
        <f t="shared" si="341"/>
        <v>0</v>
      </c>
      <c r="J221" s="78">
        <f>IFERROR(VLOOKUP(C221,[2]Sheet1!$D:$J,7,0),"")</f>
        <v>10</v>
      </c>
      <c r="K221" s="80">
        <f t="shared" ref="K221:K227" si="344">IFERROR((I221+J221),"")</f>
        <v>10</v>
      </c>
      <c r="L221" s="7">
        <f t="shared" si="342"/>
        <v>5.6000000000000005</v>
      </c>
      <c r="M221" s="8">
        <f t="shared" si="343"/>
        <v>4.3999999999999995</v>
      </c>
      <c r="N221" s="57">
        <f t="shared" si="330"/>
        <v>6.25</v>
      </c>
      <c r="O221" s="9"/>
      <c r="P221" s="10"/>
      <c r="Q221" s="10">
        <v>7600</v>
      </c>
      <c r="R221" s="10">
        <f t="shared" si="326"/>
        <v>0</v>
      </c>
      <c r="S221" s="41">
        <f t="shared" si="340"/>
        <v>0</v>
      </c>
      <c r="T221" s="173"/>
      <c r="U221" s="173"/>
      <c r="V221" s="173"/>
      <c r="W221" s="173"/>
      <c r="X221" s="173"/>
      <c r="Y221" s="173"/>
      <c r="Z221" s="1"/>
      <c r="AA221" s="206">
        <f t="shared" si="321"/>
        <v>0.17142857142857143</v>
      </c>
    </row>
    <row r="222" spans="1:30" ns3:dyDescent="0.3">
      <c r="A222" s="16" t="s">
        <v>494</v>
      </c>
      <c r="B222" s="11">
        <f>ROUNDUP(HLOOKUP(A222,'야채 계산기'!$2:$3,2,0)*1.03,0)</f>
        <v>660</v>
      </c>
      <c r="C222" s="170">
        <v>4.6900000000000004</v>
      </c>
      <c r="D222" s="166" t="str">
        <f t="shared" si="325"/>
        <v/>
      </c>
      <c r="E222" s="4"/>
      <c r="F222" s="3"/>
      <c r="G222" s="5"/>
      <c r="H222" s="6"/>
      <c r="I222" s="34">
        <f t="shared" si="341"/>
        <v>0</v>
      </c>
      <c r="J222" s="78" t="str">
        <f>IFERROR(VLOOKUP(C222,[2]Sheet1!$D:$J,7,0),"")</f>
        <v/>
      </c>
      <c r="K222" s="80" t="str">
        <f t="shared" si="344"/>
        <v/>
      </c>
      <c r="L222" s="7">
        <f t="shared" si="342"/>
        <v>0</v>
      </c>
      <c r="M222" s="8" t="str">
        <f t="shared" si="343"/>
        <v/>
      </c>
      <c r="N222" s="57" t="str">
        <f t="shared" si="330"/>
        <v/>
      </c>
      <c r="O222" s="9"/>
      <c r="P222" s="10"/>
      <c r="Q222" s="10"/>
      <c r="R222" s="10">
        <f t="shared" si="326"/>
        <v>0</v>
      </c>
      <c r="S222" s="41">
        <f t="shared" si="340"/>
        <v>0</v>
      </c>
      <c r="Y222" s="1"/>
      <c r="Z222" s="1"/>
      <c r="AA222" s="206" t="str">
        <f t="shared" si="321"/>
        <v/>
      </c>
    </row>
    <row r="223" spans="1:30" hidden="1" ns3:dyDescent="0.3">
      <c r="A223" s="16"/>
      <c r="B223" s="11" t="e">
        <f>ROUNDUP(HLOOKUP(A223,'야채 계산기'!$2:$3,2,0)*1.03,0)</f>
        <v>#N/A</v>
      </c>
      <c r="C223" s="262" t="s">
        <v>644</v>
      </c>
      <c r="D223" s="166" t="str">
        <f>IFERROR((F223/E223),"")</f>
        <v/>
      </c>
      <c r="E223" s="4">
        <v>8</v>
      </c>
      <c r="F223" s="3" t="str">
        <f>IFERROR((L223-K223),"")</f>
        <v/>
      </c>
      <c r="G223" s="5">
        <f>G221</f>
        <v>3.5</v>
      </c>
      <c r="H223" s="6" t="e">
        <f>ROUNDUP(SUMPRODUCT(B224, C224)/150,1)</f>
        <v>#N/A</v>
      </c>
      <c r="I223" s="34">
        <f>IFERROR((S223*E223),"")</f>
        <v>0</v>
      </c>
      <c r="J223" s="78" t="str">
        <f>IFERROR(VLOOKUP(C223,[2]Sheet1!$D:$J,7,0),"")</f>
        <v/>
      </c>
      <c r="K223" s="80" t="str">
        <f>IFERROR((I223+J223),"")</f>
        <v/>
      </c>
      <c r="L223" s="7" t="str">
        <f>IFERROR((G223*H223),"")</f>
        <v/>
      </c>
      <c r="M223" s="8" t="str">
        <f>IFERROR(K223-L223,"")</f>
        <v/>
      </c>
      <c r="N223" s="57" t="str">
        <f>IFERROR((K223/H223),"")</f>
        <v/>
      </c>
      <c r="O223" s="9"/>
      <c r="P223" s="10"/>
      <c r="Q223" s="10">
        <v>20625</v>
      </c>
      <c r="R223" s="10">
        <f>O223*P223*Q223</f>
        <v>0</v>
      </c>
      <c r="S223" s="41">
        <f>SUM(Y223,T223:X223)</f>
        <v>0</v>
      </c>
      <c r="T223" s="173"/>
      <c r="U223" s="173"/>
      <c r="V223" s="173"/>
      <c r="W223" s="173"/>
      <c r="X223" s="173"/>
      <c r="Y223" s="173"/>
      <c r="Z223" s="1"/>
      <c r="AA223" s="206" t="str">
        <f>IFERROR(H223*7.5/E223/7,"")</f>
        <v/>
      </c>
    </row>
    <row r="224" spans="1:30" hidden="1" ns3:dyDescent="0.3">
      <c r="A224" s="273" t="s">
        <v>632</v>
      </c>
      <c r="B224" s="11" t="e">
        <f>ROUNDUP(HLOOKUP(A224,'야채 계산기'!$2:$3,2,0)*1.03,0)</f>
        <v>#N/A</v>
      </c>
      <c r="C224" s="170">
        <v>1</v>
      </c>
      <c r="D224" s="166" t="str">
        <f>IFERROR((F224/E224),"")</f>
        <v/>
      </c>
      <c r="E224" s="4"/>
      <c r="F224" s="3"/>
      <c r="G224" s="5"/>
      <c r="H224" s="6"/>
      <c r="I224" s="34">
        <f>IFERROR((S224*E224),"")</f>
        <v>0</v>
      </c>
      <c r="J224" s="78" t="str">
        <f>IFERROR(VLOOKUP(C224,[2]Sheet1!$D:$J,7,0),"")</f>
        <v/>
      </c>
      <c r="K224" s="80" t="str">
        <f>IFERROR((I224+J224),"")</f>
        <v/>
      </c>
      <c r="L224" s="7">
        <f>IFERROR((G224*H224),"")</f>
        <v>0</v>
      </c>
      <c r="M224" s="8" t="str">
        <f>IFERROR(K224-L224,"")</f>
        <v/>
      </c>
      <c r="N224" s="57" t="str">
        <f>IFERROR((K224/H224),"")</f>
        <v/>
      </c>
      <c r="O224" s="9"/>
      <c r="P224" s="10"/>
      <c r="Q224" s="10"/>
      <c r="R224" s="10">
        <f>O224*P224*Q224</f>
        <v>0</v>
      </c>
      <c r="S224" s="41">
        <f>SUM(Y224,T224:X224)</f>
        <v>0</v>
      </c>
      <c r="Y224" s="1"/>
      <c r="Z224" s="1"/>
      <c r="AA224" s="206" t="str">
        <f>IFERROR(H224*7.5/E224/7,"")</f>
        <v/>
      </c>
    </row>
    <row r="225" spans="1:27" ns3:dyDescent="0.3">
      <c r="A225" s="13"/>
      <c r="B225" s="11"/>
      <c r="C225" s="164" t="s">
        <v>147</v>
      </c>
      <c r="D225" s="166">
        <f t="shared" ref="D225:D227" si="345">IFERROR((F225/E225),"")</f>
        <v>-2.4249999999999998</v>
      </c>
      <c r="E225" s="4">
        <v>10</v>
      </c>
      <c r="F225" s="3">
        <f>IFERROR((L225-K225),"")</f>
        <v>-24.25</v>
      </c>
      <c r="G225" s="5">
        <f>G221</f>
        <v>3.5</v>
      </c>
      <c r="H225" s="6">
        <f>ROUNDUP(SUMPRODUCT(B226:B227, C226:C227)/2000,1)</f>
        <v>4.5</v>
      </c>
      <c r="I225" s="34">
        <f t="shared" si="341"/>
        <v>20</v>
      </c>
      <c r="J225" s="78">
        <f>IFERROR(VLOOKUP(C225,[2]Sheet1!$D:$J,7,0),"")</f>
        <v>20</v>
      </c>
      <c r="K225" s="80">
        <f t="shared" si="344"/>
        <v>40</v>
      </c>
      <c r="L225" s="7">
        <f t="shared" si="342"/>
        <v>15.75</v>
      </c>
      <c r="M225" s="8">
        <f t="shared" si="343"/>
        <v>24.25</v>
      </c>
      <c r="N225" s="57">
        <f t="shared" si="330"/>
        <v>8.8888888888888893</v>
      </c>
      <c r="O225" s="9"/>
      <c r="P225" s="10"/>
      <c r="Q225" s="10">
        <v>7000</v>
      </c>
      <c r="R225" s="10">
        <f t="shared" ref="R225:R227" si="346">O225*P225*Q225</f>
        <v>0</v>
      </c>
      <c r="S225" s="41">
        <f t="shared" si="340"/>
        <v>2</v>
      </c>
      <c r="T225" s="173">
        <v>2</v>
      </c>
      <c r="U225" s="173"/>
      <c r="V225" s="173"/>
      <c r="W225" s="173"/>
      <c r="X225" s="173"/>
      <c r="Y225" s="173"/>
      <c r="Z225" s="1"/>
      <c r="AA225" s="206">
        <f t="shared" ref="AA225:AA260" si="347">IFERROR(H225*7.5/E225/7,"")</f>
        <v>0.48214285714285715</v>
      </c>
    </row>
    <row r="226" spans="1:27" ns3:dyDescent="0.3">
      <c r="A226" s="59" t="s">
        <v>757</v>
      </c>
      <c r="B226" s="11">
        <f>ROUNDUP(HLOOKUP(A226,'야채 계산기'!$2:$3,2,0)*1.03,0)</f>
        <v>2266</v>
      </c>
      <c r="C226" s="164">
        <f>'[1]혜자)돌아온 명불허전(25.9.18)리뉴얼'!$B$18</f>
        <v>3.74</v>
      </c>
      <c r="D226" s="166" t="str">
        <f t="shared" si="345"/>
        <v/>
      </c>
      <c r="E226" s="4"/>
      <c r="F226" s="3"/>
      <c r="G226" s="5"/>
      <c r="H226" s="6"/>
      <c r="I226" s="34">
        <f t="shared" si="341"/>
        <v>0</v>
      </c>
      <c r="J226" s="78" t="str">
        <f>IFERROR(VLOOKUP(C226,[2]Sheet1!$D:$J,7,0),"")</f>
        <v/>
      </c>
      <c r="K226" s="80" t="str">
        <f t="shared" si="344"/>
        <v/>
      </c>
      <c r="L226" s="7">
        <f t="shared" si="342"/>
        <v>0</v>
      </c>
      <c r="M226" s="8" t="str">
        <f t="shared" si="343"/>
        <v/>
      </c>
      <c r="N226" s="57" t="str">
        <f t="shared" si="330"/>
        <v/>
      </c>
      <c r="O226" s="9"/>
      <c r="P226" s="10"/>
      <c r="Q226" s="10"/>
      <c r="R226" s="10">
        <f t="shared" si="346"/>
        <v>0</v>
      </c>
      <c r="S226" s="41">
        <f t="shared" si="340"/>
        <v>0</v>
      </c>
      <c r="Y226" s="1"/>
      <c r="Z226" s="1"/>
      <c r="AA226" s="206" t="str">
        <f t="shared" si="347"/>
        <v/>
      </c>
    </row>
    <row r="227" spans="1:27" ns3:dyDescent="0.3">
      <c r="A227" s="59" t="s">
        <v>782</v>
      </c>
      <c r="B227" s="11">
        <f>ROUNDUP(HLOOKUP(A227,'야채 계산기'!$2:$3,2,0)*1.03,0)</f>
        <v>567</v>
      </c>
      <c r="C227" s="164">
        <v>0.72</v>
      </c>
      <c r="D227" s="166" t="str">
        <f t="shared" si="345"/>
        <v/>
      </c>
      <c r="E227" s="4"/>
      <c r="F227" s="3"/>
      <c r="G227" s="5"/>
      <c r="H227" s="6"/>
      <c r="I227" s="34">
        <f t="shared" si="341"/>
        <v>0</v>
      </c>
      <c r="J227" s="78" t="str">
        <f>IFERROR(VLOOKUP(C227,[2]Sheet1!$D:$J,7,0),"")</f>
        <v/>
      </c>
      <c r="K227" s="80" t="str">
        <f t="shared" si="344"/>
        <v/>
      </c>
      <c r="L227" s="7">
        <f t="shared" si="342"/>
        <v>0</v>
      </c>
      <c r="M227" s="8" t="str">
        <f t="shared" si="343"/>
        <v/>
      </c>
      <c r="N227" s="57" t="str">
        <f t="shared" si="330"/>
        <v/>
      </c>
      <c r="O227" s="9"/>
      <c r="P227" s="10"/>
      <c r="Q227" s="10"/>
      <c r="R227" s="10">
        <f t="shared" si="346"/>
        <v>0</v>
      </c>
      <c r="S227" s="41">
        <f t="shared" si="340"/>
        <v>0</v>
      </c>
      <c r="Y227" s="1"/>
      <c r="Z227" s="1"/>
      <c r="AA227" s="206" t="str">
        <f t="shared" si="347"/>
        <v/>
      </c>
    </row>
    <row r="228" spans="1:27" ns3:dyDescent="0.3">
      <c r="A228" s="59"/>
      <c r="B228" s="11"/>
      <c r="C228" s="164" t="s">
        <v>716</v>
      </c>
      <c r="D228" s="166">
        <f t="shared" ref="D228:D229" si="348">IFERROR((F228/E228),"")</f>
        <v>-1.85</v>
      </c>
      <c r="E228" s="4">
        <v>10</v>
      </c>
      <c r="F228" s="3">
        <f>IFERROR((L228-K228),"")</f>
        <v>-18.5</v>
      </c>
      <c r="G228" s="5">
        <f>G221</f>
        <v>3.5</v>
      </c>
      <c r="H228" s="6">
        <f>ROUNDUP(SUMPRODUCT(B229:B229,C229:C229)/2000,1)</f>
        <v>5</v>
      </c>
      <c r="I228" s="34">
        <f t="shared" ref="I228:I229" si="349">IFERROR((S228*E228),"")</f>
        <v>20</v>
      </c>
      <c r="J228" s="78">
        <f>IFERROR(VLOOKUP(C228,[2]Sheet1!$D:$J,7,0),"")</f>
        <v>16</v>
      </c>
      <c r="K228" s="80">
        <f t="shared" ref="K228:K229" si="350">IFERROR((I228+J228),"")</f>
        <v>36</v>
      </c>
      <c r="L228" s="7">
        <f t="shared" ref="L228:L229" si="351">IFERROR((G228*H228),"")</f>
        <v>17.5</v>
      </c>
      <c r="M228" s="8">
        <f t="shared" ref="M228:M229" si="352">IFERROR(K228-L228,"")</f>
        <v>18.5</v>
      </c>
      <c r="N228" s="57">
        <f t="shared" ref="N228:N229" si="353">IFERROR((K228/H228),"")</f>
        <v>7.2</v>
      </c>
      <c r="O228" s="9"/>
      <c r="P228" s="10"/>
      <c r="Q228" s="10">
        <v>7600</v>
      </c>
      <c r="R228" s="10">
        <f t="shared" ref="R228:R229" si="354">O228*P228*Q228</f>
        <v>0</v>
      </c>
      <c r="S228" s="41">
        <f t="shared" si="340"/>
        <v>2</v>
      </c>
      <c r="T228" s="173"/>
      <c r="U228" s="173">
        <v>2</v>
      </c>
      <c r="V228" s="173"/>
      <c r="W228" s="173"/>
      <c r="X228" s="173"/>
      <c r="Y228" s="173"/>
      <c r="Z228" s="1"/>
      <c r="AA228" s="206">
        <f t="shared" si="347"/>
        <v>0.5357142857142857</v>
      </c>
    </row>
    <row r="229" spans="1:27" ns3:dyDescent="0.3">
      <c r="A229" s="59" t="s">
        <v>757</v>
      </c>
      <c r="B229" s="11">
        <f>ROUNDUP(HLOOKUP(A229,'야채 계산기'!$2:$3,2,0)*1.03,0)</f>
        <v>2266</v>
      </c>
      <c r="C229" s="164">
        <f>'[1]혜자)돌아온 명불허전(25.8.12)'!$B$6</f>
        <v>4.37</v>
      </c>
      <c r="D229" s="166" t="str">
        <f t="shared" si="348"/>
        <v/>
      </c>
      <c r="E229" s="4"/>
      <c r="F229" s="3"/>
      <c r="G229" s="5"/>
      <c r="H229" s="47"/>
      <c r="I229" s="34">
        <f t="shared" si="349"/>
        <v>0</v>
      </c>
      <c r="J229" s="78" t="str">
        <f>IFERROR(VLOOKUP(C229,[2]Sheet1!$D:$J,7,0),"")</f>
        <v/>
      </c>
      <c r="K229" s="80" t="str">
        <f t="shared" si="350"/>
        <v/>
      </c>
      <c r="L229" s="7">
        <f t="shared" si="351"/>
        <v>0</v>
      </c>
      <c r="M229" s="8" t="str">
        <f t="shared" si="352"/>
        <v/>
      </c>
      <c r="N229" s="57" t="str">
        <f t="shared" si="353"/>
        <v/>
      </c>
      <c r="O229" s="9"/>
      <c r="P229" s="10"/>
      <c r="Q229" s="10"/>
      <c r="R229" s="10">
        <f t="shared" si="354"/>
        <v>0</v>
      </c>
      <c r="S229" s="41">
        <f t="shared" si="340"/>
        <v>0</v>
      </c>
      <c r="Y229" s="1"/>
      <c r="Z229" s="1"/>
      <c r="AA229" s="206" t="str">
        <f t="shared" si="347"/>
        <v/>
      </c>
    </row>
    <row r="230" spans="1:27" hidden="1" ns3:dyDescent="0.3">
      <c r="A230" s="59"/>
      <c r="B230" s="11"/>
      <c r="C230" s="262" t="s">
        <v>661</v>
      </c>
      <c r="D230" s="166">
        <f t="shared" ref="D230:D231" si="355">IFERROR((F230/E230),"")</f>
        <v>0</v>
      </c>
      <c r="E230" s="4">
        <v>10</v>
      </c>
      <c r="F230" s="3">
        <f>IFERROR((L230-K230),"")</f>
        <v>0</v>
      </c>
      <c r="G230" s="5">
        <f>G225</f>
        <v>3.5</v>
      </c>
      <c r="H230" s="6">
        <f>ROUNDUP(SUMPRODUCT(B231:B231,C231:C231)/2000,1)</f>
        <v>0</v>
      </c>
      <c r="I230" s="34">
        <f t="shared" ref="I230:I231" si="356">IFERROR((S230*E230),"")</f>
        <v>0</v>
      </c>
      <c r="J230" s="78">
        <f>IFERROR(VLOOKUP(C230,[2]Sheet1!$D:$J,7,0),"")</f>
        <v>0</v>
      </c>
      <c r="K230" s="80">
        <f t="shared" ref="K230:K231" si="357">IFERROR((I230+J230),"")</f>
        <v>0</v>
      </c>
      <c r="L230" s="7">
        <f t="shared" ref="L230:L231" si="358">IFERROR((G230*H230),"")</f>
        <v>0</v>
      </c>
      <c r="M230" s="8">
        <f t="shared" ref="M230:M231" si="359">IFERROR(K230-L230,"")</f>
        <v>0</v>
      </c>
      <c r="N230" s="57" t="str">
        <f t="shared" ref="N230:N231" si="360">IFERROR((K230/H230),"")</f>
        <v/>
      </c>
      <c r="O230" s="9"/>
      <c r="P230" s="10"/>
      <c r="Q230" s="10">
        <v>9394</v>
      </c>
      <c r="R230" s="10">
        <f t="shared" ref="R230:R231" si="361">O230*P230*Q230</f>
        <v>0</v>
      </c>
      <c r="S230" s="41">
        <f t="shared" si="340"/>
        <v>0</v>
      </c>
      <c r="T230" s="173"/>
      <c r="U230" s="173"/>
      <c r="V230" s="173"/>
      <c r="W230" s="173"/>
      <c r="X230" s="173"/>
      <c r="Y230" s="173"/>
      <c r="Z230" s="1"/>
      <c r="AA230" s="206">
        <f t="shared" si="347"/>
        <v>0</v>
      </c>
    </row>
    <row r="231" spans="1:27" hidden="1" ns3:dyDescent="0.3">
      <c r="A231" s="261" t="s">
        <v>654</v>
      </c>
      <c r="B231" s="11">
        <f>ROUNDUP(HLOOKUP(A231,'야채 계산기'!$2:$3,2,0)*1.03,0)</f>
        <v>0</v>
      </c>
      <c r="C231" s="164">
        <f>'[1]쯔양)매콤흑당치킨'!$B$5</f>
        <v>56.23</v>
      </c>
      <c r="D231" s="166" t="str">
        <f t="shared" si="355"/>
        <v/>
      </c>
      <c r="E231" s="4"/>
      <c r="F231" s="3"/>
      <c r="G231" s="5"/>
      <c r="H231" s="47"/>
      <c r="I231" s="34">
        <f t="shared" si="356"/>
        <v>0</v>
      </c>
      <c r="J231" s="78" t="str">
        <f>IFERROR(VLOOKUP(C231,[2]Sheet1!$D:$J,7,0),"")</f>
        <v/>
      </c>
      <c r="K231" s="80" t="str">
        <f t="shared" si="357"/>
        <v/>
      </c>
      <c r="L231" s="7">
        <f t="shared" si="358"/>
        <v>0</v>
      </c>
      <c r="M231" s="8" t="str">
        <f t="shared" si="359"/>
        <v/>
      </c>
      <c r="N231" s="57" t="str">
        <f t="shared" si="360"/>
        <v/>
      </c>
      <c r="O231" s="9"/>
      <c r="P231" s="10"/>
      <c r="Q231" s="10"/>
      <c r="R231" s="10">
        <f t="shared" si="361"/>
        <v>0</v>
      </c>
      <c r="S231" s="41">
        <f t="shared" si="340"/>
        <v>0</v>
      </c>
      <c r="Y231" s="1"/>
      <c r="Z231" s="1"/>
      <c r="AA231" s="206" t="str">
        <f t="shared" si="347"/>
        <v/>
      </c>
    </row>
    <row r="232" spans="1:27" ns3:dyDescent="0.3">
      <c r="A232" s="59"/>
      <c r="B232" s="11"/>
      <c r="C232" s="182" t="s">
        <v>186</v>
      </c>
      <c r="D232" s="166">
        <f t="shared" ref="D232:D259" si="362">IFERROR((F232/E232),"")</f>
        <v>-0.27500000000000002</v>
      </c>
      <c r="E232" s="4">
        <v>8</v>
      </c>
      <c r="F232" s="3">
        <f>IFERROR((L232-K232),"")</f>
        <v>-2.2000000000000002</v>
      </c>
      <c r="G232" s="5">
        <f>G246</f>
        <v>3.5</v>
      </c>
      <c r="H232" s="6">
        <f>ROUNDUP(SUMPRODUCT(B233:B233, C233:C233)/2000,1)</f>
        <v>0.79999999999999993</v>
      </c>
      <c r="I232" s="34">
        <f t="shared" ref="I232" si="363">IFERROR((S232*E232),"")</f>
        <v>0</v>
      </c>
      <c r="J232" s="78">
        <f>IFERROR(VLOOKUP(C232,[2]Sheet1!$D:$J,7,0),"")</f>
        <v>5</v>
      </c>
      <c r="K232" s="80">
        <f t="shared" ref="K232:K253" si="364">IFERROR((I232+J232),"")</f>
        <v>5</v>
      </c>
      <c r="L232" s="7">
        <f t="shared" ref="L232" si="365">IFERROR((G232*H232),"")</f>
        <v>2.8</v>
      </c>
      <c r="M232" s="8">
        <f t="shared" ref="M232" si="366">IFERROR(K232-L232,"")</f>
        <v>2.2000000000000002</v>
      </c>
      <c r="N232" s="57">
        <f t="shared" ref="N232" si="367">IFERROR((K232/H232),"")</f>
        <v>6.2500000000000009</v>
      </c>
      <c r="O232" s="9"/>
      <c r="P232" s="10"/>
      <c r="Q232" s="10">
        <v>11600</v>
      </c>
      <c r="R232" s="10">
        <f t="shared" ref="R232" si="368">O232*P232*Q232</f>
        <v>0</v>
      </c>
      <c r="S232" s="41">
        <f t="shared" si="340"/>
        <v>0</v>
      </c>
      <c r="T232" s="173"/>
      <c r="U232" s="173"/>
      <c r="V232" s="173"/>
      <c r="W232" s="173"/>
      <c r="X232" s="173"/>
      <c r="Y232" s="173"/>
      <c r="AA232" s="206">
        <f t="shared" si="347"/>
        <v>0.10714285714285712</v>
      </c>
    </row>
    <row r="233" spans="1:27" ns3:dyDescent="0.3">
      <c r="A233" s="59" t="s">
        <v>793</v>
      </c>
      <c r="B233" s="11">
        <f>ROUNDUP(HLOOKUP(A233,'야채 계산기'!$2:$3,2,0)*1.03,0)</f>
        <v>1875</v>
      </c>
      <c r="C233" s="164">
        <v>0.79</v>
      </c>
      <c r="D233" s="166" t="str">
        <f t="shared" ref="D233" si="369">IFERROR((F233/E233),"")</f>
        <v/>
      </c>
      <c r="E233" s="4"/>
      <c r="F233" s="3"/>
      <c r="G233" s="5"/>
      <c r="H233" s="6"/>
      <c r="I233" s="34">
        <f t="shared" ref="I233" si="370">IFERROR((S233*E233),"")</f>
        <v>0</v>
      </c>
      <c r="J233" s="78" t="str">
        <f>IFERROR(VLOOKUP(C233,[2]Sheet1!$D:$J,7,0),"")</f>
        <v/>
      </c>
      <c r="K233" s="80" t="str">
        <f t="shared" ref="K233" si="371">IFERROR((I233+J233),"")</f>
        <v/>
      </c>
      <c r="L233" s="7">
        <f t="shared" ref="L233" si="372">IFERROR((G233*H233),"")</f>
        <v>0</v>
      </c>
      <c r="M233" s="8" t="str">
        <f t="shared" ref="M233" si="373">IFERROR(K233-L233,"")</f>
        <v/>
      </c>
      <c r="N233" s="57" t="str">
        <f t="shared" ref="N233" si="374">IFERROR((K233/H233),"")</f>
        <v/>
      </c>
      <c r="O233" s="9"/>
      <c r="P233" s="10"/>
      <c r="Q233" s="10"/>
      <c r="R233" s="10">
        <f t="shared" ref="R233" si="375">O233*P233*Q233</f>
        <v>0</v>
      </c>
      <c r="S233" s="41">
        <f t="shared" ref="S233" si="376">SUM(Y233,T233:X233)</f>
        <v>0</v>
      </c>
      <c r="Y233" s="1"/>
      <c r="AA233" s="206" t="str">
        <f t="shared" ref="AA233" si="377">IFERROR(H233*7.5/E233/7,"")</f>
        <v/>
      </c>
    </row>
    <row r="234" spans="1:27" hidden="1" ns3:dyDescent="0.3">
      <c r="A234" s="11"/>
      <c r="B234" s="11"/>
      <c r="C234" s="262" t="s">
        <v>291</v>
      </c>
      <c r="D234" s="166" t="str">
        <f>IFERROR((F234/E234),"")</f>
        <v/>
      </c>
      <c r="E234" s="4">
        <v>10</v>
      </c>
      <c r="F234" s="3" t="str">
        <f>IFERROR((L234-K234),"")</f>
        <v/>
      </c>
      <c r="G234" s="5">
        <f>G223</f>
        <v>3.5</v>
      </c>
      <c r="H234" s="6" t="e">
        <f>ROUNDUP(SUMPRODUCT(B235:B235, C235:C235)/2000,1)</f>
        <v>#N/A</v>
      </c>
      <c r="I234" s="34">
        <f>IFERROR((S234*E234),"")</f>
        <v>0</v>
      </c>
      <c r="J234" s="78">
        <f>IFERROR(VLOOKUP(C234,[2]Sheet1!$D:$J,7,0),"")</f>
        <v>0</v>
      </c>
      <c r="K234" s="80">
        <f>IFERROR((I234+J234),"")</f>
        <v>0</v>
      </c>
      <c r="L234" s="7" t="str">
        <f>IFERROR((G234*H234),"")</f>
        <v/>
      </c>
      <c r="M234" s="8" t="str">
        <f>IFERROR(K234-L234,"")</f>
        <v/>
      </c>
      <c r="N234" s="57" t="str">
        <f>IFERROR((K234/H234),"")</f>
        <v/>
      </c>
      <c r="O234" s="9"/>
      <c r="P234" s="10"/>
      <c r="Q234" s="10">
        <v>9200</v>
      </c>
      <c r="R234" s="10">
        <f>O234*P234*Q234</f>
        <v>0</v>
      </c>
      <c r="S234" s="41">
        <f t="shared" ref="S234:S239" si="378">SUM(Y234,T234:X234)</f>
        <v>0</v>
      </c>
      <c r="T234" s="243"/>
      <c r="U234" s="243"/>
      <c r="V234" s="243"/>
      <c r="W234" s="243"/>
      <c r="X234" s="243"/>
      <c r="Y234" s="243"/>
      <c r="Z234" s="1"/>
      <c r="AA234" s="206" t="str">
        <f t="shared" ref="AA234:AA239" si="379">IFERROR(H234*7.5/E234/7,"")</f>
        <v/>
      </c>
    </row>
    <row r="235" spans="1:27" hidden="1" ns3:dyDescent="0.3">
      <c r="A235" s="273" t="s">
        <v>558</v>
      </c>
      <c r="B235" s="11" t="e">
        <f>ROUNDUP(HLOOKUP(A235,'야채 계산기'!$2:$3,2,0)*1.03,0)</f>
        <v>#N/A</v>
      </c>
      <c r="C235" s="164">
        <v>3.44</v>
      </c>
      <c r="D235" s="166" t="str">
        <f>IFERROR((F235/E235),"")</f>
        <v/>
      </c>
      <c r="E235" s="4"/>
      <c r="F235" s="3"/>
      <c r="G235" s="5"/>
      <c r="H235" s="6"/>
      <c r="I235" s="34">
        <f>IFERROR((S235*E235),"")</f>
        <v>0</v>
      </c>
      <c r="J235" s="78" t="str">
        <f>IFERROR(VLOOKUP(C235,[2]Sheet1!$D:$J,7,0),"")</f>
        <v/>
      </c>
      <c r="K235" s="80" t="str">
        <f>IFERROR((I235+J235),"")</f>
        <v/>
      </c>
      <c r="L235" s="7">
        <f>IFERROR((G235*H235),"")</f>
        <v>0</v>
      </c>
      <c r="M235" s="8" t="str">
        <f>IFERROR(K235-L235,"")</f>
        <v/>
      </c>
      <c r="N235" s="57"/>
      <c r="O235" s="9"/>
      <c r="P235" s="10"/>
      <c r="Q235" s="10"/>
      <c r="R235" s="10">
        <f>O235*P235*Q235</f>
        <v>0</v>
      </c>
      <c r="S235" s="41">
        <f t="shared" si="378"/>
        <v>0</v>
      </c>
      <c r="Y235" s="1"/>
      <c r="Z235" s="1"/>
      <c r="AA235" s="206" t="str">
        <f t="shared" si="379"/>
        <v/>
      </c>
    </row>
    <row r="236" spans="1:27" hidden="1" ns3:dyDescent="0.3">
      <c r="A236" s="60"/>
      <c r="B236" s="59"/>
      <c r="C236" s="262" t="s">
        <v>535</v>
      </c>
      <c r="D236" s="166" t="str">
        <f t="shared" ref="D236:D238" si="380">IFERROR((F236/E236),"")</f>
        <v/>
      </c>
      <c r="E236" s="4">
        <v>10</v>
      </c>
      <c r="F236" s="3" t="str">
        <f>IFERROR((L236-K236),"")</f>
        <v/>
      </c>
      <c r="G236" s="5">
        <f>G196</f>
        <v>3.5</v>
      </c>
      <c r="H236" s="6" t="e">
        <f>ROUNDUP((B237*C237)/2000,1)</f>
        <v>#N/A</v>
      </c>
      <c r="I236" s="34">
        <f t="shared" ref="I236:I237" si="381">IFERROR((S236*E236),"")</f>
        <v>0</v>
      </c>
      <c r="J236" s="78" t="str">
        <f>IFERROR(VLOOKUP(C236,[2]Sheet1!$D:$J,7,0),"")</f>
        <v/>
      </c>
      <c r="K236" s="80" t="str">
        <f t="shared" ref="K236:K237" si="382">IFERROR((I236+J236),"")</f>
        <v/>
      </c>
      <c r="L236" s="7" t="str">
        <f t="shared" ref="L236:L237" si="383">IFERROR((G236*H236),"")</f>
        <v/>
      </c>
      <c r="M236" s="8" t="str">
        <f t="shared" ref="M236:M237" si="384">IFERROR(K236-L236,"")</f>
        <v/>
      </c>
      <c r="N236" s="57" t="str">
        <f>IFERROR((K236/H236),"")</f>
        <v/>
      </c>
      <c r="O236" s="9"/>
      <c r="P236" s="10"/>
      <c r="Q236" s="10">
        <v>6000</v>
      </c>
      <c r="R236" s="10">
        <f t="shared" ref="R236:R237" si="385">O236*P236*Q236</f>
        <v>0</v>
      </c>
      <c r="S236" s="41">
        <f t="shared" si="378"/>
        <v>0</v>
      </c>
      <c r="T236" s="173"/>
      <c r="U236" s="173"/>
      <c r="V236" s="173"/>
      <c r="W236" s="173"/>
      <c r="X236" s="173"/>
      <c r="Y236" s="173"/>
      <c r="Z236" s="1"/>
      <c r="AA236" s="206" t="str">
        <f t="shared" si="379"/>
        <v/>
      </c>
    </row>
    <row r="237" spans="1:27" hidden="1" ns3:dyDescent="0.3">
      <c r="A237" s="273" t="s">
        <v>529</v>
      </c>
      <c r="B237" s="59" t="e">
        <f>ROUNDUP(HLOOKUP(A237,'야채 계산기'!$2:$3,2,0)*1.03,0)</f>
        <v>#N/A</v>
      </c>
      <c r="C237" s="62">
        <v>2.04</v>
      </c>
      <c r="D237" s="166" t="str">
        <f t="shared" si="380"/>
        <v/>
      </c>
      <c r="E237" s="4"/>
      <c r="F237" s="3"/>
      <c r="G237" s="5"/>
      <c r="H237" s="47"/>
      <c r="I237" s="34">
        <f t="shared" si="381"/>
        <v>0</v>
      </c>
      <c r="J237" s="78" t="str">
        <f>IFERROR(VLOOKUP(C237,[2]Sheet1!$D:$J,7,0),"")</f>
        <v/>
      </c>
      <c r="K237" s="80" t="str">
        <f t="shared" si="382"/>
        <v/>
      </c>
      <c r="L237" s="7">
        <f t="shared" si="383"/>
        <v>0</v>
      </c>
      <c r="M237" s="8" t="str">
        <f t="shared" si="384"/>
        <v/>
      </c>
      <c r="N237" s="57" t="str">
        <f t="shared" ref="N237" si="386">IFERROR((K237/H237),"")</f>
        <v/>
      </c>
      <c r="O237" s="9"/>
      <c r="P237" s="10"/>
      <c r="Q237" s="10"/>
      <c r="R237" s="10">
        <f t="shared" si="385"/>
        <v>0</v>
      </c>
      <c r="S237" s="41">
        <f t="shared" si="378"/>
        <v>0</v>
      </c>
      <c r="Y237" s="1"/>
      <c r="Z237" s="1"/>
      <c r="AA237" s="206" t="str">
        <f t="shared" si="379"/>
        <v/>
      </c>
    </row>
    <row r="238" spans="1:27" hidden="1" ns3:dyDescent="0.3">
      <c r="A238" s="60"/>
      <c r="B238" s="59"/>
      <c r="C238" s="262" t="s">
        <v>534</v>
      </c>
      <c r="D238" s="166" t="str">
        <f t="shared" si="380"/>
        <v/>
      </c>
      <c r="E238" s="4">
        <v>10</v>
      </c>
      <c r="F238" s="3" t="str">
        <f>IFERROR((L238-K238),"")</f>
        <v/>
      </c>
      <c r="G238" s="5">
        <f>G196</f>
        <v>3.5</v>
      </c>
      <c r="H238" s="6" t="e">
        <f>ROUNDUP((B239*C239)/2000,1)</f>
        <v>#N/A</v>
      </c>
      <c r="I238" s="34">
        <f t="shared" ref="I238:I243" si="387">IFERROR((S238*E238),"")</f>
        <v>0</v>
      </c>
      <c r="J238" s="78" t="str">
        <f>IFERROR(VLOOKUP(C238,[2]Sheet1!$D:$J,7,0),"")</f>
        <v/>
      </c>
      <c r="K238" s="80" t="str">
        <f>IFERROR((I238+J238),"")</f>
        <v/>
      </c>
      <c r="L238" s="7" t="str">
        <f t="shared" ref="L238:L243" si="388">IFERROR((G238*H238),"")</f>
        <v/>
      </c>
      <c r="M238" s="8" t="str">
        <f t="shared" ref="M238:M243" si="389">IFERROR(K238-L238,"")</f>
        <v/>
      </c>
      <c r="N238" s="57" t="str">
        <f>IFERROR((K238/H238),"")</f>
        <v/>
      </c>
      <c r="O238" s="9"/>
      <c r="P238" s="10"/>
      <c r="Q238" s="10">
        <v>6800</v>
      </c>
      <c r="R238" s="10">
        <f>O238*P238*Q238</f>
        <v>0</v>
      </c>
      <c r="S238" s="41">
        <f t="shared" si="378"/>
        <v>0</v>
      </c>
      <c r="T238" s="173"/>
      <c r="U238" s="173"/>
      <c r="V238" s="173"/>
      <c r="W238" s="173"/>
      <c r="X238" s="173"/>
      <c r="Y238" s="173"/>
      <c r="Z238" s="1"/>
      <c r="AA238" s="206" t="str">
        <f t="shared" si="379"/>
        <v/>
      </c>
    </row>
    <row r="239" spans="1:27" hidden="1" ns3:dyDescent="0.3">
      <c r="A239" s="273" t="s">
        <v>529</v>
      </c>
      <c r="B239" s="59" t="e">
        <f>ROUNDUP(HLOOKUP(A239,'야채 계산기'!$2:$3,2,0)*1.03,0)</f>
        <v>#N/A</v>
      </c>
      <c r="C239" s="62">
        <v>6.18</v>
      </c>
      <c r="D239" s="166" t="str">
        <f>IFERROR((F239/E239),"")</f>
        <v/>
      </c>
      <c r="E239" s="4"/>
      <c r="F239" s="3"/>
      <c r="G239" s="5"/>
      <c r="H239" s="47"/>
      <c r="I239" s="34">
        <f t="shared" si="387"/>
        <v>0</v>
      </c>
      <c r="J239" s="78" t="str">
        <f>IFERROR(VLOOKUP(C239,[2]Sheet1!$D:$J,7,0),"")</f>
        <v/>
      </c>
      <c r="K239" s="80" t="str">
        <f>IFERROR((I239+J239),"")</f>
        <v/>
      </c>
      <c r="L239" s="7">
        <f t="shared" si="388"/>
        <v>0</v>
      </c>
      <c r="M239" s="8" t="str">
        <f t="shared" si="389"/>
        <v/>
      </c>
      <c r="N239" s="57" t="str">
        <f t="shared" ref="N239" si="390">IFERROR((K239/H239),"")</f>
        <v/>
      </c>
      <c r="O239" s="9"/>
      <c r="P239" s="10"/>
      <c r="Q239" s="10"/>
      <c r="R239" s="10">
        <f>O239*P239*Q239</f>
        <v>0</v>
      </c>
      <c r="S239" s="41">
        <f t="shared" si="378"/>
        <v>0</v>
      </c>
      <c r="Y239" s="1"/>
      <c r="Z239" s="1"/>
      <c r="AA239" s="206" t="str">
        <f t="shared" si="379"/>
        <v/>
      </c>
    </row>
    <row r="240" spans="1:27" hidden="1" ns3:dyDescent="0.3">
      <c r="A240" s="13"/>
      <c r="B240" s="11"/>
      <c r="C240" s="262" t="s">
        <v>202</v>
      </c>
      <c r="D240" s="166" t="str">
        <f t="shared" ref="D240:D241" si="391">IFERROR((F240/E240),"")</f>
        <v/>
      </c>
      <c r="E240" s="4">
        <v>10</v>
      </c>
      <c r="F240" s="3" t="str">
        <f>IFERROR((L240-K240),"")</f>
        <v/>
      </c>
      <c r="G240" s="5">
        <v>3</v>
      </c>
      <c r="H240" s="6" t="e">
        <f>ROUNDUP((B241*C241)/2000,1)</f>
        <v>#N/A</v>
      </c>
      <c r="I240" s="34">
        <f t="shared" si="387"/>
        <v>0</v>
      </c>
      <c r="J240" s="78">
        <f>IFERROR(VLOOKUP(C240,[2]Sheet1!$D:$J,7,0),"")</f>
        <v>0</v>
      </c>
      <c r="K240" s="80">
        <f t="shared" ref="K240:K241" si="392">IFERROR((I240+J240),"")</f>
        <v>0</v>
      </c>
      <c r="L240" s="7" t="str">
        <f t="shared" si="388"/>
        <v/>
      </c>
      <c r="M240" s="8" t="str">
        <f t="shared" si="389"/>
        <v/>
      </c>
      <c r="N240" s="57" t="str">
        <f t="shared" ref="N240:N241" si="393">IFERROR((K240/H240),"")</f>
        <v/>
      </c>
      <c r="O240" s="9"/>
      <c r="P240" s="10"/>
      <c r="Q240" s="10">
        <v>6200</v>
      </c>
      <c r="R240" s="10">
        <f t="shared" ref="R240:R241" si="394">O240*P240*Q240</f>
        <v>0</v>
      </c>
      <c r="S240" s="41">
        <f>SUM(Y240,T240:X240)</f>
        <v>0</v>
      </c>
      <c r="Y240" s="1"/>
      <c r="Z240" s="1"/>
      <c r="AA240" s="206" t="str">
        <f>IFERROR(H240*7.5/E240/7,"")</f>
        <v/>
      </c>
    </row>
    <row r="241" spans="1:27" hidden="1" ns3:dyDescent="0.3">
      <c r="A241" s="273" t="s">
        <v>199</v>
      </c>
      <c r="B241" s="11" t="e">
        <f>ROUNDUP(HLOOKUP(A241,'야채 계산기'!$2:$3,2,0)*1.03,0)</f>
        <v>#N/A</v>
      </c>
      <c r="C241" s="164">
        <f>9.16*70%</f>
        <v>6.4119999999999999</v>
      </c>
      <c r="D241" s="166" t="str">
        <f t="shared" si="391"/>
        <v/>
      </c>
      <c r="E241" s="4"/>
      <c r="F241" s="3"/>
      <c r="G241" s="5"/>
      <c r="H241" s="47"/>
      <c r="I241" s="34">
        <f t="shared" si="387"/>
        <v>0</v>
      </c>
      <c r="J241" s="78" t="str">
        <f>IFERROR(VLOOKUP(C241,[2]Sheet1!$D:$J,7,0),"")</f>
        <v/>
      </c>
      <c r="K241" s="80" t="str">
        <f t="shared" si="392"/>
        <v/>
      </c>
      <c r="L241" s="7">
        <f t="shared" si="388"/>
        <v>0</v>
      </c>
      <c r="M241" s="8" t="str">
        <f t="shared" si="389"/>
        <v/>
      </c>
      <c r="N241" s="57" t="str">
        <f t="shared" si="393"/>
        <v/>
      </c>
      <c r="O241" s="9"/>
      <c r="P241" s="10"/>
      <c r="Q241" s="10"/>
      <c r="R241" s="10">
        <f t="shared" si="394"/>
        <v>0</v>
      </c>
      <c r="S241" s="41">
        <f>SUM(Y241,T241:X241)</f>
        <v>0</v>
      </c>
      <c r="Y241" s="1"/>
      <c r="Z241" s="1"/>
      <c r="AA241" s="206" t="str">
        <f>IFERROR(H241*7.5/E241/7,"")</f>
        <v/>
      </c>
    </row>
    <row r="242" spans="1:27" hidden="1" ns3:dyDescent="0.3">
      <c r="A242" s="16"/>
      <c r="B242" s="11"/>
      <c r="C242" s="262" t="s">
        <v>645</v>
      </c>
      <c r="D242" s="166" t="str">
        <f t="shared" ref="D242:D249" si="395">IFERROR((F242/E242),"")</f>
        <v/>
      </c>
      <c r="E242" s="4">
        <v>180</v>
      </c>
      <c r="F242" s="3" t="str">
        <f>IFERROR((L242-K242),"")</f>
        <v/>
      </c>
      <c r="G242" s="5">
        <f>G202</f>
        <v>3.5</v>
      </c>
      <c r="H242" s="6" t="e">
        <f>ROUNDUP(SUMPRODUCT(B243,C243),1)</f>
        <v>#N/A</v>
      </c>
      <c r="I242" s="34">
        <f t="shared" si="387"/>
        <v>0</v>
      </c>
      <c r="J242" s="78" t="str">
        <f>IFERROR(VLOOKUP(C242,[2]Sheet1!$D:$J,7,0),"")</f>
        <v/>
      </c>
      <c r="K242" s="80" t="str">
        <f t="shared" ref="K242:K249" si="396">IFERROR((I242+J242),"")</f>
        <v/>
      </c>
      <c r="L242" s="7" t="str">
        <f t="shared" si="388"/>
        <v/>
      </c>
      <c r="M242" s="8" t="str">
        <f t="shared" si="389"/>
        <v/>
      </c>
      <c r="N242" s="57" t="str">
        <f t="shared" ref="N242:N249" si="397">IFERROR((K242/H242),"")</f>
        <v/>
      </c>
      <c r="O242" s="9"/>
      <c r="P242" s="10"/>
      <c r="Q242" s="10">
        <v>36</v>
      </c>
      <c r="R242" s="10">
        <f t="shared" ref="R242:R249" si="398">O242*P242*Q242</f>
        <v>0</v>
      </c>
      <c r="S242" s="41">
        <f t="shared" ref="S242:S243" si="399">SUM(Y242,T242:X242)</f>
        <v>0</v>
      </c>
      <c r="T242" s="173"/>
      <c r="U242" s="173"/>
      <c r="V242" s="173"/>
      <c r="W242" s="173"/>
      <c r="X242" s="173"/>
      <c r="Y242" s="173"/>
      <c r="Z242" s="1"/>
      <c r="AA242" s="206" t="str">
        <f t="shared" ref="AA242:AA243" si="400">IFERROR(H242*7.5/E242/7,"")</f>
        <v/>
      </c>
    </row>
    <row r="243" spans="1:27" hidden="1" ns3:dyDescent="0.3">
      <c r="A243" s="273" t="s">
        <v>557</v>
      </c>
      <c r="B243" s="11" t="e">
        <f>ROUNDUP(HLOOKUP(A243,'야채 계산기'!$2:$3,2,0),0)</f>
        <v>#N/A</v>
      </c>
      <c r="C243" s="170">
        <v>1</v>
      </c>
      <c r="D243" s="166" t="str">
        <f t="shared" si="395"/>
        <v/>
      </c>
      <c r="E243" s="4"/>
      <c r="F243" s="3"/>
      <c r="G243" s="5"/>
      <c r="H243" s="6"/>
      <c r="I243" s="34">
        <f t="shared" si="387"/>
        <v>0</v>
      </c>
      <c r="J243" s="78" t="str">
        <f>IFERROR(VLOOKUP(C243,[2]Sheet1!$D:$J,7,0),"")</f>
        <v/>
      </c>
      <c r="K243" s="80" t="str">
        <f t="shared" si="396"/>
        <v/>
      </c>
      <c r="L243" s="7">
        <f t="shared" si="388"/>
        <v>0</v>
      </c>
      <c r="M243" s="8" t="str">
        <f t="shared" si="389"/>
        <v/>
      </c>
      <c r="N243" s="57" t="str">
        <f t="shared" si="397"/>
        <v/>
      </c>
      <c r="O243" s="9"/>
      <c r="P243" s="10"/>
      <c r="Q243" s="10"/>
      <c r="R243" s="10">
        <f t="shared" si="398"/>
        <v>0</v>
      </c>
      <c r="S243" s="41">
        <f t="shared" si="399"/>
        <v>0</v>
      </c>
      <c r="Y243" s="1"/>
      <c r="Z243" s="1"/>
      <c r="AA243" s="206" t="str">
        <f t="shared" si="400"/>
        <v/>
      </c>
    </row>
    <row r="244" spans="1:27" hidden="1" ns3:dyDescent="0.3">
      <c r="A244" s="60"/>
      <c r="B244" s="60"/>
      <c r="C244" s="262" t="s">
        <v>537</v>
      </c>
      <c r="D244" s="166" t="str">
        <f t="shared" si="395"/>
        <v/>
      </c>
      <c r="E244" s="4">
        <v>10</v>
      </c>
      <c r="F244" s="3" t="str">
        <f>IFERROR((L244-K244),"")</f>
        <v/>
      </c>
      <c r="G244" s="5">
        <f>G204</f>
        <v>3.5</v>
      </c>
      <c r="H244" s="6" t="e">
        <f>ROUNDUP((B245*C245)/2000,1)</f>
        <v>#N/A</v>
      </c>
      <c r="I244" s="34">
        <f t="shared" ref="I244:I249" si="401">IFERROR((S244*E244),"")</f>
        <v>0</v>
      </c>
      <c r="J244" s="78" t="str">
        <f>IFERROR(VLOOKUP(C244,[2]Sheet1!$D:$J,7,0),"")</f>
        <v/>
      </c>
      <c r="K244" s="80" t="str">
        <f t="shared" si="396"/>
        <v/>
      </c>
      <c r="L244" s="7" t="str">
        <f t="shared" ref="L244:L249" si="402">IFERROR((G244*H244),"")</f>
        <v/>
      </c>
      <c r="M244" s="8" t="str">
        <f t="shared" ref="M244:M249" si="403">IFERROR(K244-L244,"")</f>
        <v/>
      </c>
      <c r="N244" s="57" t="str">
        <f t="shared" si="397"/>
        <v/>
      </c>
      <c r="O244" s="9"/>
      <c r="P244" s="10"/>
      <c r="Q244" s="10">
        <v>9000</v>
      </c>
      <c r="R244" s="10">
        <f t="shared" si="398"/>
        <v>0</v>
      </c>
      <c r="S244" s="41">
        <f t="shared" ref="S244:S249" si="404">SUM(Y244,T244:X244)</f>
        <v>0</v>
      </c>
      <c r="T244" s="173"/>
      <c r="U244" s="173"/>
      <c r="V244" s="193"/>
      <c r="W244" s="173"/>
      <c r="X244" s="173"/>
      <c r="Y244" s="173"/>
      <c r="Z244" s="1"/>
      <c r="AA244" s="206" t="str">
        <f t="shared" ref="AA244:AA249" si="405">IFERROR(H244*7.5/E244/7,"")</f>
        <v/>
      </c>
    </row>
    <row r="245" spans="1:27" hidden="1" ns3:dyDescent="0.3">
      <c r="A245" s="273" t="s">
        <v>531</v>
      </c>
      <c r="B245" s="60" t="e">
        <f>ROUNDUP(HLOOKUP(A245,'야채 계산기'!$2:$3,2,0),0)</f>
        <v>#N/A</v>
      </c>
      <c r="C245" s="62">
        <v>19.77</v>
      </c>
      <c r="D245" s="166" t="str">
        <f t="shared" si="395"/>
        <v/>
      </c>
      <c r="E245" s="4"/>
      <c r="F245" s="3"/>
      <c r="G245" s="5"/>
      <c r="H245" s="47"/>
      <c r="I245" s="34">
        <f t="shared" si="401"/>
        <v>0</v>
      </c>
      <c r="J245" s="78" t="str">
        <f>IFERROR(VLOOKUP(C245,[2]Sheet1!$D:$J,7,0),"")</f>
        <v/>
      </c>
      <c r="K245" s="80" t="str">
        <f t="shared" si="396"/>
        <v/>
      </c>
      <c r="L245" s="7">
        <f t="shared" si="402"/>
        <v>0</v>
      </c>
      <c r="M245" s="8" t="str">
        <f t="shared" si="403"/>
        <v/>
      </c>
      <c r="N245" s="57" t="str">
        <f t="shared" si="397"/>
        <v/>
      </c>
      <c r="O245" s="9"/>
      <c r="P245" s="10"/>
      <c r="Q245" s="10"/>
      <c r="R245" s="10">
        <f t="shared" si="398"/>
        <v>0</v>
      </c>
      <c r="S245" s="41">
        <f t="shared" si="404"/>
        <v>0</v>
      </c>
      <c r="Y245" s="1"/>
      <c r="Z245" s="1"/>
      <c r="AA245" s="206" t="str">
        <f t="shared" si="405"/>
        <v/>
      </c>
    </row>
    <row r="246" spans="1:27" hidden="1" ns3:dyDescent="0.3">
      <c r="A246" s="13"/>
      <c r="B246" s="13"/>
      <c r="C246" s="262" t="s">
        <v>309</v>
      </c>
      <c r="D246" s="166" t="str">
        <f t="shared" si="395"/>
        <v/>
      </c>
      <c r="E246" s="4">
        <v>10</v>
      </c>
      <c r="F246" s="3" t="str">
        <f>IFERROR((L246-K246),"")</f>
        <v/>
      </c>
      <c r="G246" s="5">
        <v>3.5</v>
      </c>
      <c r="H246" s="6" t="e">
        <f>ROUNDUP((B247*C247)/2000,1)</f>
        <v>#N/A</v>
      </c>
      <c r="I246" s="34">
        <f t="shared" si="401"/>
        <v>0</v>
      </c>
      <c r="J246" s="78" t="str">
        <f>IFERROR(VLOOKUP(C246,[2]Sheet1!$D:$J,7,0),"")</f>
        <v/>
      </c>
      <c r="K246" s="80" t="str">
        <f t="shared" si="396"/>
        <v/>
      </c>
      <c r="L246" s="7" t="str">
        <f t="shared" si="402"/>
        <v/>
      </c>
      <c r="M246" s="8" t="str">
        <f t="shared" si="403"/>
        <v/>
      </c>
      <c r="N246" s="57" t="str">
        <f t="shared" si="397"/>
        <v/>
      </c>
      <c r="O246" s="9"/>
      <c r="P246" s="10"/>
      <c r="Q246" s="10"/>
      <c r="R246" s="10">
        <f t="shared" si="398"/>
        <v>0</v>
      </c>
      <c r="S246" s="41">
        <f t="shared" si="404"/>
        <v>0</v>
      </c>
      <c r="T246" s="173"/>
      <c r="U246" s="173"/>
      <c r="V246" s="173"/>
      <c r="W246" s="173"/>
      <c r="X246" s="173"/>
      <c r="Y246" s="173"/>
      <c r="Z246" s="1"/>
      <c r="AA246" s="206" t="str">
        <f t="shared" si="405"/>
        <v/>
      </c>
    </row>
    <row r="247" spans="1:27" hidden="1" ns3:dyDescent="0.3">
      <c r="A247" s="273" t="s">
        <v>308</v>
      </c>
      <c r="B247" s="13" t="e">
        <f>ROUNDUP(HLOOKUP(A247,'야채 계산기'!$2:$3,2,0)*1.03,0)</f>
        <v>#N/A</v>
      </c>
      <c r="C247" s="164">
        <v>6.87</v>
      </c>
      <c r="D247" s="166" t="str">
        <f t="shared" si="395"/>
        <v/>
      </c>
      <c r="E247" s="4"/>
      <c r="F247" s="3"/>
      <c r="G247" s="5"/>
      <c r="H247" s="47"/>
      <c r="I247" s="34">
        <f t="shared" si="401"/>
        <v>0</v>
      </c>
      <c r="J247" s="78" t="str">
        <f>IFERROR(VLOOKUP(C247,[2]Sheet1!$D:$J,7,0),"")</f>
        <v/>
      </c>
      <c r="K247" s="80" t="str">
        <f t="shared" si="396"/>
        <v/>
      </c>
      <c r="L247" s="7">
        <f t="shared" si="402"/>
        <v>0</v>
      </c>
      <c r="M247" s="8" t="str">
        <f t="shared" si="403"/>
        <v/>
      </c>
      <c r="N247" s="57" t="str">
        <f t="shared" si="397"/>
        <v/>
      </c>
      <c r="O247" s="9"/>
      <c r="P247" s="10"/>
      <c r="Q247" s="10"/>
      <c r="R247" s="10">
        <f t="shared" si="398"/>
        <v>0</v>
      </c>
      <c r="S247" s="41">
        <f t="shared" si="404"/>
        <v>0</v>
      </c>
      <c r="Y247" s="1"/>
      <c r="Z247" s="1"/>
      <c r="AA247" s="206" t="str">
        <f t="shared" si="405"/>
        <v/>
      </c>
    </row>
    <row r="248" spans="1:27" hidden="1" ns3:dyDescent="0.3">
      <c r="A248" s="13"/>
      <c r="B248" s="11"/>
      <c r="C248" s="262" t="s">
        <v>307</v>
      </c>
      <c r="D248" s="166" t="str">
        <f t="shared" si="395"/>
        <v/>
      </c>
      <c r="E248" s="4">
        <v>10</v>
      </c>
      <c r="F248" s="3" t="str">
        <f>IFERROR((L248-K248),"")</f>
        <v/>
      </c>
      <c r="G248" s="5">
        <v>3.5</v>
      </c>
      <c r="H248" s="6" t="e">
        <f>ROUNDUP((B249*C249)/2000,1)</f>
        <v>#N/A</v>
      </c>
      <c r="I248" s="34">
        <f t="shared" si="401"/>
        <v>0</v>
      </c>
      <c r="J248" s="78">
        <f>IFERROR(VLOOKUP(C248,[2]Sheet1!$D:$J,7,0),"")</f>
        <v>0</v>
      </c>
      <c r="K248" s="80">
        <f t="shared" si="396"/>
        <v>0</v>
      </c>
      <c r="L248" s="7" t="str">
        <f t="shared" si="402"/>
        <v/>
      </c>
      <c r="M248" s="8" t="str">
        <f t="shared" si="403"/>
        <v/>
      </c>
      <c r="N248" s="57" t="str">
        <f t="shared" si="397"/>
        <v/>
      </c>
      <c r="O248" s="9"/>
      <c r="P248" s="10"/>
      <c r="Q248" s="10"/>
      <c r="R248" s="10">
        <f t="shared" si="398"/>
        <v>0</v>
      </c>
      <c r="S248" s="41">
        <f t="shared" si="404"/>
        <v>0</v>
      </c>
      <c r="T248" s="173"/>
      <c r="U248" s="173"/>
      <c r="V248" s="173"/>
      <c r="W248" s="173"/>
      <c r="X248" s="173"/>
      <c r="Y248" s="173"/>
      <c r="Z248" s="1"/>
      <c r="AA248" s="206" t="str">
        <f t="shared" si="405"/>
        <v/>
      </c>
    </row>
    <row r="249" spans="1:27" hidden="1" ns3:dyDescent="0.3">
      <c r="A249" s="273" t="s">
        <v>308</v>
      </c>
      <c r="B249" s="11" t="e">
        <f>ROUNDUP(HLOOKUP(A249,'야채 계산기'!$2:$3,2,0)*1.03,0)</f>
        <v>#N/A</v>
      </c>
      <c r="C249" s="164">
        <v>15.57</v>
      </c>
      <c r="D249" s="166" t="str">
        <f t="shared" si="395"/>
        <v/>
      </c>
      <c r="E249" s="4"/>
      <c r="F249" s="3"/>
      <c r="G249" s="5"/>
      <c r="H249" s="47"/>
      <c r="I249" s="34">
        <f t="shared" si="401"/>
        <v>0</v>
      </c>
      <c r="J249" s="78" t="str">
        <f>IFERROR(VLOOKUP(C249,[2]Sheet1!$D:$J,7,0),"")</f>
        <v/>
      </c>
      <c r="K249" s="80" t="str">
        <f t="shared" si="396"/>
        <v/>
      </c>
      <c r="L249" s="7">
        <f t="shared" si="402"/>
        <v>0</v>
      </c>
      <c r="M249" s="8" t="str">
        <f t="shared" si="403"/>
        <v/>
      </c>
      <c r="N249" s="57" t="str">
        <f t="shared" si="397"/>
        <v/>
      </c>
      <c r="O249" s="9"/>
      <c r="P249" s="10"/>
      <c r="Q249" s="10"/>
      <c r="R249" s="10">
        <f t="shared" si="398"/>
        <v>0</v>
      </c>
      <c r="S249" s="41">
        <f t="shared" si="404"/>
        <v>0</v>
      </c>
      <c r="Y249" s="1"/>
      <c r="Z249" s="1"/>
      <c r="AA249" s="206" t="str">
        <f t="shared" si="405"/>
        <v/>
      </c>
    </row>
    <row r="250" spans="1:27" ns3:dyDescent="0.3">
      <c r="A250" s="13"/>
      <c r="B250" s="59"/>
      <c r="C250" s="247" t="s">
        <v>913</v>
      </c>
      <c r="D250" s="166">
        <f>IFERROR((F250/E250),"")</f>
        <v>-21</v>
      </c>
      <c r="E250" s="4">
        <v>480</v>
      </c>
      <c r="F250" s="3">
        <f>IFERROR((L250-K250),"")</f>
        <v>-10080</v>
      </c>
      <c r="G250" s="5">
        <v>6</v>
      </c>
      <c r="H250" s="6">
        <f>ROUNDUP((B251*C251)/1,0)</f>
        <v>0</v>
      </c>
      <c r="I250" s="34">
        <f>IFERROR((S250*E250),"")</f>
        <v>6240</v>
      </c>
      <c r="J250" s="78">
        <f>IFERROR(VLOOKUP(C250,[2]Sheet1!$D:$J,7,0),"")</f>
        <v>3840</v>
      </c>
      <c r="K250" s="80">
        <f>IFERROR((I250+J250),"")</f>
        <v>10080</v>
      </c>
      <c r="L250" s="7">
        <f>IFERROR((G250*H250),"")</f>
        <v>0</v>
      </c>
      <c r="M250" s="8">
        <f>IFERROR(K250-L250,"")</f>
        <v>10080</v>
      </c>
      <c r="N250" s="57" t="str">
        <f>IFERROR((K250/H250),"")</f>
        <v/>
      </c>
      <c r="O250" s="9"/>
      <c r="P250" s="10"/>
      <c r="Q250" s="10">
        <v>135</v>
      </c>
      <c r="R250" s="10">
        <f>O250*P250*Q250</f>
        <v>0</v>
      </c>
      <c r="S250" s="41">
        <f t="shared" ref="S250:S251" si="406">SUM(Y250,T250:X250)</f>
        <v>13</v>
      </c>
      <c r="T250" s="173">
        <v>8</v>
      </c>
      <c r="U250" s="173">
        <v>5</v>
      </c>
      <c r="V250" s="173"/>
      <c r="W250" s="173"/>
      <c r="X250" s="173"/>
      <c r="Y250" s="173"/>
      <c r="Z250" s="1"/>
      <c r="AA250" s="206">
        <f t="shared" ref="AA250:AA251" si="407">IFERROR(H250*7.5/E250/7,"")</f>
        <v>0</v>
      </c>
    </row>
    <row r="251" spans="1:27" ns3:dyDescent="0.3">
      <c r="A251" s="248" t="s">
        <v>893</v>
      </c>
      <c r="B251" s="11">
        <f>ROUNDUP(HLOOKUP(A251,'야채 계산기'!$2:$3,2,0)*1.03,0)</f>
        <v>0</v>
      </c>
      <c r="C251" s="164">
        <v>1</v>
      </c>
      <c r="D251" s="166" t="str">
        <f>IFERROR((F251/E251),"")</f>
        <v/>
      </c>
      <c r="E251" s="4"/>
      <c r="F251" s="3"/>
      <c r="G251" s="5"/>
      <c r="H251" s="47"/>
      <c r="I251" s="34">
        <f>IFERROR((S251*E251),"")</f>
        <v>0</v>
      </c>
      <c r="J251" s="78" t="str">
        <f>IFERROR(VLOOKUP(C251,[2]Sheet1!$D:$J,7,0),"")</f>
        <v/>
      </c>
      <c r="K251" s="80" t="str">
        <f>IFERROR((I251+J251),"")</f>
        <v/>
      </c>
      <c r="L251" s="7">
        <f>IFERROR((G251*H251),"")</f>
        <v>0</v>
      </c>
      <c r="M251" s="8" t="str">
        <f>IFERROR(K251-L251,"")</f>
        <v/>
      </c>
      <c r="N251" s="57" t="str">
        <f>IFERROR((K251/H251),"")</f>
        <v/>
      </c>
      <c r="O251" s="9"/>
      <c r="P251" s="10"/>
      <c r="Q251" s="10"/>
      <c r="R251" s="10">
        <f>O251*P251*Q251</f>
        <v>0</v>
      </c>
      <c r="S251" s="41">
        <f t="shared" si="406"/>
        <v>0</v>
      </c>
      <c r="Y251" s="1"/>
      <c r="Z251" s="1"/>
      <c r="AA251" s="206" t="str">
        <f t="shared" si="407"/>
        <v/>
      </c>
    </row>
    <row r="252" spans="1:27" ns3:dyDescent="0.3">
      <c r="A252" s="58"/>
      <c r="B252" s="2"/>
      <c r="C252" s="62"/>
      <c r="D252" s="166" t="str">
        <f t="shared" si="362"/>
        <v/>
      </c>
      <c r="E252" s="4"/>
      <c r="F252" s="3"/>
      <c r="G252" s="5"/>
      <c r="H252" s="6"/>
      <c r="I252" s="34">
        <f t="shared" ref="I252:I267" si="408">IFERROR((S252*E252),"")</f>
        <v>0</v>
      </c>
      <c r="J252" s="78" t="str">
        <f>IFERROR(VLOOKUP(C252,[2]Sheet1!$D:$J,7,0),"")</f>
        <v/>
      </c>
      <c r="K252" s="80" t="str">
        <f t="shared" si="364"/>
        <v/>
      </c>
      <c r="L252" s="7">
        <f t="shared" ref="L252:L260" si="409">IFERROR((G252*H252),"")</f>
        <v>0</v>
      </c>
      <c r="M252" s="8" t="str">
        <f t="shared" ref="M252:M260" si="410">IFERROR(K252-L252,"")</f>
        <v/>
      </c>
      <c r="N252" s="57" t="str">
        <f t="shared" ref="N252" si="411">IFERROR((K252/H252),"")</f>
        <v/>
      </c>
      <c r="O252" s="9"/>
      <c r="P252" s="10"/>
      <c r="Q252" s="10"/>
      <c r="R252" s="10">
        <f t="shared" ref="R252:R253" si="412">O252*P252*Q252</f>
        <v>0</v>
      </c>
      <c r="S252" s="41">
        <f t="shared" si="340"/>
        <v>0</v>
      </c>
      <c r="Y252" s="42"/>
      <c r="Z252" s="1"/>
      <c r="AA252" s="206" t="str">
        <f t="shared" si="347"/>
        <v/>
      </c>
    </row>
    <row r="253" spans="1:27" ns3:dyDescent="0.3">
      <c r="A253" s="58"/>
      <c r="B253" s="2"/>
      <c r="C253" s="164"/>
      <c r="D253" s="166" t="str">
        <f t="shared" si="362"/>
        <v/>
      </c>
      <c r="E253" s="4"/>
      <c r="F253" s="17"/>
      <c r="G253" s="5"/>
      <c r="H253" s="6"/>
      <c r="I253" s="34">
        <f t="shared" si="408"/>
        <v>0</v>
      </c>
      <c r="J253" s="78" t="str">
        <f>IFERROR(VLOOKUP(C253,[2]Sheet1!$D:$J,7,0),"")</f>
        <v/>
      </c>
      <c r="K253" s="80" t="str">
        <f t="shared" si="364"/>
        <v/>
      </c>
      <c r="L253" s="7">
        <f t="shared" si="409"/>
        <v>0</v>
      </c>
      <c r="M253" s="8" t="str">
        <f t="shared" si="410"/>
        <v/>
      </c>
      <c r="N253" s="57"/>
      <c r="O253" s="9"/>
      <c r="P253" s="10"/>
      <c r="Q253" s="10"/>
      <c r="R253" s="10">
        <f t="shared" si="412"/>
        <v>0</v>
      </c>
      <c r="S253" s="41">
        <f t="shared" si="340"/>
        <v>158</v>
      </c>
      <c r="T253" s="18">
        <f>SUM(T143:X232)</f>
        <v>104</v>
      </c>
      <c r="U253" s="18">
        <f>SUM(U143:U250)</f>
        <v>49</v>
      </c>
      <c r="V253" s="18">
        <f>SUM(V143:V232)</f>
        <v>5</v>
      </c>
      <c r="W253" s="18">
        <f>SUM(W145:W232)</f>
        <v>0</v>
      </c>
      <c r="X253" s="18">
        <f>SUM(X143:X232)</f>
        <v>0</v>
      </c>
      <c r="Y253" s="18">
        <f>SUM(Y143:Y232)</f>
        <v>0</v>
      </c>
      <c r="Z253" s="1"/>
      <c r="AA253" s="206" t="str">
        <f t="shared" si="347"/>
        <v/>
      </c>
    </row>
    <row r="254" spans="1:27" ns3:dyDescent="0.3">
      <c r="A254" s="95" t="s">
        <v>511</v>
      </c>
      <c r="B254" s="184" t="s">
        <v>32</v>
      </c>
      <c r="C254" s="196"/>
      <c r="D254" s="166" t="str">
        <f t="shared" ref="D254:D260" si="413">IFERROR((F254/E254),"")</f>
        <v/>
      </c>
      <c r="E254" s="4"/>
      <c r="F254" s="17"/>
      <c r="G254" s="5"/>
      <c r="H254" s="6"/>
      <c r="I254" s="34">
        <f t="shared" si="408"/>
        <v>0</v>
      </c>
      <c r="J254" s="78" t="str">
        <f>IFERROR(VLOOKUP(C254,[2]Sheet1!$D:$J,7,0),"")</f>
        <v/>
      </c>
      <c r="K254" s="80" t="str">
        <f t="shared" ref="K254:K260" si="414">IFERROR((I254+J254),"")</f>
        <v/>
      </c>
      <c r="L254" s="7">
        <f t="shared" si="409"/>
        <v>0</v>
      </c>
      <c r="M254" s="8" t="str">
        <f t="shared" si="410"/>
        <v/>
      </c>
      <c r="N254" s="57" t="str">
        <f>IFERROR((K254/H254),"")</f>
        <v/>
      </c>
      <c r="O254" s="9"/>
      <c r="P254" s="10"/>
      <c r="Q254" s="10"/>
      <c r="R254" s="10">
        <f>O254*P254*Q254</f>
        <v>0</v>
      </c>
      <c r="S254" s="41">
        <f t="shared" si="340"/>
        <v>0</v>
      </c>
      <c r="T254" s="190"/>
      <c r="U254" s="190"/>
      <c r="V254" s="190"/>
      <c r="W254" s="190"/>
      <c r="Y254" s="42"/>
      <c r="Z254" s="1"/>
      <c r="AA254" s="206" t="str">
        <f t="shared" si="347"/>
        <v/>
      </c>
    </row>
    <row r="255" spans="1:27" ns3:dyDescent="0.3">
      <c r="A255" s="59"/>
      <c r="B255" s="11"/>
      <c r="C255" s="62" t="s">
        <v>513</v>
      </c>
      <c r="D255" s="166">
        <f t="shared" si="362"/>
        <v>13.445714285714287</v>
      </c>
      <c r="E255" s="4">
        <v>7</v>
      </c>
      <c r="F255" s="3">
        <f t="shared" ref="F255:F260" si="415">IFERROR((L255-K255),"")</f>
        <v>94.12</v>
      </c>
      <c r="G255" s="5">
        <v>6.5</v>
      </c>
      <c r="H255" s="6">
        <f>ROUNDUP(SUMPRODUCT(B256,C256)/2000,1)*0.9</f>
        <v>42.480000000000004</v>
      </c>
      <c r="I255" s="34">
        <f t="shared" si="408"/>
        <v>84</v>
      </c>
      <c r="J255" s="78">
        <f>IFERROR(VLOOKUP(C255,[2]Sheet1!$D:$J,7,0),"")</f>
        <v>98</v>
      </c>
      <c r="K255" s="80">
        <f>IFERROR((I255+J255),"")</f>
        <v>182</v>
      </c>
      <c r="L255" s="7">
        <f>IFERROR((G255*H255),"")</f>
        <v>276.12</v>
      </c>
      <c r="M255" s="8">
        <f>IFERROR(K255-L255,"")</f>
        <v>-94.12</v>
      </c>
      <c r="N255" s="57">
        <f t="shared" ref="N255:N259" si="416">IFERROR((K255/H255),"")</f>
        <v>4.2843691148775891</v>
      </c>
      <c r="O255" s="9"/>
      <c r="P255" s="10"/>
      <c r="Q255" s="10">
        <v>13500</v>
      </c>
      <c r="R255" s="10">
        <f>O255*P255*Q255</f>
        <v>0</v>
      </c>
      <c r="S255" s="41">
        <f t="shared" si="340"/>
        <v>12</v>
      </c>
      <c r="T255" s="173">
        <v>6</v>
      </c>
      <c r="U255" s="173">
        <v>6</v>
      </c>
      <c r="V255" s="173"/>
      <c r="W255" s="183"/>
      <c r="X255" s="173"/>
      <c r="Y255" s="173"/>
      <c r="Z255" s="1"/>
      <c r="AA255" s="206">
        <f t="shared" si="347"/>
        <v>6.5020408163265317</v>
      </c>
    </row>
    <row r="256" spans="1:27" ns3:dyDescent="0.3">
      <c r="A256" s="60" t="s">
        <v>624</v>
      </c>
      <c r="B256" s="11">
        <f>ROUNDUP(HLOOKUP(A256,'야채 계산기'!$2:$3,2,0)*1.03,0)</f>
        <v>1206</v>
      </c>
      <c r="C256" s="170">
        <v>78.260000000000005</v>
      </c>
      <c r="D256" s="166" t="str">
        <f t="shared" si="362"/>
        <v/>
      </c>
      <c r="E256" s="4"/>
      <c r="F256" s="3" t="str">
        <f t="shared" si="415"/>
        <v/>
      </c>
      <c r="G256" s="5"/>
      <c r="H256" s="6"/>
      <c r="I256" s="34">
        <f t="shared" si="408"/>
        <v>0</v>
      </c>
      <c r="J256" s="78" t="str">
        <f>IFERROR(VLOOKUP(C256,[2]Sheet1!$D:$J,7,0),"")</f>
        <v/>
      </c>
      <c r="K256" s="80" t="str">
        <f>IFERROR((I256+J256),"")</f>
        <v/>
      </c>
      <c r="L256" s="7">
        <f>IFERROR((G256*H256),"")</f>
        <v>0</v>
      </c>
      <c r="M256" s="8" t="str">
        <f>IFERROR(K256-L256,"")</f>
        <v/>
      </c>
      <c r="N256" s="57" t="str">
        <f t="shared" si="416"/>
        <v/>
      </c>
      <c r="O256" s="9"/>
      <c r="P256" s="10"/>
      <c r="Q256" s="10"/>
      <c r="R256" s="10"/>
      <c r="S256" s="41">
        <f t="shared" si="340"/>
        <v>0</v>
      </c>
      <c r="Y256" s="1"/>
      <c r="Z256" s="1"/>
      <c r="AA256" s="206" t="str">
        <f t="shared" si="347"/>
        <v/>
      </c>
    </row>
    <row r="257" spans="1:27" ns3:dyDescent="0.3">
      <c r="A257" s="59"/>
      <c r="B257" s="11"/>
      <c r="C257" s="62" t="s">
        <v>512</v>
      </c>
      <c r="D257" s="166">
        <f t="shared" ref="D257:D258" si="417">IFERROR((F257/E257),"")</f>
        <v>16.121714285714283</v>
      </c>
      <c r="E257" s="4">
        <v>7</v>
      </c>
      <c r="F257" s="3">
        <f t="shared" si="415"/>
        <v>112.85199999999998</v>
      </c>
      <c r="G257" s="5">
        <f>G255</f>
        <v>6.5</v>
      </c>
      <c r="H257" s="6">
        <f>ROUNDUP(SUMPRODUCT(B258:B258,C258:C258)/2000,1)*0.88</f>
        <v>43.207999999999998</v>
      </c>
      <c r="I257" s="34">
        <f t="shared" ref="I257:I258" si="418">IFERROR((S257*E257),"")</f>
        <v>84</v>
      </c>
      <c r="J257" s="78">
        <f>IFERROR(VLOOKUP(C257,[2]Sheet1!$D:$J,7,0),"")</f>
        <v>84</v>
      </c>
      <c r="K257" s="80">
        <f t="shared" ref="K257:K258" si="419">IFERROR((I257+J257),"")</f>
        <v>168</v>
      </c>
      <c r="L257" s="7">
        <f t="shared" ref="L257:L258" si="420">IFERROR((G257*H257),"")</f>
        <v>280.85199999999998</v>
      </c>
      <c r="M257" s="8">
        <f t="shared" ref="M257:M258" si="421">IFERROR(K257-L257,"")</f>
        <v>-112.85199999999998</v>
      </c>
      <c r="N257" s="57">
        <f t="shared" ref="N257" si="422">IFERROR((K257/H257),"")</f>
        <v>3.8881688576189597</v>
      </c>
      <c r="O257" s="9"/>
      <c r="P257" s="10"/>
      <c r="Q257" s="10">
        <v>13500</v>
      </c>
      <c r="R257" s="10">
        <f>O257*P257*Q257</f>
        <v>0</v>
      </c>
      <c r="S257" s="41">
        <f t="shared" ref="S257:S258" si="423">SUM(Y257,T257:X257)</f>
        <v>12</v>
      </c>
      <c r="T257" s="173">
        <v>6</v>
      </c>
      <c r="U257" s="173">
        <v>6</v>
      </c>
      <c r="V257" s="173"/>
      <c r="W257" s="183"/>
      <c r="X257" s="173"/>
      <c r="Y257" s="173"/>
      <c r="Z257" s="1"/>
      <c r="AA257" s="206">
        <f t="shared" ref="AA257:AA258" si="424">IFERROR(H257*7.5/E257/7,"")</f>
        <v>6.6134693877551021</v>
      </c>
    </row>
    <row r="258" spans="1:27" ns3:dyDescent="0.3">
      <c r="A258" s="60" t="s">
        <v>624</v>
      </c>
      <c r="B258" s="11">
        <f>ROUNDUP(HLOOKUP(A258,'야채 계산기'!$2:$3,2,0)*1.03,0)</f>
        <v>1206</v>
      </c>
      <c r="C258" s="62">
        <f>'[1]NEW혜자)반반제육(26.08.13)'!$B$9</f>
        <v>81.34</v>
      </c>
      <c r="D258" s="166" t="str">
        <f t="shared" si="417"/>
        <v/>
      </c>
      <c r="E258" s="4"/>
      <c r="F258" s="3" t="str">
        <f t="shared" si="415"/>
        <v/>
      </c>
      <c r="G258" s="5"/>
      <c r="H258" s="6"/>
      <c r="I258" s="34">
        <f t="shared" si="418"/>
        <v>0</v>
      </c>
      <c r="J258" s="78" t="str">
        <f>IFERROR(VLOOKUP(C258,[2]Sheet1!$D:$J,7,0),"")</f>
        <v/>
      </c>
      <c r="K258" s="80" t="str">
        <f t="shared" si="419"/>
        <v/>
      </c>
      <c r="L258" s="7">
        <f t="shared" si="420"/>
        <v>0</v>
      </c>
      <c r="M258" s="8" t="str">
        <f t="shared" si="421"/>
        <v/>
      </c>
      <c r="N258" s="57"/>
      <c r="O258" s="9"/>
      <c r="P258" s="10"/>
      <c r="Q258" s="10"/>
      <c r="R258" s="10"/>
      <c r="S258" s="41">
        <f t="shared" si="423"/>
        <v>0</v>
      </c>
      <c r="Y258" s="1"/>
      <c r="Z258" s="1"/>
      <c r="AA258" s="206" t="str">
        <f t="shared" si="424"/>
        <v/>
      </c>
    </row>
    <row r="259" spans="1:27" ns3:dyDescent="0.3">
      <c r="A259" s="59"/>
      <c r="B259" s="11"/>
      <c r="C259" s="62" t="s">
        <v>723</v>
      </c>
      <c r="D259" s="166">
        <f t="shared" si="362"/>
        <v>-1.1999999999999968</v>
      </c>
      <c r="E259" s="4">
        <v>7</v>
      </c>
      <c r="F259" s="3">
        <f t="shared" si="415"/>
        <v>-8.3999999999999773</v>
      </c>
      <c r="G259" s="5">
        <f>G255</f>
        <v>6.5</v>
      </c>
      <c r="H259" s="6">
        <f>ROUNDUP(SUMPRODUCT(B260:B260,C260:C260)/2000,1)</f>
        <v>22.400000000000002</v>
      </c>
      <c r="I259" s="34">
        <f t="shared" si="408"/>
        <v>56</v>
      </c>
      <c r="J259" s="78">
        <f>IFERROR(VLOOKUP(C259,[2]Sheet1!$D:$J,7,0),"")</f>
        <v>98</v>
      </c>
      <c r="K259" s="80">
        <f t="shared" si="414"/>
        <v>154</v>
      </c>
      <c r="L259" s="7">
        <f t="shared" si="409"/>
        <v>145.60000000000002</v>
      </c>
      <c r="M259" s="8">
        <f t="shared" si="410"/>
        <v>8.3999999999999773</v>
      </c>
      <c r="N259" s="57">
        <f t="shared" si="416"/>
        <v>6.8749999999999991</v>
      </c>
      <c r="O259" s="9"/>
      <c r="P259" s="10"/>
      <c r="Q259" s="10">
        <v>13200</v>
      </c>
      <c r="R259" s="10">
        <f>O259*P259*Q259</f>
        <v>0</v>
      </c>
      <c r="S259" s="41">
        <f t="shared" si="340"/>
        <v>8</v>
      </c>
      <c r="T259" s="173">
        <v>4</v>
      </c>
      <c r="U259" s="173">
        <v>4</v>
      </c>
      <c r="V259" s="173"/>
      <c r="W259" s="183"/>
      <c r="X259" s="173"/>
      <c r="Y259" s="173"/>
      <c r="Z259" s="1"/>
      <c r="AA259" s="206">
        <f t="shared" si="347"/>
        <v>3.4285714285714293</v>
      </c>
    </row>
    <row r="260" spans="1:27" ns3:dyDescent="0.3">
      <c r="A260" s="273" t="s">
        <v>819</v>
      </c>
      <c r="B260" s="11">
        <f>ROUNDUP(HLOOKUP(A260,'야채 계산기'!$2:$3,2,0)*1.03,0)</f>
        <v>1679</v>
      </c>
      <c r="C260" s="62">
        <v>26.66</v>
      </c>
      <c r="D260" s="166" t="str">
        <f t="shared" si="413"/>
        <v/>
      </c>
      <c r="E260" s="4"/>
      <c r="F260" s="3" t="str">
        <f t="shared" si="415"/>
        <v/>
      </c>
      <c r="G260" s="5"/>
      <c r="H260" s="6"/>
      <c r="I260" s="34">
        <f t="shared" si="408"/>
        <v>0</v>
      </c>
      <c r="J260" s="78" t="str">
        <f>IFERROR(VLOOKUP(C260,[2]Sheet1!$D:$J,7,0),"")</f>
        <v/>
      </c>
      <c r="K260" s="80" t="str">
        <f t="shared" si="414"/>
        <v/>
      </c>
      <c r="L260" s="7">
        <f t="shared" si="409"/>
        <v>0</v>
      </c>
      <c r="M260" s="8" t="str">
        <f t="shared" si="410"/>
        <v/>
      </c>
      <c r="N260" s="57"/>
      <c r="O260" s="9"/>
      <c r="P260" s="10"/>
      <c r="Q260" s="10"/>
      <c r="R260" s="10"/>
      <c r="S260" s="41">
        <f t="shared" si="340"/>
        <v>0</v>
      </c>
      <c r="Y260" s="1"/>
      <c r="Z260" s="1"/>
      <c r="AA260" s="206" t="str">
        <f t="shared" si="347"/>
        <v/>
      </c>
    </row>
    <row r="261" spans="1:27" ns3:dyDescent="0.3">
      <c r="A261" s="172"/>
      <c r="B261" s="11"/>
      <c r="C261" s="62"/>
      <c r="D261" s="166"/>
      <c r="E261" s="4"/>
      <c r="F261" s="3"/>
      <c r="G261" s="5"/>
      <c r="H261" s="6"/>
      <c r="I261" s="34">
        <f t="shared" si="408"/>
        <v>0</v>
      </c>
      <c r="J261" s="78" t="str">
        <f>IFERROR(VLOOKUP(C261,[2]Sheet1!$D:$J,7,0),"")</f>
        <v/>
      </c>
      <c r="K261" s="80"/>
      <c r="L261" s="7"/>
      <c r="M261" s="8"/>
      <c r="N261" s="57"/>
      <c r="O261" s="9"/>
      <c r="P261" s="10"/>
      <c r="Q261" s="10"/>
      <c r="R261" s="10"/>
      <c r="Y261" s="1"/>
      <c r="Z261" s="1"/>
      <c r="AA261" s="206"/>
    </row>
    <row r="262" spans="1:27" ns3:dyDescent="0.3">
      <c r="A262" s="95" t="s">
        <v>752</v>
      </c>
      <c r="B262" s="302" t="s">
        <v>751</v>
      </c>
      <c r="C262" s="152"/>
      <c r="D262" s="166" t="str">
        <f t="shared" ref="D262" si="425">IFERROR((F262/E262),"")</f>
        <v/>
      </c>
      <c r="E262" s="4"/>
      <c r="F262" s="3"/>
      <c r="G262" s="5"/>
      <c r="H262" s="6"/>
      <c r="I262" s="34">
        <f>IFERROR((S262*E262),"")</f>
        <v>0</v>
      </c>
      <c r="J262" s="78" t="str">
        <f>IFERROR(VLOOKUP(C262,[2]Sheet1!$D:$J,7,0),"")</f>
        <v/>
      </c>
      <c r="K262" s="80" t="str">
        <f>IFERROR((I262+J262),"")</f>
        <v/>
      </c>
      <c r="L262" s="7">
        <f>IFERROR((G262*H262),"")</f>
        <v>0</v>
      </c>
      <c r="M262" s="8" t="str">
        <f>IFERROR(K262-L262,"")</f>
        <v/>
      </c>
      <c r="N262" s="57" t="str">
        <f t="shared" ref="N262" si="426">IFERROR((K262/H262),"")</f>
        <v/>
      </c>
      <c r="O262" s="9"/>
      <c r="P262" s="10"/>
      <c r="Q262" s="10"/>
      <c r="R262" s="10">
        <f t="shared" ref="R262" si="427">O262*P262*Q262</f>
        <v>0</v>
      </c>
      <c r="S262" s="41">
        <f>SUM(Y262,T262:X262)</f>
        <v>0</v>
      </c>
      <c r="U262" s="190"/>
      <c r="W262" s="190"/>
      <c r="Y262" s="190"/>
      <c r="Z262" s="1"/>
      <c r="AA262" s="206" t="str">
        <f>IFERROR(H262*7.5/E262/7,"")</f>
        <v/>
      </c>
    </row>
    <row r="263" spans="1:27" ns3:dyDescent="0.3">
      <c r="A263" s="60"/>
      <c r="B263" s="59"/>
      <c r="C263" s="62" t="s">
        <v>769</v>
      </c>
      <c r="D263" s="166">
        <f>IFERROR((F263/E263),"")</f>
        <v>-0.13333333333333316</v>
      </c>
      <c r="E263" s="4">
        <v>6</v>
      </c>
      <c r="F263" s="3">
        <f>IFERROR((L263-K263),"")</f>
        <v>-0.79999999999999893</v>
      </c>
      <c r="G263" s="5">
        <v>3.5</v>
      </c>
      <c r="H263" s="6">
        <f>ROUNDUP(SUMPRODUCT(B264:B264,C264:C264)/2000,1)</f>
        <v>3.2</v>
      </c>
      <c r="I263" s="34">
        <f>IFERROR((S263*E263),"")</f>
        <v>12</v>
      </c>
      <c r="J263" s="78">
        <f>IFERROR(VLOOKUP(C263,[2]Sheet1!$D:$J,7,0),"")</f>
        <v>0</v>
      </c>
      <c r="K263" s="80">
        <f>IFERROR((I263+J263),"")</f>
        <v>12</v>
      </c>
      <c r="L263" s="7">
        <f>IFERROR((G263*H263),"")</f>
        <v>11.200000000000001</v>
      </c>
      <c r="M263" s="8">
        <f>IFERROR(K263-L263,"")</f>
        <v>0.79999999999999893</v>
      </c>
      <c r="N263" s="57">
        <f>IFERROR((K263/H263),"")</f>
        <v>3.75</v>
      </c>
      <c r="O263" s="9"/>
      <c r="P263" s="10">
        <v>12</v>
      </c>
      <c r="Q263" s="10">
        <v>4375</v>
      </c>
      <c r="R263" s="10">
        <f>O263*P263*Q263</f>
        <v>0</v>
      </c>
      <c r="S263" s="41">
        <f>SUM(Y263,T263:X263)</f>
        <v>2</v>
      </c>
      <c r="T263" s="173">
        <v>2</v>
      </c>
      <c r="U263" s="173"/>
      <c r="V263" s="173"/>
      <c r="W263" s="193"/>
      <c r="X263" s="173"/>
      <c r="Y263" s="193"/>
      <c r="Z263" s="1"/>
      <c r="AA263" s="206">
        <f>IFERROR(H263*7.5/E263/7,"")</f>
        <v>0.5714285714285714</v>
      </c>
    </row>
    <row r="264" spans="1:27" ns3:dyDescent="0.3">
      <c r="A264" s="60" t="s">
        <v>727</v>
      </c>
      <c r="B264" s="11">
        <f>ROUNDUP(HLOOKUP(A264,'야채 계산기'!$2:$3,2,0)*1.03,0)</f>
        <v>2081</v>
      </c>
      <c r="C264" s="62">
        <v>3.07</v>
      </c>
      <c r="D264" s="166"/>
      <c r="E264" s="4"/>
      <c r="F264" s="3"/>
      <c r="G264" s="5"/>
      <c r="H264" s="6"/>
      <c r="I264" s="34">
        <f>IFERROR((S264*E264),"")</f>
        <v>0</v>
      </c>
      <c r="J264" s="78" t="str">
        <f>IFERROR(VLOOKUP(C264,[2]Sheet1!$D:$J,7,0),"")</f>
        <v/>
      </c>
      <c r="K264" s="80" t="str">
        <f>IFERROR((I264+J264),"")</f>
        <v/>
      </c>
      <c r="L264" s="7">
        <f>IFERROR((G264*H264),"")</f>
        <v>0</v>
      </c>
      <c r="M264" s="8" t="str">
        <f>IFERROR(K264-L264,"")</f>
        <v/>
      </c>
      <c r="N264" s="57"/>
      <c r="O264" s="9"/>
      <c r="P264" s="10"/>
      <c r="Q264" s="10"/>
      <c r="R264" s="10"/>
      <c r="S264" s="41">
        <f>SUM(Y264,T264:X264)</f>
        <v>0</v>
      </c>
      <c r="U264" s="190"/>
      <c r="W264" s="190"/>
      <c r="Y264" s="190"/>
      <c r="Z264" s="1"/>
      <c r="AA264" s="206" t="str">
        <f>IFERROR(H264*7.5/E264/7,"")</f>
        <v/>
      </c>
    </row>
    <row r="265" spans="1:27" ns3:dyDescent="0.3">
      <c r="A265" s="60"/>
      <c r="B265" s="11"/>
      <c r="C265" s="62"/>
      <c r="D265" s="166"/>
      <c r="E265" s="4"/>
      <c r="F265" s="3"/>
      <c r="G265" s="5"/>
      <c r="H265" s="6"/>
      <c r="I265" s="34"/>
      <c r="J265" s="78" t="str">
        <f>IFERROR(VLOOKUP(C265,[2]Sheet1!$D:$J,7,0),"")</f>
        <v/>
      </c>
      <c r="K265" s="80"/>
      <c r="L265" s="7"/>
      <c r="M265" s="8"/>
      <c r="N265" s="57"/>
      <c r="O265" s="9"/>
      <c r="P265" s="10"/>
      <c r="Q265" s="10"/>
      <c r="R265" s="10"/>
      <c r="U265" s="190"/>
      <c r="W265" s="190"/>
      <c r="Y265" s="190"/>
      <c r="Z265" s="1"/>
      <c r="AA265" s="206"/>
    </row>
    <row r="266" spans="1:27" ns3:dyDescent="0.3">
      <c r="A266" s="60"/>
      <c r="B266" s="11"/>
      <c r="C266" s="62"/>
      <c r="D266" s="166"/>
      <c r="E266" s="4"/>
      <c r="F266" s="3"/>
      <c r="G266" s="5"/>
      <c r="H266" s="6"/>
      <c r="I266" s="34"/>
      <c r="J266" s="78" t="str">
        <f>IFERROR(VLOOKUP(C266,[2]Sheet1!$D:$J,7,0),"")</f>
        <v/>
      </c>
      <c r="K266" s="80"/>
      <c r="L266" s="7"/>
      <c r="M266" s="8"/>
      <c r="N266" s="57"/>
      <c r="O266" s="9"/>
      <c r="P266" s="10"/>
      <c r="Q266" s="10"/>
      <c r="R266" s="10"/>
      <c r="U266" s="190"/>
      <c r="W266" s="190"/>
      <c r="Y266" s="190"/>
      <c r="Z266" s="1"/>
      <c r="AA266" s="206"/>
    </row>
    <row r="267" spans="1:27" hidden="1" ns3:dyDescent="0.3">
      <c r="A267" s="213" t="s">
        <v>110</v>
      </c>
      <c r="B267" s="2" t="s">
        <v>213</v>
      </c>
      <c r="C267" s="152"/>
      <c r="D267" s="166" t="str">
        <f t="shared" ref="D267:D272" si="428">IFERROR((F267/E267),"")</f>
        <v/>
      </c>
      <c r="E267" s="4"/>
      <c r="F267" s="3"/>
      <c r="G267" s="5"/>
      <c r="H267" s="6"/>
      <c r="I267" s="34">
        <f t="shared" si="408"/>
        <v>0</v>
      </c>
      <c r="J267" s="78" t="str">
        <f>IFERROR(VLOOKUP(C267,[2]Sheet1!$D:$J,7,0),"")</f>
        <v/>
      </c>
      <c r="K267" s="80" t="str">
        <f t="shared" ref="K267:K272" si="429">IFERROR((I267+J267),"")</f>
        <v/>
      </c>
      <c r="L267" s="7">
        <f t="shared" ref="L267:L268" si="430">IFERROR((G267*H267),"")</f>
        <v>0</v>
      </c>
      <c r="M267" s="8" t="str">
        <f t="shared" ref="M267:M268" si="431">IFERROR(K267-L267,"")</f>
        <v/>
      </c>
      <c r="N267" s="57" t="str">
        <f t="shared" ref="N267:N272" si="432">IFERROR((K267/H267),"")</f>
        <v/>
      </c>
      <c r="O267" s="9"/>
      <c r="P267" s="10"/>
      <c r="Q267" s="10"/>
      <c r="R267" s="10">
        <f>O267*P267*Q267</f>
        <v>0</v>
      </c>
      <c r="S267" s="41">
        <f t="shared" ref="S267:S314" si="433">SUM(Y267,T267:X267)</f>
        <v>0</v>
      </c>
      <c r="Y267" s="42"/>
      <c r="Z267" s="1"/>
      <c r="AA267" s="206" t="str">
        <f t="shared" ref="AA267:AA350" si="434">IFERROR(H267*7.5/E267/7,"")</f>
        <v/>
      </c>
    </row>
    <row r="268" spans="1:27" hidden="1" ns3:dyDescent="0.3">
      <c r="A268" s="11"/>
      <c r="B268" s="11"/>
      <c r="C268" s="164" t="s">
        <v>111</v>
      </c>
      <c r="D268" s="166">
        <f t="shared" si="428"/>
        <v>0.22750000000000001</v>
      </c>
      <c r="E268" s="4">
        <v>4</v>
      </c>
      <c r="F268" s="3">
        <f>IFERROR((L268-K268),"")</f>
        <v>0.91</v>
      </c>
      <c r="G268" s="5">
        <v>7</v>
      </c>
      <c r="H268" s="6">
        <f>ROUNDUP((SUMPRODUCT(B269:B271,C269:C271))/5000,2)</f>
        <v>0.13</v>
      </c>
      <c r="I268" s="34">
        <f t="shared" ref="I268" si="435">IFERROR((S268*E268),"")</f>
        <v>0</v>
      </c>
      <c r="J268" s="78">
        <f>IFERROR(VLOOKUP(C268,[2]Sheet1!$D:$J,7,0),"")</f>
        <v>0</v>
      </c>
      <c r="K268" s="80">
        <f t="shared" si="429"/>
        <v>0</v>
      </c>
      <c r="L268" s="7">
        <f t="shared" si="430"/>
        <v>0.91</v>
      </c>
      <c r="M268" s="8">
        <f t="shared" si="431"/>
        <v>-0.91</v>
      </c>
      <c r="N268" s="57">
        <f t="shared" si="432"/>
        <v>0</v>
      </c>
      <c r="O268" s="9"/>
      <c r="P268" s="10">
        <v>4</v>
      </c>
      <c r="Q268" s="10">
        <v>125000</v>
      </c>
      <c r="R268" s="10">
        <f>O268*P268*Q268</f>
        <v>0</v>
      </c>
      <c r="S268" s="41">
        <f t="shared" si="433"/>
        <v>0</v>
      </c>
      <c r="T268" s="173"/>
      <c r="U268" s="173"/>
      <c r="V268" s="173"/>
      <c r="W268" s="173"/>
      <c r="X268" s="173"/>
      <c r="Y268" s="173"/>
      <c r="Z268" s="1"/>
      <c r="AA268" s="206">
        <f t="shared" si="434"/>
        <v>3.4821428571428573E-2</v>
      </c>
    </row>
    <row r="269" spans="1:27" hidden="1" ns3:dyDescent="0.3">
      <c r="A269" s="13" t="s">
        <v>325</v>
      </c>
      <c r="B269" s="11">
        <f>ROUNDUP(HLOOKUP(A269,'야채 계산기'!$2:$3,2,0),0)</f>
        <v>1190</v>
      </c>
      <c r="C269" s="164">
        <v>0.31</v>
      </c>
      <c r="D269" s="166" t="str">
        <f t="shared" si="428"/>
        <v/>
      </c>
      <c r="E269" s="4"/>
      <c r="F269" s="3"/>
      <c r="G269" s="14"/>
      <c r="H269" s="6"/>
      <c r="I269" s="34">
        <f t="shared" ref="I269:I271" si="436">IFERROR((S269*E269),"")</f>
        <v>0</v>
      </c>
      <c r="J269" s="78" t="str">
        <f>IFERROR(VLOOKUP(C269,[2]Sheet1!$D:$J,7,0),"")</f>
        <v/>
      </c>
      <c r="K269" s="80" t="str">
        <f t="shared" si="429"/>
        <v/>
      </c>
      <c r="L269" s="7">
        <f t="shared" ref="L269:L271" si="437">IFERROR((G269*H269),"")</f>
        <v>0</v>
      </c>
      <c r="M269" s="8" t="str">
        <f t="shared" ref="M269:M271" si="438">IFERROR(K269-L269,"")</f>
        <v/>
      </c>
      <c r="N269" s="57" t="str">
        <f t="shared" si="432"/>
        <v/>
      </c>
      <c r="O269" s="9"/>
      <c r="P269" s="10"/>
      <c r="Q269" s="10"/>
      <c r="R269" s="10"/>
      <c r="S269" s="41">
        <f t="shared" si="433"/>
        <v>0</v>
      </c>
      <c r="Y269" s="1"/>
      <c r="Z269" s="1"/>
      <c r="AA269" s="206" t="str">
        <f t="shared" si="434"/>
        <v/>
      </c>
    </row>
    <row r="270" spans="1:27" hidden="1" ns3:dyDescent="0.3">
      <c r="A270" s="11" t="s">
        <v>189</v>
      </c>
      <c r="B270" s="11">
        <f>ROUNDUP(HLOOKUP(A270,'야채 계산기'!$2:$3,2,0),0)</f>
        <v>140</v>
      </c>
      <c r="C270" s="164">
        <v>0.18</v>
      </c>
      <c r="D270" s="166" t="str">
        <f t="shared" si="428"/>
        <v/>
      </c>
      <c r="E270" s="4"/>
      <c r="F270" s="3"/>
      <c r="G270" s="14"/>
      <c r="H270" s="6"/>
      <c r="I270" s="34">
        <f t="shared" si="436"/>
        <v>0</v>
      </c>
      <c r="J270" s="78" t="str">
        <f>IFERROR(VLOOKUP(C270,[2]Sheet1!$D:$J,7,0),"")</f>
        <v/>
      </c>
      <c r="K270" s="80" t="str">
        <f t="shared" si="429"/>
        <v/>
      </c>
      <c r="L270" s="7">
        <f t="shared" si="437"/>
        <v>0</v>
      </c>
      <c r="M270" s="8" t="str">
        <f t="shared" si="438"/>
        <v/>
      </c>
      <c r="N270" s="57" t="str">
        <f t="shared" si="432"/>
        <v/>
      </c>
      <c r="O270" s="9"/>
      <c r="P270" s="10"/>
      <c r="Q270" s="10"/>
      <c r="R270" s="10"/>
      <c r="S270" s="41">
        <f t="shared" si="433"/>
        <v>0</v>
      </c>
      <c r="Y270" s="1"/>
      <c r="Z270" s="1"/>
      <c r="AA270" s="206" t="str">
        <f t="shared" si="434"/>
        <v/>
      </c>
    </row>
    <row r="271" spans="1:27" hidden="1" ns3:dyDescent="0.3">
      <c r="A271" s="11" t="s">
        <v>269</v>
      </c>
      <c r="B271" s="11">
        <f>ROUNDUP(HLOOKUP(A271,'야채 계산기'!$2:$3,2,0),0)</f>
        <v>1050</v>
      </c>
      <c r="C271" s="164">
        <v>0.21</v>
      </c>
      <c r="D271" s="166" t="str">
        <f t="shared" si="428"/>
        <v/>
      </c>
      <c r="E271" s="4"/>
      <c r="F271" s="3"/>
      <c r="G271" s="14"/>
      <c r="H271" s="6"/>
      <c r="I271" s="34">
        <f t="shared" si="436"/>
        <v>0</v>
      </c>
      <c r="J271" s="78" t="str">
        <f>IFERROR(VLOOKUP(C271,[2]Sheet1!$D:$J,7,0),"")</f>
        <v/>
      </c>
      <c r="K271" s="80" t="str">
        <f t="shared" si="429"/>
        <v/>
      </c>
      <c r="L271" s="7">
        <f t="shared" si="437"/>
        <v>0</v>
      </c>
      <c r="M271" s="8" t="str">
        <f t="shared" si="438"/>
        <v/>
      </c>
      <c r="N271" s="57" t="str">
        <f t="shared" si="432"/>
        <v/>
      </c>
      <c r="O271" s="9"/>
      <c r="P271" s="10"/>
      <c r="Q271" s="10"/>
      <c r="R271" s="10"/>
      <c r="S271" s="41">
        <f t="shared" si="433"/>
        <v>0</v>
      </c>
      <c r="Y271" s="1"/>
      <c r="Z271" s="1"/>
      <c r="AA271" s="206" t="str">
        <f t="shared" si="434"/>
        <v/>
      </c>
    </row>
    <row r="272" spans="1:27" ht="15.75" hidden="1" customHeight="1" ns3:dyDescent="0.3">
      <c r="A272" s="11"/>
      <c r="B272" s="11"/>
      <c r="C272" s="164" t="s">
        <v>59</v>
      </c>
      <c r="D272" s="166">
        <f t="shared" si="428"/>
        <v>0.63</v>
      </c>
      <c r="E272" s="4">
        <v>4</v>
      </c>
      <c r="F272" s="3">
        <f>IFERROR((L272-K272),"")</f>
        <v>2.52</v>
      </c>
      <c r="G272" s="5">
        <f>G268</f>
        <v>7</v>
      </c>
      <c r="H272" s="6">
        <f>ROUNDUP((SUMPRODUCT(B273:B276,C273:C276))/5000,2)</f>
        <v>0.36</v>
      </c>
      <c r="I272" s="34">
        <f t="shared" ref="I272:I281" si="439">IFERROR((S272*E272),"")</f>
        <v>0</v>
      </c>
      <c r="J272" s="78">
        <f>IFERROR(VLOOKUP(C272,[2]Sheet1!$D:$J,7,0),"")</f>
        <v>0</v>
      </c>
      <c r="K272" s="80">
        <f t="shared" si="429"/>
        <v>0</v>
      </c>
      <c r="L272" s="7">
        <f t="shared" ref="L272:L281" si="440">IFERROR((G272*H272),"")</f>
        <v>2.52</v>
      </c>
      <c r="M272" s="8">
        <f t="shared" ref="M272:M281" si="441">IFERROR(K272-L272,"")</f>
        <v>-2.52</v>
      </c>
      <c r="N272" s="57">
        <f t="shared" si="432"/>
        <v>0</v>
      </c>
      <c r="O272" s="9"/>
      <c r="P272" s="10"/>
      <c r="Q272" s="10">
        <v>150000</v>
      </c>
      <c r="R272" s="10"/>
      <c r="S272" s="41">
        <f t="shared" si="433"/>
        <v>0</v>
      </c>
      <c r="T272" s="173"/>
      <c r="U272" s="173"/>
      <c r="V272" s="173"/>
      <c r="W272" s="173"/>
      <c r="X272" s="173"/>
      <c r="Y272" s="173"/>
      <c r="Z272" s="1"/>
      <c r="AA272" s="206">
        <f t="shared" si="434"/>
        <v>9.6428571428571419E-2</v>
      </c>
    </row>
    <row r="273" spans="1:27" hidden="1" ns3:dyDescent="0.3">
      <c r="A273" s="11" t="s">
        <v>303</v>
      </c>
      <c r="B273" s="11">
        <f>ROUNDUP(HLOOKUP(A273,'야채 계산기'!$2:$3,2,0)*1.03,0)</f>
        <v>3729</v>
      </c>
      <c r="C273" s="62">
        <v>0.06</v>
      </c>
      <c r="D273" s="166" t="str">
        <f t="shared" ref="D273:D276" si="442">IFERROR((F273/E273),"")</f>
        <v/>
      </c>
      <c r="E273" s="4"/>
      <c r="F273" s="3"/>
      <c r="G273" s="5"/>
      <c r="H273" s="6"/>
      <c r="I273" s="34">
        <f t="shared" si="439"/>
        <v>0</v>
      </c>
      <c r="J273" s="78" t="str">
        <f>IFERROR(VLOOKUP(C273,[2]Sheet1!$D:$J,7,0),"")</f>
        <v/>
      </c>
      <c r="K273" s="80" t="str">
        <f t="shared" ref="K273:K276" si="443">IFERROR((I273+J273),"")</f>
        <v/>
      </c>
      <c r="L273" s="7">
        <f t="shared" si="440"/>
        <v>0</v>
      </c>
      <c r="M273" s="8" t="str">
        <f t="shared" si="441"/>
        <v/>
      </c>
      <c r="N273" s="57" t="str">
        <f t="shared" ref="N273:N276" si="444">IFERROR((K273/H273),"")</f>
        <v/>
      </c>
      <c r="O273" s="9"/>
      <c r="P273" s="10"/>
      <c r="Q273" s="10"/>
      <c r="R273" s="10"/>
      <c r="S273" s="41">
        <f t="shared" si="433"/>
        <v>0</v>
      </c>
      <c r="Y273" s="42"/>
      <c r="Z273" s="1"/>
      <c r="AA273" s="206" t="str">
        <f t="shared" si="434"/>
        <v/>
      </c>
    </row>
    <row r="274" spans="1:27" hidden="1" ns3:dyDescent="0.3">
      <c r="A274" s="11" t="s">
        <v>491</v>
      </c>
      <c r="B274" s="11">
        <f>ROUNDUP(HLOOKUP(A274,'야채 계산기'!$2:$3,2,0)*1.03,0)</f>
        <v>4553</v>
      </c>
      <c r="C274" s="62">
        <v>0.25</v>
      </c>
      <c r="D274" s="166" t="str">
        <f t="shared" si="442"/>
        <v/>
      </c>
      <c r="E274" s="4"/>
      <c r="F274" s="3"/>
      <c r="G274" s="5"/>
      <c r="H274" s="6"/>
      <c r="I274" s="34">
        <f t="shared" si="439"/>
        <v>0</v>
      </c>
      <c r="J274" s="78" t="str">
        <f>IFERROR(VLOOKUP(C274,[2]Sheet1!$D:$J,7,0),"")</f>
        <v/>
      </c>
      <c r="K274" s="80" t="str">
        <f t="shared" si="443"/>
        <v/>
      </c>
      <c r="L274" s="7">
        <f t="shared" si="440"/>
        <v>0</v>
      </c>
      <c r="M274" s="8" t="str">
        <f t="shared" si="441"/>
        <v/>
      </c>
      <c r="N274" s="57" t="str">
        <f t="shared" si="444"/>
        <v/>
      </c>
      <c r="O274" s="9"/>
      <c r="P274" s="10"/>
      <c r="Q274" s="10"/>
      <c r="R274" s="10"/>
      <c r="S274" s="41">
        <f t="shared" si="433"/>
        <v>0</v>
      </c>
      <c r="W274" s="190"/>
      <c r="Y274" s="42"/>
      <c r="Z274" s="1"/>
      <c r="AA274" s="206" t="str">
        <f t="shared" si="434"/>
        <v/>
      </c>
    </row>
    <row r="275" spans="1:27" hidden="1" ns3:dyDescent="0.3">
      <c r="A275" s="11" t="s">
        <v>268</v>
      </c>
      <c r="B275" s="11">
        <f>ROUNDUP(HLOOKUP(A275,'야채 계산기'!$2:$3,2,0)*1.03,0)</f>
        <v>1133</v>
      </c>
      <c r="C275" s="62">
        <v>0.31</v>
      </c>
      <c r="D275" s="166" t="str">
        <f t="shared" si="442"/>
        <v/>
      </c>
      <c r="E275" s="4"/>
      <c r="F275" s="3"/>
      <c r="G275" s="5"/>
      <c r="H275" s="6"/>
      <c r="I275" s="34">
        <f t="shared" si="439"/>
        <v>0</v>
      </c>
      <c r="J275" s="78" t="str">
        <f>IFERROR(VLOOKUP(C275,[2]Sheet1!$D:$J,7,0),"")</f>
        <v/>
      </c>
      <c r="K275" s="80" t="str">
        <f t="shared" si="443"/>
        <v/>
      </c>
      <c r="L275" s="7">
        <f t="shared" si="440"/>
        <v>0</v>
      </c>
      <c r="M275" s="8" t="str">
        <f t="shared" si="441"/>
        <v/>
      </c>
      <c r="N275" s="57" t="str">
        <f t="shared" si="444"/>
        <v/>
      </c>
      <c r="O275" s="9"/>
      <c r="P275" s="10"/>
      <c r="Q275" s="10"/>
      <c r="R275" s="10"/>
      <c r="S275" s="41">
        <f t="shared" si="433"/>
        <v>0</v>
      </c>
      <c r="W275" s="190"/>
      <c r="Y275" s="42"/>
      <c r="Z275" s="1"/>
      <c r="AA275" s="206" t="str">
        <f t="shared" si="434"/>
        <v/>
      </c>
    </row>
    <row r="276" spans="1:27" hidden="1" ns3:dyDescent="0.3">
      <c r="A276" s="11" t="s">
        <v>324</v>
      </c>
      <c r="B276" s="11">
        <f>ROUNDUP(HLOOKUP(A276,'야채 계산기'!$2:$3,2,0)*1.03,0)</f>
        <v>1226</v>
      </c>
      <c r="C276" s="62">
        <v>0.06</v>
      </c>
      <c r="D276" s="166" t="str">
        <f t="shared" si="442"/>
        <v/>
      </c>
      <c r="E276" s="4"/>
      <c r="F276" s="3"/>
      <c r="G276" s="5"/>
      <c r="H276" s="6"/>
      <c r="I276" s="34">
        <f t="shared" si="439"/>
        <v>0</v>
      </c>
      <c r="J276" s="78" t="str">
        <f>IFERROR(VLOOKUP(C276,[2]Sheet1!$D:$J,7,0),"")</f>
        <v/>
      </c>
      <c r="K276" s="80" t="str">
        <f t="shared" si="443"/>
        <v/>
      </c>
      <c r="L276" s="7">
        <f t="shared" si="440"/>
        <v>0</v>
      </c>
      <c r="M276" s="8" t="str">
        <f t="shared" si="441"/>
        <v/>
      </c>
      <c r="N276" s="57" t="str">
        <f t="shared" si="444"/>
        <v/>
      </c>
      <c r="O276" s="9"/>
      <c r="P276" s="10"/>
      <c r="Q276" s="10"/>
      <c r="R276" s="10"/>
      <c r="S276" s="41">
        <f t="shared" si="433"/>
        <v>0</v>
      </c>
      <c r="W276" s="190"/>
      <c r="Y276" s="42"/>
      <c r="Z276" s="1"/>
      <c r="AA276" s="206" t="str">
        <f t="shared" si="434"/>
        <v/>
      </c>
    </row>
    <row r="277" spans="1:27" ns3:dyDescent="0.3">
      <c r="A277" s="2"/>
      <c r="B277" s="2"/>
      <c r="C277" s="62"/>
      <c r="D277" s="166" t="str">
        <f t="shared" ref="D277:D281" si="445">IFERROR((F277/E277),"")</f>
        <v/>
      </c>
      <c r="E277" s="4"/>
      <c r="F277" s="3"/>
      <c r="G277" s="5"/>
      <c r="H277" s="6"/>
      <c r="I277" s="34">
        <f t="shared" si="439"/>
        <v>0</v>
      </c>
      <c r="J277" s="78" t="str">
        <f>IFERROR(VLOOKUP(C277,[2]Sheet1!$D:$J,7,0),"")</f>
        <v/>
      </c>
      <c r="K277" s="80" t="str">
        <f t="shared" ref="K277:K281" si="446">IFERROR((I277+J277),"")</f>
        <v/>
      </c>
      <c r="L277" s="7">
        <f t="shared" si="440"/>
        <v>0</v>
      </c>
      <c r="M277" s="8" t="str">
        <f t="shared" si="441"/>
        <v/>
      </c>
      <c r="N277" s="57" t="str">
        <f t="shared" ref="N277:N281" si="447">IFERROR((K277/H277),"")</f>
        <v/>
      </c>
      <c r="O277" s="9"/>
      <c r="P277" s="10"/>
      <c r="Q277" s="10"/>
      <c r="R277" s="10"/>
      <c r="S277" s="41">
        <f t="shared" si="433"/>
        <v>0</v>
      </c>
      <c r="W277" s="190"/>
      <c r="Y277" s="42"/>
      <c r="Z277" s="1"/>
      <c r="AA277" s="206"/>
    </row>
    <row r="278" spans="1:27" hidden="1" ns3:dyDescent="0.3">
      <c r="A278" s="95" t="s">
        <v>669</v>
      </c>
      <c r="B278" s="184" t="s">
        <v>32</v>
      </c>
      <c r="C278" s="196"/>
      <c r="D278" s="166" t="str">
        <f t="shared" si="445"/>
        <v/>
      </c>
      <c r="E278" s="4"/>
      <c r="F278" s="17"/>
      <c r="G278" s="5"/>
      <c r="H278" s="6"/>
      <c r="I278" s="34">
        <f t="shared" si="439"/>
        <v>0</v>
      </c>
      <c r="J278" s="78" t="str">
        <f>IFERROR(VLOOKUP(C278,[2]Sheet1!$D:$J,7,0),"")</f>
        <v/>
      </c>
      <c r="K278" s="80" t="str">
        <f t="shared" si="446"/>
        <v/>
      </c>
      <c r="L278" s="7">
        <f t="shared" si="440"/>
        <v>0</v>
      </c>
      <c r="M278" s="8" t="str">
        <f t="shared" si="441"/>
        <v/>
      </c>
      <c r="N278" s="57" t="str">
        <f>IFERROR((K278/H278),"")</f>
        <v/>
      </c>
      <c r="O278" s="9"/>
      <c r="P278" s="10"/>
      <c r="Q278" s="10"/>
      <c r="R278" s="10">
        <f>O278*P278*Q278</f>
        <v>0</v>
      </c>
      <c r="S278" s="41">
        <f t="shared" si="433"/>
        <v>0</v>
      </c>
      <c r="T278" s="190"/>
      <c r="U278" s="190"/>
      <c r="V278" s="190"/>
      <c r="W278" s="190"/>
      <c r="Y278" s="42"/>
      <c r="Z278" s="1"/>
      <c r="AA278" s="206" t="str">
        <f t="shared" si="434"/>
        <v/>
      </c>
    </row>
    <row r="279" spans="1:27" hidden="1" ns3:dyDescent="0.3">
      <c r="A279" s="59"/>
      <c r="B279" s="11"/>
      <c r="C279" s="62" t="s">
        <v>666</v>
      </c>
      <c r="D279" s="166">
        <f t="shared" si="445"/>
        <v>-0.5</v>
      </c>
      <c r="E279" s="4">
        <v>1</v>
      </c>
      <c r="F279" s="3">
        <f>IFERROR((L279-K279),"")</f>
        <v>-0.5</v>
      </c>
      <c r="G279" s="5">
        <v>4.5</v>
      </c>
      <c r="H279" s="6">
        <f>ROUNDUP(SUMPRODUCT(B280:B280,C280:C280)/4000,1)</f>
        <v>0</v>
      </c>
      <c r="I279" s="34">
        <f t="shared" si="439"/>
        <v>0</v>
      </c>
      <c r="J279" s="78">
        <f>IFERROR(VLOOKUP(C279,[2]Sheet1!$D:$J,7,0),"")</f>
        <v>0.5</v>
      </c>
      <c r="K279" s="80">
        <f>IFERROR((I279+J279),"")</f>
        <v>0.5</v>
      </c>
      <c r="L279" s="7">
        <f>IFERROR((G279*H279),"")</f>
        <v>0</v>
      </c>
      <c r="M279" s="8">
        <f>IFERROR(K279-L279,"")</f>
        <v>0.5</v>
      </c>
      <c r="N279" s="57" t="str">
        <f t="shared" ref="N279:N280" si="448">IFERROR((K279/H279),"")</f>
        <v/>
      </c>
      <c r="O279" s="9"/>
      <c r="P279" s="10"/>
      <c r="Q279" s="10">
        <v>27800</v>
      </c>
      <c r="R279" s="10">
        <f>O279*P279*Q279</f>
        <v>0</v>
      </c>
      <c r="S279" s="41">
        <f t="shared" si="433"/>
        <v>0</v>
      </c>
      <c r="T279" s="173"/>
      <c r="U279" s="173"/>
      <c r="V279" s="173"/>
      <c r="W279" s="183"/>
      <c r="X279" s="173"/>
      <c r="Y279" s="173"/>
      <c r="Z279" s="1"/>
      <c r="AA279" s="206">
        <f t="shared" si="434"/>
        <v>0</v>
      </c>
    </row>
    <row r="280" spans="1:27" hidden="1" ns3:dyDescent="0.3">
      <c r="A280" s="60" t="s">
        <v>654</v>
      </c>
      <c r="B280" s="11">
        <f>ROUNDUP(HLOOKUP(A280,'야채 계산기'!$2:$3,2,0)*1.03,0)</f>
        <v>0</v>
      </c>
      <c r="C280" s="170">
        <f>'[1]쯔양)매콤흑당치킨'!$B$9</f>
        <v>12.43</v>
      </c>
      <c r="D280" s="166" t="str">
        <f t="shared" si="445"/>
        <v/>
      </c>
      <c r="E280" s="4"/>
      <c r="F280" s="3" t="str">
        <f>IFERROR((L280-K280),"")</f>
        <v/>
      </c>
      <c r="G280" s="5"/>
      <c r="H280" s="6"/>
      <c r="I280" s="34">
        <f t="shared" si="439"/>
        <v>0</v>
      </c>
      <c r="J280" s="78" t="str">
        <f>IFERROR(VLOOKUP(C280,[2]Sheet1!$D:$J,7,0),"")</f>
        <v/>
      </c>
      <c r="K280" s="80" t="str">
        <f>IFERROR((I280+J280),"")</f>
        <v/>
      </c>
      <c r="L280" s="7">
        <f>IFERROR((G280*H280),"")</f>
        <v>0</v>
      </c>
      <c r="M280" s="8" t="str">
        <f>IFERROR(K280-L280,"")</f>
        <v/>
      </c>
      <c r="N280" s="57" t="str">
        <f t="shared" si="448"/>
        <v/>
      </c>
      <c r="O280" s="9"/>
      <c r="P280" s="10"/>
      <c r="Q280" s="10"/>
      <c r="R280" s="10"/>
      <c r="S280" s="41">
        <f t="shared" si="433"/>
        <v>0</v>
      </c>
      <c r="Y280" s="1"/>
      <c r="Z280" s="1"/>
      <c r="AA280" s="206" t="str">
        <f t="shared" si="434"/>
        <v/>
      </c>
    </row>
    <row r="281" spans="1:27" ns3:dyDescent="0.3">
      <c r="A281" s="2"/>
      <c r="B281" s="2"/>
      <c r="C281" s="62"/>
      <c r="D281" s="166" t="str">
        <f t="shared" si="445"/>
        <v/>
      </c>
      <c r="E281" s="4"/>
      <c r="F281" s="3"/>
      <c r="G281" s="5"/>
      <c r="H281" s="6"/>
      <c r="I281" s="34">
        <f t="shared" si="439"/>
        <v>0</v>
      </c>
      <c r="J281" s="78" t="str">
        <f>IFERROR(VLOOKUP(C281,[2]Sheet1!$D:$J,7,0),"")</f>
        <v/>
      </c>
      <c r="K281" s="80" t="str">
        <f t="shared" si="446"/>
        <v/>
      </c>
      <c r="L281" s="7">
        <f t="shared" si="440"/>
        <v>0</v>
      </c>
      <c r="M281" s="8" t="str">
        <f t="shared" si="441"/>
        <v/>
      </c>
      <c r="N281" s="57" t="str">
        <f t="shared" si="447"/>
        <v/>
      </c>
      <c r="O281" s="9"/>
      <c r="P281" s="10"/>
      <c r="Q281" s="10"/>
      <c r="R281" s="10"/>
      <c r="S281" s="41">
        <f t="shared" si="433"/>
        <v>0</v>
      </c>
      <c r="W281" s="190"/>
      <c r="Y281" s="42"/>
      <c r="Z281" s="1"/>
      <c r="AA281" s="206" t="str">
        <f t="shared" si="434"/>
        <v/>
      </c>
    </row>
    <row r="282" spans="1:27" ns3:dyDescent="0.3">
      <c r="A282" s="212" t="s">
        <v>364</v>
      </c>
      <c r="B282" s="184" t="s">
        <v>77</v>
      </c>
      <c r="C282" s="164" t="s">
        <v>155</v>
      </c>
      <c r="D282" s="166" t="str">
        <f>IFERROR((F282/E282),"")</f>
        <v/>
      </c>
      <c r="E282" s="4"/>
      <c r="F282" s="3"/>
      <c r="G282" s="5"/>
      <c r="H282" s="6"/>
      <c r="I282" s="34">
        <f t="shared" ref="I282:I311" si="449">IFERROR((S282*E282),"")</f>
        <v>0</v>
      </c>
      <c r="J282" s="78" t="str">
        <f>IFERROR(VLOOKUP(C282,[2]Sheet1!$D:$J,7,0),"")</f>
        <v/>
      </c>
      <c r="K282" s="80" t="str">
        <f t="shared" ref="K282:K303" si="450">IFERROR((I282+J282),"")</f>
        <v/>
      </c>
      <c r="L282" s="7">
        <f t="shared" ref="L282:L303" si="451">IFERROR((G282*H282),"")</f>
        <v>0</v>
      </c>
      <c r="M282" s="8" t="str">
        <f t="shared" ref="M282:M303" si="452">IFERROR(K282-L282,"")</f>
        <v/>
      </c>
      <c r="N282" s="57" t="str">
        <f t="shared" ref="N282:N292" si="453">IFERROR((K282/H282),"")</f>
        <v/>
      </c>
      <c r="O282" s="9"/>
      <c r="P282" s="10"/>
      <c r="Q282" s="10"/>
      <c r="R282" s="10">
        <f>O282*P282*Q282</f>
        <v>0</v>
      </c>
      <c r="S282" s="41">
        <f t="shared" si="433"/>
        <v>0</v>
      </c>
      <c r="Y282" s="42"/>
      <c r="AA282" s="206" t="str">
        <f t="shared" si="434"/>
        <v/>
      </c>
    </row>
    <row r="283" spans="1:27" ht="17.25" customHeight="1" ns3:dyDescent="0.3">
      <c r="A283" s="13"/>
      <c r="B283" s="11"/>
      <c r="C283" s="164" t="s">
        <v>232</v>
      </c>
      <c r="D283" s="166">
        <f>IFERROR((F283/E283),"")</f>
        <v>12.725</v>
      </c>
      <c r="E283" s="4">
        <v>10</v>
      </c>
      <c r="F283" s="3">
        <f>IFERROR((L283-K283),"")</f>
        <v>127.25</v>
      </c>
      <c r="G283" s="5">
        <v>4.5</v>
      </c>
      <c r="H283" s="39">
        <f>ROUNDUP(SUMPRODUCT(B284:B289, C284:C289)/1200,1)</f>
        <v>50.5</v>
      </c>
      <c r="I283" s="34">
        <f t="shared" si="449"/>
        <v>100</v>
      </c>
      <c r="J283" s="78">
        <f>IFERROR(VLOOKUP(C283,[2]Sheet1!$D:$J,7,0),"")</f>
        <v>0</v>
      </c>
      <c r="K283" s="80">
        <f t="shared" si="450"/>
        <v>100</v>
      </c>
      <c r="L283" s="7">
        <f t="shared" si="451"/>
        <v>227.25</v>
      </c>
      <c r="M283" s="8">
        <f t="shared" si="452"/>
        <v>-127.25</v>
      </c>
      <c r="N283" s="57">
        <f t="shared" si="453"/>
        <v>1.9801980198019802</v>
      </c>
      <c r="O283" s="9"/>
      <c r="P283" s="10">
        <v>10</v>
      </c>
      <c r="Q283" s="10">
        <v>4200</v>
      </c>
      <c r="R283" s="10">
        <f>O283*P283*Q283</f>
        <v>0</v>
      </c>
      <c r="S283" s="41">
        <f t="shared" si="433"/>
        <v>10</v>
      </c>
      <c r="T283" s="173">
        <v>2</v>
      </c>
      <c r="U283" s="173">
        <v>2</v>
      </c>
      <c r="V283" s="173">
        <v>6</v>
      </c>
      <c r="W283" s="173"/>
      <c r="X283" s="173"/>
      <c r="Y283" s="220"/>
      <c r="AA283" s="206">
        <f t="shared" si="434"/>
        <v>5.4107142857142856</v>
      </c>
    </row>
    <row r="284" spans="1:27" ns3:dyDescent="0.3">
      <c r="A284" s="13" t="s">
        <v>174</v>
      </c>
      <c r="B284" s="90">
        <f>ROUNDUP(HLOOKUP(A284,'야채 계산기'!$2:$3,2,0)*1.03,0)</f>
        <v>176</v>
      </c>
      <c r="C284" s="164">
        <v>11.08</v>
      </c>
      <c r="D284" s="166" t="str">
        <f>IFERROR((F284/E284),"")</f>
        <v/>
      </c>
      <c r="E284" s="4"/>
      <c r="F284" s="3"/>
      <c r="G284" s="5"/>
      <c r="H284" s="6"/>
      <c r="I284" s="34">
        <f t="shared" si="449"/>
        <v>0</v>
      </c>
      <c r="J284" s="78" t="str">
        <f>IFERROR(VLOOKUP(C284,[2]Sheet1!$D:$J,7,0),"")</f>
        <v/>
      </c>
      <c r="K284" s="80" t="str">
        <f t="shared" si="450"/>
        <v/>
      </c>
      <c r="L284" s="7">
        <f t="shared" si="451"/>
        <v>0</v>
      </c>
      <c r="M284" s="8" t="str">
        <f t="shared" si="452"/>
        <v/>
      </c>
      <c r="N284" s="57" t="str">
        <f t="shared" si="453"/>
        <v/>
      </c>
      <c r="O284" s="9"/>
      <c r="P284" s="10"/>
      <c r="Q284" s="10"/>
      <c r="R284" s="10">
        <f>O284*P284*Q284</f>
        <v>0</v>
      </c>
      <c r="S284" s="41">
        <f t="shared" si="433"/>
        <v>0</v>
      </c>
      <c r="Y284" s="42"/>
      <c r="AA284" s="206" t="str">
        <f t="shared" si="434"/>
        <v/>
      </c>
    </row>
    <row r="285" spans="1:27" ns3:dyDescent="0.3">
      <c r="A285" s="60" t="s">
        <v>189</v>
      </c>
      <c r="B285" s="90">
        <f>ROUNDUP(HLOOKUP(A285,'야채 계산기'!$2:$3,2,0)*1.03,0)</f>
        <v>145</v>
      </c>
      <c r="C285" s="62">
        <f>'[1]착한김치김밥(250612)슈퍼'!$B$18</f>
        <v>11.08</v>
      </c>
      <c r="D285" s="166" t="str">
        <f>IFERROR((F285/E285),"")</f>
        <v/>
      </c>
      <c r="E285" s="4"/>
      <c r="F285" s="3"/>
      <c r="G285" s="5"/>
      <c r="H285" s="6"/>
      <c r="I285" s="34">
        <f t="shared" si="449"/>
        <v>0</v>
      </c>
      <c r="J285" s="78" t="str">
        <f>IFERROR(VLOOKUP(C285,[2]Sheet1!$D:$J,7,0),"")</f>
        <v/>
      </c>
      <c r="K285" s="80" t="str">
        <f t="shared" si="450"/>
        <v/>
      </c>
      <c r="L285" s="7">
        <f t="shared" si="451"/>
        <v>0</v>
      </c>
      <c r="M285" s="8" t="str">
        <f t="shared" si="452"/>
        <v/>
      </c>
      <c r="N285" s="57" t="str">
        <f t="shared" si="453"/>
        <v/>
      </c>
      <c r="O285" s="9"/>
      <c r="P285" s="10"/>
      <c r="Q285" s="10"/>
      <c r="R285" s="10"/>
      <c r="S285" s="41">
        <f t="shared" si="433"/>
        <v>0</v>
      </c>
      <c r="Y285" s="42"/>
      <c r="AA285" s="206" t="str">
        <f t="shared" si="434"/>
        <v/>
      </c>
    </row>
    <row r="286" spans="1:27" ns3:dyDescent="0.3">
      <c r="A286" s="13" t="s">
        <v>256</v>
      </c>
      <c r="B286" s="90">
        <f>ROUNDUP(HLOOKUP(A286,'야채 계산기'!$2:$3,2,0)*1.03,0)</f>
        <v>2926</v>
      </c>
      <c r="C286" s="62">
        <v>10.199999999999999</v>
      </c>
      <c r="D286" s="166"/>
      <c r="E286" s="4"/>
      <c r="F286" s="3"/>
      <c r="G286" s="5"/>
      <c r="H286" s="39"/>
      <c r="I286" s="34">
        <f t="shared" si="449"/>
        <v>0</v>
      </c>
      <c r="J286" s="78" t="str">
        <f>IFERROR(VLOOKUP(C286,[2]Sheet1!$D:$J,7,0),"")</f>
        <v/>
      </c>
      <c r="K286" s="80" t="str">
        <f t="shared" si="450"/>
        <v/>
      </c>
      <c r="L286" s="7">
        <f t="shared" si="451"/>
        <v>0</v>
      </c>
      <c r="M286" s="8" t="str">
        <f t="shared" si="452"/>
        <v/>
      </c>
      <c r="N286" s="57" t="str">
        <f t="shared" ref="N286:N291" si="454">IFERROR((K286/H286),"")</f>
        <v/>
      </c>
      <c r="O286" s="9"/>
      <c r="P286" s="10"/>
      <c r="Q286" s="10"/>
      <c r="R286" s="10"/>
      <c r="S286" s="41">
        <f t="shared" si="433"/>
        <v>0</v>
      </c>
      <c r="Y286" s="42"/>
      <c r="AA286" s="206" t="str">
        <f t="shared" si="434"/>
        <v/>
      </c>
    </row>
    <row r="287" spans="1:27" ns3:dyDescent="0.3">
      <c r="A287" s="13" t="s">
        <v>269</v>
      </c>
      <c r="B287" s="90">
        <f>ROUNDUP(HLOOKUP(A287,'야채 계산기'!$2:$3,2,0)*1.03,0)</f>
        <v>1082</v>
      </c>
      <c r="C287" s="62">
        <v>10.199999999999999</v>
      </c>
      <c r="D287" s="166"/>
      <c r="E287" s="4"/>
      <c r="F287" s="3"/>
      <c r="G287" s="5"/>
      <c r="H287" s="39"/>
      <c r="I287" s="34">
        <f t="shared" si="449"/>
        <v>0</v>
      </c>
      <c r="J287" s="78" t="str">
        <f>IFERROR(VLOOKUP(C287,[2]Sheet1!$D:$J,7,0),"")</f>
        <v/>
      </c>
      <c r="K287" s="80" t="str">
        <f t="shared" si="450"/>
        <v/>
      </c>
      <c r="L287" s="7">
        <f t="shared" si="451"/>
        <v>0</v>
      </c>
      <c r="M287" s="8" t="str">
        <f t="shared" si="452"/>
        <v/>
      </c>
      <c r="N287" s="57" t="str">
        <f t="shared" si="454"/>
        <v/>
      </c>
      <c r="O287" s="9"/>
      <c r="P287" s="10"/>
      <c r="Q287" s="10"/>
      <c r="R287" s="10"/>
      <c r="S287" s="41">
        <f t="shared" si="433"/>
        <v>0</v>
      </c>
      <c r="Y287" s="42"/>
      <c r="AA287" s="206" t="str">
        <f t="shared" si="434"/>
        <v/>
      </c>
    </row>
    <row r="288" spans="1:27" ns3:dyDescent="0.3">
      <c r="A288" s="13" t="s">
        <v>649</v>
      </c>
      <c r="B288" s="90">
        <f>ROUNDUP(HLOOKUP(A288,'야채 계산기'!$2:$3,2,0)*1.03,0)</f>
        <v>742</v>
      </c>
      <c r="C288" s="62">
        <v>12.63</v>
      </c>
      <c r="D288" s="166"/>
      <c r="E288" s="4"/>
      <c r="F288" s="3"/>
      <c r="G288" s="5"/>
      <c r="H288" s="39"/>
      <c r="I288" s="34">
        <f t="shared" ref="I288" si="455">IFERROR((S288*E288),"")</f>
        <v>0</v>
      </c>
      <c r="J288" s="78" t="str">
        <f>IFERROR(VLOOKUP(C288,[2]Sheet1!$D:$J,7,0),"")</f>
        <v/>
      </c>
      <c r="K288" s="80" t="str">
        <f t="shared" ref="K288" si="456">IFERROR((I288+J288),"")</f>
        <v/>
      </c>
      <c r="L288" s="7">
        <f t="shared" ref="L288" si="457">IFERROR((G288*H288),"")</f>
        <v>0</v>
      </c>
      <c r="M288" s="8" t="str">
        <f t="shared" ref="M288" si="458">IFERROR(K288-L288,"")</f>
        <v/>
      </c>
      <c r="N288" s="57" t="str">
        <f t="shared" ref="N288" si="459">IFERROR((K288/H288),"")</f>
        <v/>
      </c>
      <c r="O288" s="9"/>
      <c r="P288" s="10"/>
      <c r="Q288" s="10"/>
      <c r="R288" s="10"/>
      <c r="S288" s="41">
        <f t="shared" ref="S288" si="460">SUM(Y288,T288:X288)</f>
        <v>0</v>
      </c>
      <c r="Y288" s="42"/>
      <c r="AA288" s="206" t="str">
        <f t="shared" ref="AA288" si="461">IFERROR(H288*7.5/E288/7,"")</f>
        <v/>
      </c>
    </row>
    <row r="289" spans="1:27" ns3:dyDescent="0.3">
      <c r="A289" s="13" t="s">
        <v>820</v>
      </c>
      <c r="B289" s="90">
        <f>ROUNDUP(HLOOKUP(A289,'야채 계산기'!$2:$3,2,0)*1.03,0)</f>
        <v>567</v>
      </c>
      <c r="C289" s="62">
        <v>11.91</v>
      </c>
      <c r="D289" s="166"/>
      <c r="E289" s="4"/>
      <c r="F289" s="3"/>
      <c r="G289" s="5"/>
      <c r="H289" s="39"/>
      <c r="I289" s="34">
        <f t="shared" si="449"/>
        <v>0</v>
      </c>
      <c r="J289" s="78" t="str">
        <f>IFERROR(VLOOKUP(C289,[2]Sheet1!$D:$J,7,0),"")</f>
        <v/>
      </c>
      <c r="K289" s="80" t="str">
        <f t="shared" si="450"/>
        <v/>
      </c>
      <c r="L289" s="7">
        <f t="shared" si="451"/>
        <v>0</v>
      </c>
      <c r="M289" s="8" t="str">
        <f t="shared" si="452"/>
        <v/>
      </c>
      <c r="N289" s="57" t="str">
        <f t="shared" si="454"/>
        <v/>
      </c>
      <c r="O289" s="9"/>
      <c r="P289" s="10"/>
      <c r="Q289" s="10"/>
      <c r="R289" s="10"/>
      <c r="S289" s="41">
        <f t="shared" si="433"/>
        <v>0</v>
      </c>
      <c r="Y289" s="42"/>
      <c r="AA289" s="206" t="str">
        <f t="shared" si="434"/>
        <v/>
      </c>
    </row>
    <row r="290" spans="1:27" ns3:dyDescent="0.3">
      <c r="A290" s="13"/>
      <c r="B290" s="11"/>
      <c r="C290" s="62" t="s">
        <v>188</v>
      </c>
      <c r="D290" s="166">
        <f>IFERROR((F290/E290),"")</f>
        <v>-0.73999999999999988</v>
      </c>
      <c r="E290" s="4">
        <v>30</v>
      </c>
      <c r="F290" s="3">
        <f>IFERROR((L290-K290),"")</f>
        <v>-22.199999999999996</v>
      </c>
      <c r="G290" s="5">
        <f>G283</f>
        <v>4.5</v>
      </c>
      <c r="H290" s="6">
        <f>ROUNDUP((B291*C291)/200,1)</f>
        <v>8.4</v>
      </c>
      <c r="I290" s="34">
        <f t="shared" si="449"/>
        <v>30</v>
      </c>
      <c r="J290" s="78">
        <f>IFERROR(VLOOKUP(C290,[2]Sheet1!$D:$J,7,0),"")</f>
        <v>30</v>
      </c>
      <c r="K290" s="80">
        <f t="shared" si="450"/>
        <v>60</v>
      </c>
      <c r="L290" s="7">
        <f t="shared" si="451"/>
        <v>37.800000000000004</v>
      </c>
      <c r="M290" s="8">
        <f t="shared" si="452"/>
        <v>22.199999999999996</v>
      </c>
      <c r="N290" s="57">
        <f t="shared" si="454"/>
        <v>7.1428571428571423</v>
      </c>
      <c r="O290" s="9"/>
      <c r="P290" s="10">
        <v>10</v>
      </c>
      <c r="Q290" s="10">
        <v>1820</v>
      </c>
      <c r="R290" s="10">
        <f>O290*P290*Q290</f>
        <v>0</v>
      </c>
      <c r="S290" s="41">
        <f t="shared" si="433"/>
        <v>1</v>
      </c>
      <c r="T290" s="173">
        <v>1</v>
      </c>
      <c r="U290" s="173"/>
      <c r="V290" s="173"/>
      <c r="W290" s="173"/>
      <c r="X290" s="173"/>
      <c r="Y290" s="220"/>
      <c r="AA290" s="206">
        <f t="shared" si="434"/>
        <v>0.3</v>
      </c>
    </row>
    <row r="291" spans="1:27" ns3:dyDescent="0.3">
      <c r="A291" s="13" t="s">
        <v>189</v>
      </c>
      <c r="B291" s="90">
        <f>ROUNDUP(HLOOKUP(A291,'야채 계산기'!$2:$3,2,0)*1.03,0)</f>
        <v>145</v>
      </c>
      <c r="C291" s="164">
        <f>'[1]착한김치김밥(250612)슈퍼'!$B$16</f>
        <v>11.48</v>
      </c>
      <c r="D291" s="166" t="str">
        <f>IFERROR((F291/E291),"")</f>
        <v/>
      </c>
      <c r="E291" s="4"/>
      <c r="F291" s="3"/>
      <c r="G291" s="5"/>
      <c r="H291" s="6"/>
      <c r="I291" s="34">
        <f t="shared" si="449"/>
        <v>0</v>
      </c>
      <c r="J291" s="78" t="str">
        <f>IFERROR(VLOOKUP(C291,[2]Sheet1!$D:$J,7,0),"")</f>
        <v/>
      </c>
      <c r="K291" s="80" t="str">
        <f t="shared" si="450"/>
        <v/>
      </c>
      <c r="L291" s="7">
        <f t="shared" si="451"/>
        <v>0</v>
      </c>
      <c r="M291" s="8" t="str">
        <f t="shared" si="452"/>
        <v/>
      </c>
      <c r="N291" s="57" t="str">
        <f t="shared" si="454"/>
        <v/>
      </c>
      <c r="O291" s="9"/>
      <c r="P291" s="10"/>
      <c r="Q291" s="10"/>
      <c r="R291" s="10">
        <f>O291*P291*Q291</f>
        <v>0</v>
      </c>
      <c r="S291" s="41">
        <f t="shared" si="433"/>
        <v>0</v>
      </c>
      <c r="Y291" s="42"/>
      <c r="AA291" s="206" t="str">
        <f t="shared" si="434"/>
        <v/>
      </c>
    </row>
    <row r="292" spans="1:27" ns3:dyDescent="0.3">
      <c r="A292" s="60"/>
      <c r="B292" s="11"/>
      <c r="C292" s="164" t="s">
        <v>56</v>
      </c>
      <c r="D292" s="166">
        <f>IFERROR((F292/E292),"")</f>
        <v>2.3125</v>
      </c>
      <c r="E292" s="4">
        <v>24</v>
      </c>
      <c r="F292" s="3">
        <f>IFERROR((L292-K292),"")</f>
        <v>55.5</v>
      </c>
      <c r="G292" s="5">
        <f>G283</f>
        <v>4.5</v>
      </c>
      <c r="H292" s="6">
        <f>ROUNDUP(SUMPRODUCT(B293:B300, C293:C300)/340,1)</f>
        <v>1239</v>
      </c>
      <c r="I292" s="34">
        <f t="shared" si="449"/>
        <v>4200</v>
      </c>
      <c r="J292" s="78">
        <f>IFERROR(VLOOKUP(C292,[2]Sheet1!$D:$J,7,0),"")</f>
        <v>1320</v>
      </c>
      <c r="K292" s="80">
        <f t="shared" si="450"/>
        <v>5520</v>
      </c>
      <c r="L292" s="7">
        <f t="shared" si="451"/>
        <v>5575.5</v>
      </c>
      <c r="M292" s="8">
        <f t="shared" si="452"/>
        <v>-55.5</v>
      </c>
      <c r="N292" s="57">
        <f t="shared" si="453"/>
        <v>4.4552058111380148</v>
      </c>
      <c r="O292" s="9"/>
      <c r="P292" s="10">
        <v>10</v>
      </c>
      <c r="Q292" s="10">
        <v>2390</v>
      </c>
      <c r="R292" s="10">
        <f>O292*P292*Q292</f>
        <v>0</v>
      </c>
      <c r="S292" s="41">
        <f t="shared" si="433"/>
        <v>175</v>
      </c>
      <c r="T292" s="173">
        <v>65</v>
      </c>
      <c r="U292" s="173">
        <v>60</v>
      </c>
      <c r="V292" s="173">
        <v>50</v>
      </c>
      <c r="W292" s="173"/>
      <c r="X292" s="173"/>
      <c r="Y292" s="220"/>
      <c r="AA292" s="206">
        <f t="shared" si="434"/>
        <v>55.3125</v>
      </c>
    </row>
    <row r="293" spans="1:27" ns3:dyDescent="0.3">
      <c r="A293" s="60" t="s">
        <v>303</v>
      </c>
      <c r="B293" s="90">
        <f>ROUNDUP(HLOOKUP(A293,'야채 계산기'!$2:$3,2,0),0)</f>
        <v>3620</v>
      </c>
      <c r="C293" s="62">
        <v>14.17</v>
      </c>
      <c r="D293" s="166" t="str">
        <f>IFERROR((F293/E293),"")</f>
        <v/>
      </c>
      <c r="E293" s="4"/>
      <c r="F293" s="3"/>
      <c r="G293" s="5"/>
      <c r="H293" s="6"/>
      <c r="I293" s="34">
        <f t="shared" ref="I293:I294" si="462">IFERROR((S293*E293),"")</f>
        <v>0</v>
      </c>
      <c r="J293" s="78" t="str">
        <f>IFERROR(VLOOKUP(C293,[2]Sheet1!$D:$J,7,0),"")</f>
        <v/>
      </c>
      <c r="K293" s="80" t="str">
        <f t="shared" ref="K293:K294" si="463">IFERROR((I293+J293),"")</f>
        <v/>
      </c>
      <c r="L293" s="7">
        <f t="shared" ref="L293:L294" si="464">IFERROR((G293*H293),"")</f>
        <v>0</v>
      </c>
      <c r="M293" s="8" t="str">
        <f t="shared" ref="M293:M294" si="465">IFERROR(K293-L293,"")</f>
        <v/>
      </c>
      <c r="N293" s="57"/>
      <c r="O293" s="9"/>
      <c r="P293" s="10"/>
      <c r="Q293" s="10"/>
      <c r="R293" s="10">
        <f>O293*P293*Q293</f>
        <v>0</v>
      </c>
      <c r="S293" s="41">
        <f t="shared" si="433"/>
        <v>0</v>
      </c>
      <c r="T293" s="190"/>
      <c r="U293" s="190"/>
      <c r="V293" s="190"/>
      <c r="W293" s="190"/>
      <c r="X293" s="190"/>
      <c r="Y293" s="42"/>
      <c r="AA293" s="206" t="str">
        <f t="shared" si="434"/>
        <v/>
      </c>
    </row>
    <row r="294" spans="1:27" ns3:dyDescent="0.3">
      <c r="A294" s="60" t="s">
        <v>586</v>
      </c>
      <c r="B294" s="11">
        <f>ROUNDUP(HLOOKUP(A294,'야채 계산기'!$2:$3,2,0),0)</f>
        <v>1100</v>
      </c>
      <c r="C294" s="62">
        <v>28.33</v>
      </c>
      <c r="D294" s="166"/>
      <c r="E294" s="4"/>
      <c r="F294" s="3"/>
      <c r="G294" s="5"/>
      <c r="H294" s="6"/>
      <c r="I294" s="34">
        <f t="shared" si="462"/>
        <v>0</v>
      </c>
      <c r="J294" s="78" t="str">
        <f>IFERROR(VLOOKUP(C294,[2]Sheet1!$D:$J,7,0),"")</f>
        <v/>
      </c>
      <c r="K294" s="80" t="str">
        <f t="shared" si="463"/>
        <v/>
      </c>
      <c r="L294" s="7">
        <f t="shared" si="464"/>
        <v>0</v>
      </c>
      <c r="M294" s="8" t="str">
        <f t="shared" si="465"/>
        <v/>
      </c>
      <c r="N294" s="57"/>
      <c r="O294" s="9"/>
      <c r="P294" s="10"/>
      <c r="Q294" s="10"/>
      <c r="R294" s="10"/>
      <c r="S294" s="41">
        <f t="shared" si="433"/>
        <v>0</v>
      </c>
      <c r="T294" s="190"/>
      <c r="U294" s="190"/>
      <c r="V294" s="190"/>
      <c r="W294" s="190"/>
      <c r="X294" s="190"/>
      <c r="Y294" s="42"/>
      <c r="AA294" s="206" t="str">
        <f t="shared" si="434"/>
        <v/>
      </c>
    </row>
    <row r="295" spans="1:27" ns3:dyDescent="0.3">
      <c r="A295" s="60" t="s">
        <v>599</v>
      </c>
      <c r="B295" s="11">
        <f>ROUNDUP(HLOOKUP(A295,'야채 계산기'!$2:$3,2,0),0)</f>
        <v>440</v>
      </c>
      <c r="C295" s="62">
        <v>28.33</v>
      </c>
      <c r="D295" s="166"/>
      <c r="E295" s="4"/>
      <c r="F295" s="3"/>
      <c r="G295" s="5"/>
      <c r="H295" s="6"/>
      <c r="I295" s="34">
        <f t="shared" si="449"/>
        <v>0</v>
      </c>
      <c r="J295" s="78" t="str">
        <f>IFERROR(VLOOKUP(C295,[2]Sheet1!$D:$J,7,0),"")</f>
        <v/>
      </c>
      <c r="K295" s="80" t="str">
        <f t="shared" si="450"/>
        <v/>
      </c>
      <c r="L295" s="7">
        <f t="shared" si="451"/>
        <v>0</v>
      </c>
      <c r="M295" s="8" t="str">
        <f t="shared" si="452"/>
        <v/>
      </c>
      <c r="N295" s="57"/>
      <c r="O295" s="9"/>
      <c r="P295" s="10"/>
      <c r="Q295" s="10"/>
      <c r="R295" s="10"/>
      <c r="S295" s="41">
        <f t="shared" si="433"/>
        <v>0</v>
      </c>
      <c r="T295" s="190"/>
      <c r="U295" s="190"/>
      <c r="V295" s="190"/>
      <c r="W295" s="190"/>
      <c r="X295" s="190"/>
      <c r="Y295" s="42"/>
      <c r="AA295" s="206" t="str">
        <f t="shared" si="434"/>
        <v/>
      </c>
    </row>
    <row r="296" spans="1:27" ns3:dyDescent="0.3">
      <c r="A296" s="60" t="s">
        <v>638</v>
      </c>
      <c r="B296" s="284">
        <f>ROUNDUP(HLOOKUP(A296,'야채 계산기'!$2:$3,2,0),0)</f>
        <v>1470</v>
      </c>
      <c r="C296" s="164">
        <f>'[1]스팸무스비(25.8.26)'!$B$11</f>
        <v>28.33</v>
      </c>
      <c r="D296" s="166"/>
      <c r="E296" s="4"/>
      <c r="F296" s="3"/>
      <c r="G296" s="5"/>
      <c r="H296" s="6"/>
      <c r="I296" s="34">
        <f t="shared" ref="I296" si="466">IFERROR((S296*E296),"")</f>
        <v>0</v>
      </c>
      <c r="J296" s="78" t="str">
        <f>IFERROR(VLOOKUP(C296,[2]Sheet1!$D:$J,7,0),"")</f>
        <v/>
      </c>
      <c r="K296" s="80" t="str">
        <f t="shared" ref="K296" si="467">IFERROR((I296+J296),"")</f>
        <v/>
      </c>
      <c r="L296" s="7">
        <f t="shared" ref="L296" si="468">IFERROR((G296*H296),"")</f>
        <v>0</v>
      </c>
      <c r="M296" s="8" t="str">
        <f t="shared" ref="M296" si="469">IFERROR(K296-L296,"")</f>
        <v/>
      </c>
      <c r="N296" s="57"/>
      <c r="O296" s="9"/>
      <c r="P296" s="10"/>
      <c r="Q296" s="10"/>
      <c r="R296" s="10"/>
      <c r="S296" s="41">
        <f t="shared" si="433"/>
        <v>0</v>
      </c>
      <c r="Y296" s="1"/>
      <c r="AA296" s="206" t="str">
        <f t="shared" si="434"/>
        <v/>
      </c>
    </row>
    <row r="297" spans="1:27" ns3:dyDescent="0.3">
      <c r="A297" s="13" t="s">
        <v>297</v>
      </c>
      <c r="B297" s="11">
        <f>ROUNDUP(HLOOKUP(A297,'야채 계산기'!$2:$3,2,0),0)</f>
        <v>4900</v>
      </c>
      <c r="C297" s="164">
        <v>18.760000000000002</v>
      </c>
      <c r="D297" s="166" t="str">
        <f>IFERROR((F297/E297),"")</f>
        <v/>
      </c>
      <c r="E297" s="4"/>
      <c r="F297" s="3"/>
      <c r="G297" s="5"/>
      <c r="H297" s="6"/>
      <c r="I297" s="34">
        <f>IFERROR((S297*E297),"")</f>
        <v>0</v>
      </c>
      <c r="J297" s="78" t="str">
        <f>IFERROR(VLOOKUP(C297,[2]Sheet1!$D:$J,7,0),"")</f>
        <v/>
      </c>
      <c r="K297" s="80" t="str">
        <f>IFERROR((I297+J297),"")</f>
        <v/>
      </c>
      <c r="L297" s="7">
        <f>IFERROR((G297*H297),"")</f>
        <v>0</v>
      </c>
      <c r="M297" s="8" t="str">
        <f>IFERROR(K297-L297,"")</f>
        <v/>
      </c>
      <c r="N297" s="57" t="str">
        <f>IFERROR((K297/H297),"")</f>
        <v/>
      </c>
      <c r="O297" s="9"/>
      <c r="P297" s="10"/>
      <c r="Q297" s="10"/>
      <c r="R297" s="10"/>
      <c r="S297" s="41">
        <f t="shared" si="433"/>
        <v>0</v>
      </c>
      <c r="Y297" s="1"/>
      <c r="AA297" s="206" t="str">
        <f t="shared" si="434"/>
        <v/>
      </c>
    </row>
    <row r="298" spans="1:27" ns3:dyDescent="0.3">
      <c r="A298" s="11" t="s">
        <v>302</v>
      </c>
      <c r="B298" s="11">
        <f>ROUNDUP(HLOOKUP(A298,'야채 계산기'!$2:$3,2,0),0)</f>
        <v>6030</v>
      </c>
      <c r="C298" s="164">
        <v>15.01</v>
      </c>
      <c r="D298" s="166"/>
      <c r="E298" s="4"/>
      <c r="F298" s="3"/>
      <c r="G298" s="5"/>
      <c r="H298" s="6"/>
      <c r="I298" s="34">
        <f t="shared" ref="I298:I302" si="470">IFERROR((S298*E298),"")</f>
        <v>0</v>
      </c>
      <c r="J298" s="78" t="str">
        <f>IFERROR(VLOOKUP(C298,[2]Sheet1!$D:$J,7,0),"")</f>
        <v/>
      </c>
      <c r="K298" s="80" t="str">
        <f t="shared" ref="K298:K300" si="471">IFERROR((I298+J298),"")</f>
        <v/>
      </c>
      <c r="L298" s="7">
        <f t="shared" ref="L298:L300" si="472">IFERROR((G298*H298),"")</f>
        <v>0</v>
      </c>
      <c r="M298" s="8" t="str">
        <f t="shared" ref="M298:M300" si="473">IFERROR(K298-L298,"")</f>
        <v/>
      </c>
      <c r="N298" s="57"/>
      <c r="O298" s="9"/>
      <c r="P298" s="10"/>
      <c r="Q298" s="10"/>
      <c r="R298" s="10"/>
      <c r="S298" s="41">
        <f t="shared" si="433"/>
        <v>0</v>
      </c>
      <c r="Y298" s="1"/>
      <c r="AA298" s="206" t="str">
        <f t="shared" si="434"/>
        <v/>
      </c>
    </row>
    <row r="299" spans="1:27" ns3:dyDescent="0.3">
      <c r="A299" s="11" t="s">
        <v>443</v>
      </c>
      <c r="B299" s="11">
        <f>ROUNDUP(HLOOKUP(A299,'야채 계산기'!$2:$3,2,0),0)</f>
        <v>1340</v>
      </c>
      <c r="C299" s="164">
        <v>32.1</v>
      </c>
      <c r="D299" s="166"/>
      <c r="E299" s="4"/>
      <c r="F299" s="3"/>
      <c r="G299" s="5"/>
      <c r="H299" s="6"/>
      <c r="I299" s="34">
        <f t="shared" si="470"/>
        <v>0</v>
      </c>
      <c r="J299" s="78" t="str">
        <f>IFERROR(VLOOKUP(C299,[2]Sheet1!$D:$J,7,0),"")</f>
        <v/>
      </c>
      <c r="K299" s="80" t="str">
        <f t="shared" si="471"/>
        <v/>
      </c>
      <c r="L299" s="7">
        <f t="shared" si="472"/>
        <v>0</v>
      </c>
      <c r="M299" s="8" t="str">
        <f t="shared" si="473"/>
        <v/>
      </c>
      <c r="N299" s="57"/>
      <c r="O299" s="9"/>
      <c r="P299" s="10"/>
      <c r="Q299" s="10"/>
      <c r="R299" s="10"/>
      <c r="S299" s="41">
        <f t="shared" si="433"/>
        <v>0</v>
      </c>
      <c r="Y299" s="1"/>
      <c r="AA299" s="206" t="str">
        <f t="shared" si="434"/>
        <v/>
      </c>
    </row>
    <row r="300" spans="1:27" ns3:dyDescent="0.3">
      <c r="A300" s="11" t="s">
        <v>489</v>
      </c>
      <c r="B300" s="11">
        <f>ROUNDUP(HLOOKUP(A300,'야채 계산기'!$2:$3,2,0),0)</f>
        <v>2090</v>
      </c>
      <c r="C300" s="164">
        <f>'[1]스팸무스비(25.8.26)'!$B$11</f>
        <v>28.33</v>
      </c>
      <c r="D300" s="166"/>
      <c r="E300" s="4"/>
      <c r="F300" s="3"/>
      <c r="G300" s="5"/>
      <c r="H300" s="6"/>
      <c r="I300" s="34">
        <f t="shared" si="470"/>
        <v>0</v>
      </c>
      <c r="J300" s="78" t="str">
        <f>IFERROR(VLOOKUP(C300,[2]Sheet1!$D:$J,7,0),"")</f>
        <v/>
      </c>
      <c r="K300" s="80" t="str">
        <f t="shared" si="471"/>
        <v/>
      </c>
      <c r="L300" s="7">
        <f t="shared" si="472"/>
        <v>0</v>
      </c>
      <c r="M300" s="8" t="str">
        <f t="shared" si="473"/>
        <v/>
      </c>
      <c r="N300" s="57"/>
      <c r="O300" s="9"/>
      <c r="P300" s="10"/>
      <c r="Q300" s="10"/>
      <c r="R300" s="10"/>
      <c r="S300" s="41">
        <f t="shared" si="433"/>
        <v>0</v>
      </c>
      <c r="Y300" s="1"/>
      <c r="AA300" s="206" t="str">
        <f t="shared" si="434"/>
        <v/>
      </c>
    </row>
    <row r="301" spans="1:27" ns3:dyDescent="0.3">
      <c r="A301" s="60"/>
      <c r="B301" s="11"/>
      <c r="C301" s="164"/>
      <c r="D301" s="166"/>
      <c r="E301" s="4"/>
      <c r="F301" s="3"/>
      <c r="G301" s="5"/>
      <c r="H301" s="6"/>
      <c r="I301" s="34">
        <f t="shared" si="470"/>
        <v>0</v>
      </c>
      <c r="J301" s="78" t="str">
        <f>IFERROR(VLOOKUP(C301,[2]Sheet1!$D:$J,7,0),"")</f>
        <v/>
      </c>
      <c r="K301" s="80"/>
      <c r="L301" s="7"/>
      <c r="M301" s="8"/>
      <c r="N301" s="57"/>
      <c r="O301" s="9"/>
      <c r="P301" s="10"/>
      <c r="Q301" s="10"/>
      <c r="R301" s="10"/>
      <c r="Y301" s="1"/>
      <c r="AA301" s="206"/>
    </row>
    <row r="302" spans="1:27" ns3:dyDescent="0.3">
      <c r="A302" s="60"/>
      <c r="B302" s="11"/>
      <c r="C302" s="164"/>
      <c r="D302" s="166"/>
      <c r="E302" s="4"/>
      <c r="F302" s="3"/>
      <c r="G302" s="5"/>
      <c r="H302" s="6"/>
      <c r="I302" s="34">
        <f t="shared" si="470"/>
        <v>0</v>
      </c>
      <c r="J302" s="78" t="str">
        <f>IFERROR(VLOOKUP(C302,[2]Sheet1!$D:$J,7,0),"")</f>
        <v/>
      </c>
      <c r="K302" s="80"/>
      <c r="L302" s="7"/>
      <c r="M302" s="8"/>
      <c r="N302" s="57"/>
      <c r="O302" s="9"/>
      <c r="P302" s="10"/>
      <c r="Q302" s="10"/>
      <c r="R302" s="10"/>
      <c r="Y302" s="1"/>
      <c r="AA302" s="206"/>
    </row>
    <row r="303" spans="1:27" ht="18.75" customHeight="1" ns3:dyDescent="0.3">
      <c r="A303" s="2"/>
      <c r="B303" s="2"/>
      <c r="C303" s="62"/>
      <c r="D303" s="166"/>
      <c r="E303" s="4"/>
      <c r="F303" s="3"/>
      <c r="G303" s="5"/>
      <c r="H303" s="6"/>
      <c r="I303" s="34"/>
      <c r="J303" s="78" t="str">
        <f>IFERROR(VLOOKUP(C303,[2]Sheet1!$D:$J,7,0),"")</f>
        <v/>
      </c>
      <c r="K303" s="80" t="str">
        <f t="shared" si="450"/>
        <v/>
      </c>
      <c r="L303" s="7">
        <f t="shared" si="451"/>
        <v>0</v>
      </c>
      <c r="M303" s="8" t="str">
        <f t="shared" si="452"/>
        <v/>
      </c>
      <c r="N303" s="57"/>
      <c r="O303" s="9"/>
      <c r="P303" s="10"/>
      <c r="Q303" s="10"/>
      <c r="R303" s="10"/>
      <c r="S303" s="41">
        <f t="shared" si="433"/>
        <v>0</v>
      </c>
      <c r="T303" s="190"/>
      <c r="U303" s="190"/>
      <c r="V303" s="190"/>
      <c r="W303" s="190"/>
      <c r="X303" s="190"/>
      <c r="Y303" s="42"/>
      <c r="AA303" s="206" t="str">
        <f t="shared" si="434"/>
        <v/>
      </c>
    </row>
    <row r="304" spans="1:27" hidden="1" ns3:dyDescent="0.3">
      <c r="A304" s="209" t="s">
        <v>657</v>
      </c>
      <c r="B304" s="58" t="s">
        <v>348</v>
      </c>
      <c r="C304" s="57"/>
      <c r="D304" s="166" t="str">
        <f>IFERROR((F304/E304),"")</f>
        <v/>
      </c>
      <c r="E304" s="4"/>
      <c r="F304" s="3"/>
      <c r="G304" s="5"/>
      <c r="H304" s="6"/>
      <c r="I304" s="34">
        <f t="shared" ref="I304:I306" si="474">IFERROR((S304*E304),"")</f>
        <v>0</v>
      </c>
      <c r="J304" s="78" t="str">
        <f>IFERROR(VLOOKUP(C304,[2]Sheet1!$D:$J,7,0),"")</f>
        <v/>
      </c>
      <c r="K304" s="80"/>
      <c r="L304" s="7">
        <f>IFERROR((G304*H304),"")</f>
        <v>0</v>
      </c>
      <c r="M304" s="8"/>
      <c r="N304" s="57"/>
      <c r="O304" s="9"/>
      <c r="P304" s="10"/>
      <c r="Q304" s="10"/>
      <c r="R304" s="10">
        <f t="shared" ref="R304:R306" si="475">O304*P304*Q304</f>
        <v>0</v>
      </c>
      <c r="S304" s="41">
        <f t="shared" ref="S304:S306" si="476">SUM(Y304,T304:X304)</f>
        <v>0</v>
      </c>
      <c r="T304" s="190"/>
      <c r="U304" s="190"/>
      <c r="V304" s="190"/>
      <c r="W304" s="190"/>
      <c r="X304" s="190"/>
      <c r="Y304" s="42"/>
      <c r="AA304" s="206" t="str">
        <f t="shared" ref="AA304:AA306" si="477">IFERROR(H304*7.5/E304/7,"")</f>
        <v/>
      </c>
    </row>
    <row r="305" spans="1:27" hidden="1" ns3:dyDescent="0.3">
      <c r="A305" s="16"/>
      <c r="B305" s="134"/>
      <c r="C305" s="262" t="s">
        <v>665</v>
      </c>
      <c r="D305" s="166">
        <f>IFERROR((F305/E305),"")</f>
        <v>3.3299999999999996</v>
      </c>
      <c r="E305" s="4">
        <v>10</v>
      </c>
      <c r="F305" s="3">
        <f>IFERROR((L305-K305),"")</f>
        <v>33.299999999999997</v>
      </c>
      <c r="G305" s="5">
        <v>4.5</v>
      </c>
      <c r="H305" s="6">
        <f>ROUNDUP(SUMPRODUCT(B306, C306)/1000,1)</f>
        <v>7.3999999999999995</v>
      </c>
      <c r="I305" s="34">
        <f t="shared" si="474"/>
        <v>0</v>
      </c>
      <c r="J305" s="78">
        <f>IFERROR(VLOOKUP(C305,[2]Sheet1!$D:$J,7,0),"")</f>
        <v>0</v>
      </c>
      <c r="K305" s="80">
        <f t="shared" ref="K305:K306" si="478">IFERROR((I305+J305),"")</f>
        <v>0</v>
      </c>
      <c r="L305" s="7">
        <f t="shared" ref="L305:L306" si="479">IFERROR((G305*H305),"")</f>
        <v>33.299999999999997</v>
      </c>
      <c r="M305" s="8">
        <f t="shared" ref="M305:M306" si="480">IFERROR(K305-L305,"")</f>
        <v>-33.299999999999997</v>
      </c>
      <c r="N305" s="57">
        <f>IFERROR((K305/H305),"")</f>
        <v>0</v>
      </c>
      <c r="O305" s="9"/>
      <c r="P305" s="10">
        <v>8</v>
      </c>
      <c r="Q305" s="10">
        <v>5950</v>
      </c>
      <c r="R305" s="10">
        <f t="shared" si="475"/>
        <v>0</v>
      </c>
      <c r="S305" s="41">
        <f t="shared" si="476"/>
        <v>0</v>
      </c>
      <c r="T305" s="183"/>
      <c r="U305" s="183"/>
      <c r="V305" s="173"/>
      <c r="W305" s="183"/>
      <c r="X305" s="173"/>
      <c r="Y305" s="220"/>
      <c r="AA305" s="206">
        <f t="shared" si="477"/>
        <v>0.7928571428571427</v>
      </c>
    </row>
    <row r="306" spans="1:27" hidden="1" ns3:dyDescent="0.3">
      <c r="A306" s="272" t="s">
        <v>654</v>
      </c>
      <c r="B306" s="11">
        <v>26</v>
      </c>
      <c r="C306" s="164">
        <f>'[1]쯔양)매콤흑당치킨'!$B$4</f>
        <v>283.94</v>
      </c>
      <c r="D306" s="166"/>
      <c r="E306" s="4"/>
      <c r="F306" s="3"/>
      <c r="G306" s="5"/>
      <c r="H306" s="6"/>
      <c r="I306" s="34">
        <f t="shared" si="474"/>
        <v>0</v>
      </c>
      <c r="J306" s="78" t="str">
        <f>IFERROR(VLOOKUP(C306,[2]Sheet1!$D:$J,7,0),"")</f>
        <v/>
      </c>
      <c r="K306" s="80" t="str">
        <f t="shared" si="478"/>
        <v/>
      </c>
      <c r="L306" s="7">
        <f t="shared" si="479"/>
        <v>0</v>
      </c>
      <c r="M306" s="8" t="str">
        <f t="shared" si="480"/>
        <v/>
      </c>
      <c r="N306" s="57" t="str">
        <f t="shared" ref="N306" si="481">IFERROR((K306/H306),"")</f>
        <v/>
      </c>
      <c r="O306" s="9"/>
      <c r="P306" s="10"/>
      <c r="Q306" s="10"/>
      <c r="R306" s="10">
        <f t="shared" si="475"/>
        <v>0</v>
      </c>
      <c r="S306" s="41">
        <f t="shared" si="476"/>
        <v>0</v>
      </c>
      <c r="Y306" s="42"/>
      <c r="AA306" s="206" t="str">
        <f t="shared" si="477"/>
        <v/>
      </c>
    </row>
    <row r="307" spans="1:27" hidden="1" ns3:dyDescent="0.3">
      <c r="A307" s="61"/>
      <c r="B307" s="11"/>
      <c r="C307" s="164"/>
      <c r="D307" s="166"/>
      <c r="E307" s="4"/>
      <c r="F307" s="3"/>
      <c r="G307" s="5"/>
      <c r="H307" s="6"/>
      <c r="I307" s="34"/>
      <c r="J307" s="78" t="str">
        <f>IFERROR(VLOOKUP(C307,[2]Sheet1!$D:$J,7,0),"")</f>
        <v/>
      </c>
      <c r="K307" s="80"/>
      <c r="L307" s="7"/>
      <c r="M307" s="8"/>
      <c r="N307" s="57"/>
      <c r="O307" s="9"/>
      <c r="P307" s="10"/>
      <c r="Q307" s="10"/>
      <c r="R307" s="10"/>
      <c r="Y307" s="42"/>
      <c r="AA307" s="206"/>
    </row>
    <row r="308" spans="1:27" ns3:dyDescent="0.3">
      <c r="A308" s="61"/>
      <c r="B308" s="11"/>
      <c r="C308" s="164"/>
      <c r="D308" s="166"/>
      <c r="E308" s="4"/>
      <c r="F308" s="3"/>
      <c r="G308" s="5"/>
      <c r="H308" s="6"/>
      <c r="I308" s="34"/>
      <c r="J308" s="78" t="str">
        <f>IFERROR(VLOOKUP(C308,[2]Sheet1!$D:$J,7,0),"")</f>
        <v/>
      </c>
      <c r="K308" s="80"/>
      <c r="L308" s="7"/>
      <c r="M308" s="8"/>
      <c r="N308" s="57"/>
      <c r="O308" s="9"/>
      <c r="P308" s="10"/>
      <c r="Q308" s="10"/>
      <c r="R308" s="10"/>
      <c r="Y308" s="42"/>
      <c r="AA308" s="206"/>
    </row>
    <row r="309" spans="1:27" ns3:dyDescent="0.3">
      <c r="A309" s="61"/>
      <c r="B309" s="11"/>
      <c r="C309" s="164"/>
      <c r="D309" s="166"/>
      <c r="E309" s="4"/>
      <c r="F309" s="3"/>
      <c r="G309" s="5"/>
      <c r="H309" s="6"/>
      <c r="I309" s="34"/>
      <c r="J309" s="78" t="str">
        <f>IFERROR(VLOOKUP(C309,[2]Sheet1!$D:$J,7,0),"")</f>
        <v/>
      </c>
      <c r="K309" s="80"/>
      <c r="L309" s="7"/>
      <c r="M309" s="8"/>
      <c r="N309" s="57"/>
      <c r="O309" s="9"/>
      <c r="P309" s="10"/>
      <c r="Q309" s="10"/>
      <c r="R309" s="10"/>
      <c r="Y309" s="42"/>
      <c r="AA309" s="206"/>
    </row>
    <row r="310" spans="1:27" ns3:dyDescent="0.3">
      <c r="A310" s="61"/>
      <c r="B310" s="11"/>
      <c r="C310" s="164"/>
      <c r="D310" s="166"/>
      <c r="E310" s="4"/>
      <c r="F310" s="3"/>
      <c r="G310" s="5"/>
      <c r="H310" s="6"/>
      <c r="I310" s="34"/>
      <c r="J310" s="78" t="str">
        <f>IFERROR(VLOOKUP(C310,[2]Sheet1!$D:$J,7,0),"")</f>
        <v/>
      </c>
      <c r="K310" s="80"/>
      <c r="L310" s="7"/>
      <c r="M310" s="8"/>
      <c r="N310" s="57"/>
      <c r="O310" s="9"/>
      <c r="P310" s="10"/>
      <c r="Q310" s="10"/>
      <c r="R310" s="10"/>
      <c r="Y310" s="42"/>
      <c r="AA310" s="206"/>
    </row>
    <row r="311" spans="1:27" ns3:dyDescent="0.3">
      <c r="A311" s="209" t="s">
        <v>365</v>
      </c>
      <c r="B311" s="58" t="s">
        <v>348</v>
      </c>
      <c r="C311" s="57"/>
      <c r="D311" s="166" t="str">
        <f>IFERROR((F311/E311),"")</f>
        <v/>
      </c>
      <c r="E311" s="4"/>
      <c r="F311" s="3"/>
      <c r="G311" s="5"/>
      <c r="H311" s="6"/>
      <c r="I311" s="34">
        <f t="shared" si="449"/>
        <v>0</v>
      </c>
      <c r="J311" s="78" t="str">
        <f>IFERROR(VLOOKUP(C311,[2]Sheet1!$D:$J,7,0),"")</f>
        <v/>
      </c>
      <c r="K311" s="80"/>
      <c r="L311" s="7">
        <f>IFERROR((G311*H311),"")</f>
        <v>0</v>
      </c>
      <c r="M311" s="8"/>
      <c r="N311" s="57"/>
      <c r="O311" s="9"/>
      <c r="P311" s="10"/>
      <c r="Q311" s="10"/>
      <c r="R311" s="10">
        <f t="shared" ref="R311:R337" si="482">O311*P311*Q311</f>
        <v>0</v>
      </c>
      <c r="S311" s="41">
        <f t="shared" si="433"/>
        <v>0</v>
      </c>
      <c r="T311" s="190"/>
      <c r="U311" s="190"/>
      <c r="V311" s="190"/>
      <c r="W311" s="190"/>
      <c r="X311" s="190"/>
      <c r="Y311" s="42"/>
      <c r="AA311" s="206" t="str">
        <f t="shared" si="434"/>
        <v/>
      </c>
    </row>
    <row r="312" spans="1:27" ns3:dyDescent="0.3">
      <c r="A312" s="16"/>
      <c r="B312" s="134" t="s">
        <v>183</v>
      </c>
      <c r="C312" s="164" t="s">
        <v>79</v>
      </c>
      <c r="D312" s="166">
        <f>IFERROR((F312/E312),"")</f>
        <v>-8.5320000000000107</v>
      </c>
      <c r="E312" s="4">
        <v>8</v>
      </c>
      <c r="F312" s="3">
        <f>IFERROR((L312-K312),"")</f>
        <v>-68.256000000000085</v>
      </c>
      <c r="G312" s="5">
        <v>4.5</v>
      </c>
      <c r="H312" s="6">
        <f>ROUNDUP(SUMPRODUCT(B313:B315, C313:C315)/15,1)*0.88</f>
        <v>150.83199999999999</v>
      </c>
      <c r="I312" s="34">
        <f t="shared" ref="I312:I324" si="483">IFERROR((S312*E312),"")</f>
        <v>608</v>
      </c>
      <c r="J312" s="78">
        <f>IFERROR(VLOOKUP(C312,[2]Sheet1!$D:$J,7,0),"")</f>
        <v>139</v>
      </c>
      <c r="K312" s="80">
        <f t="shared" ref="K312:K324" si="484">IFERROR((I312+J312),"")</f>
        <v>747</v>
      </c>
      <c r="L312" s="7">
        <f t="shared" ref="L312:L324" si="485">IFERROR((G312*H312),"")</f>
        <v>678.74399999999991</v>
      </c>
      <c r="M312" s="8">
        <f t="shared" ref="M312:M324" si="486">IFERROR(K312-L312,"")</f>
        <v>68.256000000000085</v>
      </c>
      <c r="N312" s="57">
        <f>IFERROR((K312/H312),"")</f>
        <v>4.9525299671157317</v>
      </c>
      <c r="O312" s="9"/>
      <c r="P312" s="10">
        <v>8</v>
      </c>
      <c r="Q312" s="10">
        <v>5750</v>
      </c>
      <c r="R312" s="10">
        <f t="shared" si="482"/>
        <v>0</v>
      </c>
      <c r="S312" s="41">
        <f t="shared" si="433"/>
        <v>76</v>
      </c>
      <c r="T312" s="173">
        <v>24</v>
      </c>
      <c r="U312" s="173">
        <v>28</v>
      </c>
      <c r="V312" s="173">
        <v>24</v>
      </c>
      <c r="W312" s="173"/>
      <c r="X312" s="173"/>
      <c r="Y312" s="220"/>
      <c r="AA312" s="206">
        <f t="shared" si="434"/>
        <v>20.200714285714287</v>
      </c>
    </row>
    <row r="313" spans="1:27" ns3:dyDescent="0.3">
      <c r="A313" s="61" t="s">
        <v>496</v>
      </c>
      <c r="B313" s="11">
        <f>ROUNDUP(HLOOKUP(A313,'야채 계산기'!$2:$3,2,0)*1.03,0)</f>
        <v>1113</v>
      </c>
      <c r="C313" s="164">
        <v>0.5</v>
      </c>
      <c r="D313" s="166"/>
      <c r="E313" s="4"/>
      <c r="F313" s="3"/>
      <c r="G313" s="5"/>
      <c r="H313" s="6"/>
      <c r="I313" s="34">
        <f t="shared" si="483"/>
        <v>0</v>
      </c>
      <c r="J313" s="78" t="str">
        <f>IFERROR(VLOOKUP(C313,[2]Sheet1!$D:$J,7,0),"")</f>
        <v/>
      </c>
      <c r="K313" s="80" t="str">
        <f t="shared" si="484"/>
        <v/>
      </c>
      <c r="L313" s="7">
        <f t="shared" si="485"/>
        <v>0</v>
      </c>
      <c r="M313" s="8" t="str">
        <f t="shared" si="486"/>
        <v/>
      </c>
      <c r="N313" s="57" t="str">
        <f t="shared" ref="N313:N337" si="487">IFERROR((K313/H313),"")</f>
        <v/>
      </c>
      <c r="O313" s="9"/>
      <c r="P313" s="10"/>
      <c r="Q313" s="10"/>
      <c r="R313" s="10">
        <f t="shared" si="482"/>
        <v>0</v>
      </c>
      <c r="S313" s="41">
        <f t="shared" si="433"/>
        <v>0</v>
      </c>
      <c r="Y313" s="42"/>
      <c r="AA313" s="206" t="str">
        <f t="shared" si="434"/>
        <v/>
      </c>
    </row>
    <row r="314" spans="1:27" ns3:dyDescent="0.3">
      <c r="A314" s="61" t="s">
        <v>776</v>
      </c>
      <c r="B314" s="11">
        <f>ROUNDUP(HLOOKUP(A314,'야채 계산기'!$2:$3,2,0)*1.03,0)</f>
        <v>567</v>
      </c>
      <c r="C314" s="164">
        <v>0.5</v>
      </c>
      <c r="D314" s="166"/>
      <c r="E314" s="4"/>
      <c r="F314" s="3"/>
      <c r="G314" s="5"/>
      <c r="H314" s="6"/>
      <c r="I314" s="34">
        <f>IFERROR((S314*E314),"")</f>
        <v>0</v>
      </c>
      <c r="J314" s="78" t="str">
        <f>IFERROR(VLOOKUP(C314,[2]Sheet1!$D:$J,7,0),"")</f>
        <v/>
      </c>
      <c r="K314" s="80" t="str">
        <f>IFERROR((I314+J314),"")</f>
        <v/>
      </c>
      <c r="L314" s="7">
        <f>IFERROR((G314*H314),"")</f>
        <v>0</v>
      </c>
      <c r="M314" s="8" t="str">
        <f>IFERROR(K314-L314,"")</f>
        <v/>
      </c>
      <c r="N314" s="57" t="str">
        <f>IFERROR((K314/H314),"")</f>
        <v/>
      </c>
      <c r="O314" s="9"/>
      <c r="P314" s="10">
        <v>8</v>
      </c>
      <c r="Q314" s="10">
        <v>5100</v>
      </c>
      <c r="R314" s="10">
        <f t="shared" ref="R314" si="488">O314*P314*Q314</f>
        <v>0</v>
      </c>
      <c r="S314" s="41">
        <f t="shared" si="433"/>
        <v>0</v>
      </c>
      <c r="Y314" s="42"/>
      <c r="Z314" s="1"/>
      <c r="AA314" s="206" t="str">
        <f t="shared" ref="AA314" si="489">IFERROR(H314*7.5/E314/7,"")</f>
        <v/>
      </c>
    </row>
    <row r="315" spans="1:27" ns3:dyDescent="0.3">
      <c r="A315" s="61" t="s">
        <v>711</v>
      </c>
      <c r="B315" s="11">
        <f>ROUNDUP(HLOOKUP(A315,'야채 계산기'!$2:$3,2,0)*1.03,0)</f>
        <v>1731</v>
      </c>
      <c r="C315" s="164">
        <v>1</v>
      </c>
      <c r="D315" s="166"/>
      <c r="E315" s="4"/>
      <c r="F315" s="3"/>
      <c r="G315" s="5"/>
      <c r="H315" s="6"/>
      <c r="I315" s="34">
        <f>IFERROR((S315*E315),"")</f>
        <v>0</v>
      </c>
      <c r="J315" s="78" t="str">
        <f>IFERROR(VLOOKUP(C315,[2]Sheet1!$D:$J,7,0),"")</f>
        <v/>
      </c>
      <c r="K315" s="80" t="str">
        <f>IFERROR((I315+J315),"")</f>
        <v/>
      </c>
      <c r="L315" s="7">
        <f>IFERROR((G315*H315),"")</f>
        <v>0</v>
      </c>
      <c r="M315" s="8" t="str">
        <f>IFERROR(K315-L315,"")</f>
        <v/>
      </c>
      <c r="N315" s="57" t="str">
        <f>IFERROR((K315/H315),"")</f>
        <v/>
      </c>
      <c r="O315" s="9"/>
      <c r="P315" s="10">
        <v>8</v>
      </c>
      <c r="Q315" s="10">
        <v>5100</v>
      </c>
      <c r="R315" s="10">
        <f t="shared" si="482"/>
        <v>0</v>
      </c>
      <c r="S315" s="41">
        <f t="shared" ref="S315:S350" si="490">SUM(Y315,T315:X315)</f>
        <v>0</v>
      </c>
      <c r="Y315" s="42"/>
      <c r="Z315" s="1"/>
      <c r="AA315" s="206" t="str">
        <f t="shared" si="434"/>
        <v/>
      </c>
    </row>
    <row r="316" spans="1:27" ns3:dyDescent="0.3">
      <c r="A316" s="61"/>
      <c r="B316" s="134" t="s">
        <v>183</v>
      </c>
      <c r="C316" s="164" t="s">
        <v>46</v>
      </c>
      <c r="D316" s="166">
        <f t="shared" ref="D316:D318" si="491">IFERROR((F316/E316),"")</f>
        <v>3.0660000000000025</v>
      </c>
      <c r="E316" s="4">
        <v>10</v>
      </c>
      <c r="F316" s="3">
        <f>IFERROR((L316-K316),"")</f>
        <v>30.660000000000025</v>
      </c>
      <c r="G316" s="5">
        <f>G312</f>
        <v>4.5</v>
      </c>
      <c r="H316" s="6">
        <f>ROUNDUP(SUMPRODUCT(B317:B318, C317:C318)/42,0)*0.92</f>
        <v>63.480000000000004</v>
      </c>
      <c r="I316" s="34">
        <f t="shared" si="483"/>
        <v>140</v>
      </c>
      <c r="J316" s="78">
        <f>IFERROR(VLOOKUP(C316,[2]Sheet1!$D:$J,7,0),"")</f>
        <v>115</v>
      </c>
      <c r="K316" s="80">
        <f t="shared" si="484"/>
        <v>255</v>
      </c>
      <c r="L316" s="7">
        <f t="shared" si="485"/>
        <v>285.66000000000003</v>
      </c>
      <c r="M316" s="8">
        <f t="shared" si="486"/>
        <v>-30.660000000000025</v>
      </c>
      <c r="N316" s="57">
        <f t="shared" si="487"/>
        <v>4.0170132325141772</v>
      </c>
      <c r="O316" s="9"/>
      <c r="P316" s="10">
        <v>10</v>
      </c>
      <c r="Q316" s="10">
        <v>6100</v>
      </c>
      <c r="R316" s="10">
        <f t="shared" si="482"/>
        <v>0</v>
      </c>
      <c r="S316" s="41">
        <f t="shared" si="490"/>
        <v>14</v>
      </c>
      <c r="T316" s="173">
        <v>8</v>
      </c>
      <c r="U316" s="173">
        <v>6</v>
      </c>
      <c r="V316" s="173"/>
      <c r="W316" s="173"/>
      <c r="X316" s="183"/>
      <c r="Y316" s="220"/>
      <c r="AA316" s="206">
        <f t="shared" si="434"/>
        <v>6.8014285714285716</v>
      </c>
    </row>
    <row r="317" spans="1:27" ns3:dyDescent="0.3">
      <c r="A317" s="61" t="s">
        <v>496</v>
      </c>
      <c r="B317" s="11">
        <f>ROUNDUP(HLOOKUP(A317,'야채 계산기'!$2:$3,2,0)*1.03,0)</f>
        <v>1113</v>
      </c>
      <c r="C317" s="164">
        <v>2</v>
      </c>
      <c r="D317" s="166" t="str">
        <f t="shared" si="491"/>
        <v/>
      </c>
      <c r="E317" s="4"/>
      <c r="F317" s="3"/>
      <c r="G317" s="5"/>
      <c r="H317" s="6"/>
      <c r="I317" s="34">
        <f t="shared" si="483"/>
        <v>0</v>
      </c>
      <c r="J317" s="78" t="str">
        <f>IFERROR(VLOOKUP(C317,[2]Sheet1!$D:$J,7,0),"")</f>
        <v/>
      </c>
      <c r="K317" s="80" t="str">
        <f t="shared" si="484"/>
        <v/>
      </c>
      <c r="L317" s="7">
        <f t="shared" si="485"/>
        <v>0</v>
      </c>
      <c r="M317" s="8" t="str">
        <f t="shared" si="486"/>
        <v/>
      </c>
      <c r="N317" s="57" t="str">
        <f t="shared" si="487"/>
        <v/>
      </c>
      <c r="O317" s="9"/>
      <c r="P317" s="10"/>
      <c r="Q317" s="10"/>
      <c r="R317" s="10">
        <f t="shared" si="482"/>
        <v>0</v>
      </c>
      <c r="S317" s="41">
        <f t="shared" si="490"/>
        <v>0</v>
      </c>
      <c r="Y317" s="42"/>
      <c r="AA317" s="206" t="str">
        <f t="shared" si="434"/>
        <v/>
      </c>
    </row>
    <row r="318" spans="1:27" ns3:dyDescent="0.3">
      <c r="A318" s="61" t="s">
        <v>494</v>
      </c>
      <c r="B318" s="11">
        <f>ROUNDUP(HLOOKUP(A318,'야채 계산기'!$2:$3,2,0)*1.03,0)</f>
        <v>660</v>
      </c>
      <c r="C318" s="164">
        <v>1</v>
      </c>
      <c r="D318" s="166" t="str">
        <f t="shared" si="491"/>
        <v/>
      </c>
      <c r="E318" s="4"/>
      <c r="F318" s="3"/>
      <c r="G318" s="5"/>
      <c r="H318" s="6"/>
      <c r="I318" s="34">
        <f t="shared" ref="I318" si="492">IFERROR((S318*E318),"")</f>
        <v>0</v>
      </c>
      <c r="J318" s="78" t="str">
        <f>IFERROR(VLOOKUP(C318,[2]Sheet1!$D:$J,7,0),"")</f>
        <v/>
      </c>
      <c r="K318" s="80" t="str">
        <f t="shared" ref="K318" si="493">IFERROR((I318+J318),"")</f>
        <v/>
      </c>
      <c r="L318" s="7">
        <f t="shared" ref="L318" si="494">IFERROR((G318*H318),"")</f>
        <v>0</v>
      </c>
      <c r="M318" s="8" t="str">
        <f t="shared" ref="M318" si="495">IFERROR(K318-L318,"")</f>
        <v/>
      </c>
      <c r="N318" s="57" t="str">
        <f>IFERROR((K318/H318),"")</f>
        <v/>
      </c>
      <c r="O318" s="9"/>
      <c r="P318" s="10"/>
      <c r="Q318" s="10"/>
      <c r="R318" s="10">
        <f t="shared" ref="R318" si="496">O318*P318*Q318</f>
        <v>0</v>
      </c>
      <c r="S318" s="41">
        <f t="shared" si="490"/>
        <v>0</v>
      </c>
      <c r="Y318" s="42"/>
      <c r="AA318" s="206" t="str">
        <f t="shared" si="434"/>
        <v/>
      </c>
    </row>
    <row r="319" spans="1:27" ns3:dyDescent="0.3">
      <c r="A319" s="61"/>
      <c r="B319" s="134" t="s">
        <v>183</v>
      </c>
      <c r="C319" s="62" t="s">
        <v>171</v>
      </c>
      <c r="D319" s="166">
        <f t="shared" ref="D319:D322" si="497">IFERROR((F319/E319),"")</f>
        <v>-14.469999999999999</v>
      </c>
      <c r="E319" s="4">
        <v>8</v>
      </c>
      <c r="F319" s="3">
        <f>IFERROR((L319-K319),"")</f>
        <v>-115.75999999999999</v>
      </c>
      <c r="G319" s="5">
        <f>G312</f>
        <v>4.5</v>
      </c>
      <c r="H319" s="6">
        <f>ROUNDUP((B320*C320)/10,0)*0.92</f>
        <v>60.720000000000006</v>
      </c>
      <c r="I319" s="34">
        <f t="shared" si="483"/>
        <v>240</v>
      </c>
      <c r="J319" s="78">
        <f>IFERROR(VLOOKUP(C319,[2]Sheet1!$D:$J,7,0),"")</f>
        <v>149</v>
      </c>
      <c r="K319" s="80">
        <f t="shared" si="484"/>
        <v>389</v>
      </c>
      <c r="L319" s="7">
        <f t="shared" si="485"/>
        <v>273.24</v>
      </c>
      <c r="M319" s="8">
        <f t="shared" si="486"/>
        <v>115.75999999999999</v>
      </c>
      <c r="N319" s="57">
        <f t="shared" si="487"/>
        <v>6.4064558629776016</v>
      </c>
      <c r="O319" s="9"/>
      <c r="P319" s="10">
        <v>20</v>
      </c>
      <c r="Q319" s="10">
        <v>10300</v>
      </c>
      <c r="R319" s="10">
        <f t="shared" si="482"/>
        <v>0</v>
      </c>
      <c r="S319" s="41">
        <f t="shared" si="490"/>
        <v>30</v>
      </c>
      <c r="T319" s="173">
        <v>10</v>
      </c>
      <c r="U319" s="173">
        <v>12</v>
      </c>
      <c r="V319" s="173">
        <v>8</v>
      </c>
      <c r="W319" s="173"/>
      <c r="X319" s="183"/>
      <c r="Y319" s="220"/>
      <c r="Z319" s="1"/>
      <c r="AA319" s="206">
        <f t="shared" si="434"/>
        <v>8.132142857142858</v>
      </c>
    </row>
    <row r="320" spans="1:27" ns3:dyDescent="0.3">
      <c r="A320" s="61" t="s">
        <v>494</v>
      </c>
      <c r="B320" s="11">
        <f>ROUNDUP(HLOOKUP(A320,'야채 계산기'!$2:$3,2,0)*1.03,0)</f>
        <v>660</v>
      </c>
      <c r="C320" s="62">
        <v>1</v>
      </c>
      <c r="D320" s="166" t="str">
        <f t="shared" si="497"/>
        <v/>
      </c>
      <c r="E320" s="4"/>
      <c r="F320" s="3"/>
      <c r="G320" s="5"/>
      <c r="H320" s="6"/>
      <c r="I320" s="34">
        <f t="shared" si="483"/>
        <v>0</v>
      </c>
      <c r="J320" s="78" t="str">
        <f>IFERROR(VLOOKUP(C320,[2]Sheet1!$D:$J,7,0),"")</f>
        <v/>
      </c>
      <c r="K320" s="80" t="str">
        <f t="shared" si="484"/>
        <v/>
      </c>
      <c r="L320" s="7">
        <f t="shared" si="485"/>
        <v>0</v>
      </c>
      <c r="M320" s="8" t="str">
        <f t="shared" si="486"/>
        <v/>
      </c>
      <c r="N320" s="57" t="str">
        <f t="shared" si="487"/>
        <v/>
      </c>
      <c r="O320" s="9"/>
      <c r="P320" s="10"/>
      <c r="Q320" s="10"/>
      <c r="R320" s="10">
        <f t="shared" si="482"/>
        <v>0</v>
      </c>
      <c r="S320" s="41">
        <f t="shared" si="490"/>
        <v>0</v>
      </c>
      <c r="Y320" s="42"/>
      <c r="Z320" s="1"/>
      <c r="AA320" s="206" t="str">
        <f t="shared" si="434"/>
        <v/>
      </c>
    </row>
    <row r="321" spans="1:27" hidden="1" ns3:dyDescent="0.3">
      <c r="A321" s="61"/>
      <c r="B321" s="11"/>
      <c r="C321" s="262" t="s">
        <v>235</v>
      </c>
      <c r="D321" s="166" t="str">
        <f t="shared" si="497"/>
        <v/>
      </c>
      <c r="E321" s="4">
        <v>3</v>
      </c>
      <c r="F321" s="3" t="str">
        <f>IFERROR((L321-K321),"")</f>
        <v/>
      </c>
      <c r="G321" s="5">
        <f>G319</f>
        <v>4.5</v>
      </c>
      <c r="H321" s="6">
        <f>ROUNDUP((B322*C322)/3000,0)</f>
        <v>0</v>
      </c>
      <c r="I321" s="34">
        <f t="shared" si="483"/>
        <v>0</v>
      </c>
      <c r="J321" s="78" t="str">
        <f>IFERROR(VLOOKUP(C321,[2]Sheet1!$D:$J,7,0),"")</f>
        <v/>
      </c>
      <c r="K321" s="80" t="str">
        <f t="shared" si="484"/>
        <v/>
      </c>
      <c r="L321" s="7">
        <f t="shared" si="485"/>
        <v>0</v>
      </c>
      <c r="M321" s="8" t="str">
        <f t="shared" si="486"/>
        <v/>
      </c>
      <c r="N321" s="57" t="str">
        <f t="shared" si="487"/>
        <v/>
      </c>
      <c r="O321" s="9"/>
      <c r="P321" s="10"/>
      <c r="Q321" s="10"/>
      <c r="R321" s="10">
        <f t="shared" si="482"/>
        <v>0</v>
      </c>
      <c r="S321" s="41">
        <f t="shared" si="490"/>
        <v>0</v>
      </c>
      <c r="T321" s="173"/>
      <c r="U321" s="173"/>
      <c r="V321" s="173"/>
      <c r="W321" s="173"/>
      <c r="X321" s="183"/>
      <c r="Y321" s="220"/>
      <c r="AA321" s="206">
        <f t="shared" si="434"/>
        <v>0</v>
      </c>
    </row>
    <row r="322" spans="1:27" hidden="1" ns3:dyDescent="0.3">
      <c r="A322" s="272" t="s">
        <v>495</v>
      </c>
      <c r="B322" s="11">
        <f>ROUNDUP(HLOOKUP(A322,'야채 계산기'!$2:$3,2,0)*1.03,0)</f>
        <v>0</v>
      </c>
      <c r="C322" s="62">
        <f>'[1]혜자)직화불고기&amp;오징어제육(25.9.16)'!$B$24</f>
        <v>75.91</v>
      </c>
      <c r="D322" s="166" t="str">
        <f t="shared" si="497"/>
        <v/>
      </c>
      <c r="E322" s="4"/>
      <c r="F322" s="3"/>
      <c r="G322" s="5"/>
      <c r="H322" s="6"/>
      <c r="I322" s="34">
        <f t="shared" si="483"/>
        <v>0</v>
      </c>
      <c r="J322" s="78" t="str">
        <f>IFERROR(VLOOKUP(C322,[2]Sheet1!$D:$J,7,0),"")</f>
        <v/>
      </c>
      <c r="K322" s="80" t="str">
        <f t="shared" si="484"/>
        <v/>
      </c>
      <c r="L322" s="7">
        <f t="shared" si="485"/>
        <v>0</v>
      </c>
      <c r="M322" s="8" t="str">
        <f t="shared" si="486"/>
        <v/>
      </c>
      <c r="N322" s="57" t="str">
        <f t="shared" si="487"/>
        <v/>
      </c>
      <c r="O322" s="9"/>
      <c r="P322" s="10"/>
      <c r="Q322" s="10"/>
      <c r="R322" s="10">
        <f t="shared" si="482"/>
        <v>0</v>
      </c>
      <c r="S322" s="41">
        <f t="shared" si="490"/>
        <v>0</v>
      </c>
      <c r="Y322" s="42"/>
      <c r="AA322" s="206" t="str">
        <f t="shared" si="434"/>
        <v/>
      </c>
    </row>
    <row r="323" spans="1:27" ns3:dyDescent="0.3">
      <c r="A323" s="61"/>
      <c r="B323" s="134" t="s">
        <v>183</v>
      </c>
      <c r="C323" s="62" t="s">
        <v>234</v>
      </c>
      <c r="D323" s="166">
        <f t="shared" ref="D323:D325" si="498">IFERROR((F323/E323),"")</f>
        <v>-0.83749999999999858</v>
      </c>
      <c r="E323" s="4">
        <v>8</v>
      </c>
      <c r="F323" s="3">
        <f>IFERROR((L323-K323),"")</f>
        <v>-6.6999999999999886</v>
      </c>
      <c r="G323" s="5">
        <f>G321</f>
        <v>4.5</v>
      </c>
      <c r="H323" s="6">
        <f>ROUNDUP((B324*C324)/6,0)*0.92</f>
        <v>87.4</v>
      </c>
      <c r="I323" s="34">
        <f t="shared" si="483"/>
        <v>352</v>
      </c>
      <c r="J323" s="78">
        <f>IFERROR(VLOOKUP(C323,[2]Sheet1!$D:$J,7,0),"")</f>
        <v>48</v>
      </c>
      <c r="K323" s="80">
        <f t="shared" si="484"/>
        <v>400</v>
      </c>
      <c r="L323" s="7">
        <f t="shared" si="485"/>
        <v>393.3</v>
      </c>
      <c r="M323" s="8">
        <f t="shared" si="486"/>
        <v>6.6999999999999886</v>
      </c>
      <c r="N323" s="57">
        <f t="shared" si="487"/>
        <v>4.5766590389016013</v>
      </c>
      <c r="O323" s="9"/>
      <c r="P323" s="10">
        <v>20</v>
      </c>
      <c r="Q323" s="10">
        <v>11800</v>
      </c>
      <c r="R323" s="10">
        <f t="shared" si="482"/>
        <v>0</v>
      </c>
      <c r="S323" s="41">
        <f t="shared" si="490"/>
        <v>44</v>
      </c>
      <c r="T323" s="173">
        <v>12</v>
      </c>
      <c r="U323" s="173">
        <v>16</v>
      </c>
      <c r="V323" s="173">
        <v>16</v>
      </c>
      <c r="W323" s="173"/>
      <c r="X323" s="183"/>
      <c r="Y323" s="220"/>
      <c r="Z323" s="1"/>
      <c r="AA323" s="206">
        <f t="shared" si="434"/>
        <v>11.705357142857142</v>
      </c>
    </row>
    <row r="324" spans="1:27" ns3:dyDescent="0.3">
      <c r="A324" s="61" t="s">
        <v>757</v>
      </c>
      <c r="B324" s="11">
        <f>ROUNDUP(HLOOKUP(A324,'야채 계산기'!$2:$3,2,0)*1.03,0)</f>
        <v>2266</v>
      </c>
      <c r="C324" s="62">
        <v>0.25</v>
      </c>
      <c r="D324" s="166" t="str">
        <f t="shared" si="498"/>
        <v/>
      </c>
      <c r="E324" s="4"/>
      <c r="F324" s="3"/>
      <c r="G324" s="5"/>
      <c r="H324" s="6"/>
      <c r="I324" s="34">
        <f t="shared" si="483"/>
        <v>0</v>
      </c>
      <c r="J324" s="78" t="str">
        <f>IFERROR(VLOOKUP(C324,[2]Sheet1!$D:$J,7,0),"")</f>
        <v/>
      </c>
      <c r="K324" s="80" t="str">
        <f t="shared" si="484"/>
        <v/>
      </c>
      <c r="L324" s="7">
        <f t="shared" si="485"/>
        <v>0</v>
      </c>
      <c r="M324" s="8" t="str">
        <f t="shared" si="486"/>
        <v/>
      </c>
      <c r="N324" s="57" t="str">
        <f t="shared" si="487"/>
        <v/>
      </c>
      <c r="O324" s="9"/>
      <c r="P324" s="10"/>
      <c r="Q324" s="10"/>
      <c r="R324" s="10">
        <f t="shared" si="482"/>
        <v>0</v>
      </c>
      <c r="S324" s="41">
        <f t="shared" si="490"/>
        <v>0</v>
      </c>
      <c r="Y324" s="42"/>
      <c r="Z324" s="1"/>
      <c r="AA324" s="206" t="str">
        <f t="shared" si="434"/>
        <v/>
      </c>
    </row>
    <row r="325" spans="1:27" ns3:dyDescent="0.3">
      <c r="A325" s="61"/>
      <c r="B325" s="11"/>
      <c r="C325" s="164" t="s">
        <v>17</v>
      </c>
      <c r="D325" s="166">
        <f t="shared" si="498"/>
        <v>-4.8</v>
      </c>
      <c r="E325" s="4">
        <v>1</v>
      </c>
      <c r="F325" s="3">
        <f>IFERROR((L325-K325),"")</f>
        <v>-4.8</v>
      </c>
      <c r="G325" s="5">
        <f>G312</f>
        <v>4.5</v>
      </c>
      <c r="H325" s="6">
        <f>ROUNDUP(SUMPRODUCT(B326:B326, C326:C326)/10000,1)</f>
        <v>1.6</v>
      </c>
      <c r="I325" s="34">
        <f t="shared" ref="I325:I326" si="499">IFERROR((S325*E325),"")</f>
        <v>8</v>
      </c>
      <c r="J325" s="78">
        <f>IFERROR(VLOOKUP(C325,[2]Sheet1!$D:$J,7,0),"")</f>
        <v>4</v>
      </c>
      <c r="K325" s="80">
        <f t="shared" ref="K325:K326" si="500">IFERROR((I325+J325),"")</f>
        <v>12</v>
      </c>
      <c r="L325" s="7">
        <f t="shared" ref="L325:L337" si="501">IFERROR((G325*H325),"")</f>
        <v>7.2</v>
      </c>
      <c r="M325" s="8">
        <f t="shared" ref="M325:M337" si="502">IFERROR(K325-L325,"")</f>
        <v>4.8</v>
      </c>
      <c r="N325" s="57">
        <f t="shared" si="487"/>
        <v>7.5</v>
      </c>
      <c r="O325" s="9"/>
      <c r="P325" s="10">
        <v>1</v>
      </c>
      <c r="Q325" s="10">
        <v>18219</v>
      </c>
      <c r="R325" s="10">
        <f t="shared" si="482"/>
        <v>0</v>
      </c>
      <c r="S325" s="41">
        <f t="shared" si="490"/>
        <v>8</v>
      </c>
      <c r="T325" s="173">
        <v>2</v>
      </c>
      <c r="U325" s="173">
        <v>2</v>
      </c>
      <c r="V325" s="173">
        <v>4</v>
      </c>
      <c r="W325" s="173"/>
      <c r="X325" s="183"/>
      <c r="Y325" s="220"/>
      <c r="AA325" s="206">
        <f t="shared" si="434"/>
        <v>1.7142857142857142</v>
      </c>
    </row>
    <row r="326" spans="1:27" ht="17.25" customHeight="1" ns3:dyDescent="0.3">
      <c r="A326" s="272" t="s">
        <v>18</v>
      </c>
      <c r="B326" s="11">
        <f>ROUNDUP(HLOOKUP(A326,'야채 계산기'!$2:$3,2,0)*1.03,0)</f>
        <v>3245</v>
      </c>
      <c r="C326" s="164">
        <v>4.74</v>
      </c>
      <c r="D326" s="166"/>
      <c r="E326" s="4"/>
      <c r="F326" s="3"/>
      <c r="G326" s="5"/>
      <c r="H326" s="6"/>
      <c r="I326" s="34">
        <f t="shared" si="499"/>
        <v>0</v>
      </c>
      <c r="J326" s="78" t="str">
        <f>IFERROR(VLOOKUP(C326,[2]Sheet1!$D:$J,7,0),"")</f>
        <v/>
      </c>
      <c r="K326" s="80" t="str">
        <f t="shared" si="500"/>
        <v/>
      </c>
      <c r="L326" s="7">
        <f t="shared" si="501"/>
        <v>0</v>
      </c>
      <c r="M326" s="8" t="str">
        <f t="shared" si="502"/>
        <v/>
      </c>
      <c r="N326" s="57" t="str">
        <f t="shared" si="487"/>
        <v/>
      </c>
      <c r="O326" s="9"/>
      <c r="P326" s="10"/>
      <c r="Q326" s="10"/>
      <c r="R326" s="10">
        <f t="shared" si="482"/>
        <v>0</v>
      </c>
      <c r="S326" s="41">
        <f t="shared" si="490"/>
        <v>0</v>
      </c>
      <c r="Y326" s="42"/>
      <c r="AA326" s="206" t="str">
        <f t="shared" si="434"/>
        <v/>
      </c>
    </row>
    <row r="327" spans="1:27" ns3:dyDescent="0.3">
      <c r="A327" s="61"/>
      <c r="B327" s="11"/>
      <c r="C327" s="164" t="s">
        <v>346</v>
      </c>
      <c r="D327" s="166">
        <f>IFERROR((F327/E327),"")</f>
        <v>-18.314999999999998</v>
      </c>
      <c r="E327" s="4">
        <v>10</v>
      </c>
      <c r="F327" s="3">
        <f>IFERROR((L327-K327),"")</f>
        <v>-183.14999999999998</v>
      </c>
      <c r="G327" s="5">
        <f>G319</f>
        <v>4.5</v>
      </c>
      <c r="H327" s="6">
        <f>ROUNDUP((B328*C328)/1000,0)*1.3</f>
        <v>53.300000000000004</v>
      </c>
      <c r="I327" s="34">
        <f t="shared" ref="I327:I330" si="503">IFERROR((S327*E327),"")</f>
        <v>420</v>
      </c>
      <c r="J327" s="78">
        <f>IFERROR(VLOOKUP(C327,[2]Sheet1!$D:$J,7,0),"")</f>
        <v>3</v>
      </c>
      <c r="K327" s="80">
        <f t="shared" ref="K327:K330" si="504">IFERROR((I327+J327),"")</f>
        <v>423</v>
      </c>
      <c r="L327" s="7">
        <f t="shared" ref="L327:L330" si="505">IFERROR((G327*H327),"")</f>
        <v>239.85000000000002</v>
      </c>
      <c r="M327" s="8">
        <f t="shared" ref="M327:M330" si="506">IFERROR(K327-L327,"")</f>
        <v>183.14999999999998</v>
      </c>
      <c r="N327" s="57">
        <f t="shared" ref="N327:N330" si="507">IFERROR((K327/H327),"")</f>
        <v>7.9362101313320821</v>
      </c>
      <c r="O327" s="9"/>
      <c r="P327" s="10"/>
      <c r="Q327" s="10">
        <v>3200</v>
      </c>
      <c r="R327" s="10">
        <f t="shared" ref="R327:R330" si="508">O327*P327*Q327</f>
        <v>0</v>
      </c>
      <c r="S327" s="41">
        <f t="shared" si="490"/>
        <v>42</v>
      </c>
      <c r="T327" s="173">
        <v>4</v>
      </c>
      <c r="U327" s="173">
        <v>6</v>
      </c>
      <c r="V327" s="173">
        <v>8</v>
      </c>
      <c r="W327" s="193">
        <v>8</v>
      </c>
      <c r="X327" s="183">
        <v>8</v>
      </c>
      <c r="Y327" s="220">
        <v>8</v>
      </c>
      <c r="AA327" s="206">
        <f t="shared" si="434"/>
        <v>5.7107142857142872</v>
      </c>
    </row>
    <row r="328" spans="1:27" ns3:dyDescent="0.3">
      <c r="A328" s="61" t="s">
        <v>256</v>
      </c>
      <c r="B328" s="11">
        <f>ROUNDUP(HLOOKUP(A328,'야채 계산기'!$2:$3,2,0)*1.03,0)</f>
        <v>2926</v>
      </c>
      <c r="C328" s="164">
        <v>13.72</v>
      </c>
      <c r="D328" s="166" t="str">
        <f>IFERROR((F328/E328),"")</f>
        <v/>
      </c>
      <c r="E328" s="4"/>
      <c r="F328" s="3"/>
      <c r="G328" s="5"/>
      <c r="H328" s="6"/>
      <c r="I328" s="34">
        <f t="shared" si="503"/>
        <v>0</v>
      </c>
      <c r="J328" s="78" t="str">
        <f>IFERROR(VLOOKUP(C328,[2]Sheet1!$D:$J,7,0),"")</f>
        <v/>
      </c>
      <c r="K328" s="80" t="str">
        <f t="shared" si="504"/>
        <v/>
      </c>
      <c r="L328" s="7">
        <f t="shared" si="505"/>
        <v>0</v>
      </c>
      <c r="M328" s="8" t="str">
        <f t="shared" si="506"/>
        <v/>
      </c>
      <c r="N328" s="57" t="str">
        <f t="shared" si="507"/>
        <v/>
      </c>
      <c r="O328" s="9"/>
      <c r="P328" s="10"/>
      <c r="Q328" s="10"/>
      <c r="R328" s="10">
        <f t="shared" si="508"/>
        <v>0</v>
      </c>
      <c r="S328" s="41">
        <f t="shared" si="490"/>
        <v>0</v>
      </c>
      <c r="T328" s="190"/>
      <c r="U328" s="190"/>
      <c r="Y328" s="42"/>
      <c r="AA328" s="206" t="str">
        <f t="shared" si="434"/>
        <v/>
      </c>
    </row>
    <row r="329" spans="1:27" ns3:dyDescent="0.3">
      <c r="A329" s="61"/>
      <c r="B329" s="11"/>
      <c r="C329" s="262" t="s">
        <v>347</v>
      </c>
      <c r="D329" s="166">
        <f t="shared" ref="D329:D330" si="509">IFERROR((F329/E329),"")</f>
        <v>0</v>
      </c>
      <c r="E329" s="4">
        <v>10</v>
      </c>
      <c r="F329" s="3">
        <f>IFERROR((L329-K329),"")</f>
        <v>0</v>
      </c>
      <c r="G329" s="5">
        <f>G317</f>
        <v>0</v>
      </c>
      <c r="H329" s="6">
        <f>ROUNDUP((SUMPRODUCT(B330,C330))/1000,1)</f>
        <v>23.200000000000003</v>
      </c>
      <c r="I329" s="34">
        <f t="shared" si="503"/>
        <v>0</v>
      </c>
      <c r="J329" s="78">
        <f>IFERROR(VLOOKUP(C329,[2]Sheet1!$D:$J,7,0),"")</f>
        <v>0</v>
      </c>
      <c r="K329" s="80">
        <f t="shared" si="504"/>
        <v>0</v>
      </c>
      <c r="L329" s="7">
        <f t="shared" si="505"/>
        <v>0</v>
      </c>
      <c r="M329" s="8">
        <f t="shared" si="506"/>
        <v>0</v>
      </c>
      <c r="N329" s="57">
        <f t="shared" si="507"/>
        <v>0</v>
      </c>
      <c r="O329" s="9"/>
      <c r="P329" s="10"/>
      <c r="Q329" s="10">
        <v>2230</v>
      </c>
      <c r="R329" s="10">
        <f t="shared" si="508"/>
        <v>0</v>
      </c>
      <c r="S329" s="41">
        <f t="shared" ref="S329:S330" si="510">SUM(Y329,T329:X329)</f>
        <v>0</v>
      </c>
      <c r="T329" s="173"/>
      <c r="U329" s="173"/>
      <c r="V329" s="173"/>
      <c r="W329" s="193"/>
      <c r="X329" s="183"/>
      <c r="Y329" s="220"/>
      <c r="Z329" s="1"/>
      <c r="AA329" s="206">
        <f t="shared" ref="AA329:AA330" si="511">IFERROR(H329*7.5/E329/7,"")</f>
        <v>2.4857142857142862</v>
      </c>
    </row>
    <row r="330" spans="1:27" ns3:dyDescent="0.3">
      <c r="A330" s="272" t="s">
        <v>496</v>
      </c>
      <c r="B330" s="11">
        <f>ROUNDUP(HLOOKUP(A330,'야채 계산기'!$2:$3,2,0)*1.03,0)</f>
        <v>1113</v>
      </c>
      <c r="C330" s="164">
        <f>'[1]뭘좋아할지몰라다넣어봤어(26.08.11)'!$B$10</f>
        <v>20.83</v>
      </c>
      <c r="D330" s="166" t="str">
        <f t="shared" si="509"/>
        <v/>
      </c>
      <c r="E330" s="4"/>
      <c r="F330" s="3"/>
      <c r="G330" s="5"/>
      <c r="H330" s="6"/>
      <c r="I330" s="34">
        <f t="shared" si="503"/>
        <v>0</v>
      </c>
      <c r="J330" s="78" t="str">
        <f>IFERROR(VLOOKUP(C330,[2]Sheet1!$D:$J,7,0),"")</f>
        <v/>
      </c>
      <c r="K330" s="80" t="str">
        <f t="shared" si="504"/>
        <v/>
      </c>
      <c r="L330" s="7">
        <f t="shared" si="505"/>
        <v>0</v>
      </c>
      <c r="M330" s="8" t="str">
        <f t="shared" si="506"/>
        <v/>
      </c>
      <c r="N330" s="57" t="str">
        <f t="shared" si="507"/>
        <v/>
      </c>
      <c r="O330" s="9"/>
      <c r="P330" s="10"/>
      <c r="Q330" s="10"/>
      <c r="R330" s="10">
        <f t="shared" si="508"/>
        <v>0</v>
      </c>
      <c r="S330" s="41">
        <f t="shared" si="510"/>
        <v>0</v>
      </c>
      <c r="Y330" s="42"/>
      <c r="Z330" s="1"/>
      <c r="AA330" s="206" t="str">
        <f t="shared" si="511"/>
        <v/>
      </c>
    </row>
    <row r="331" spans="1:27" ns3:dyDescent="0.3">
      <c r="A331" s="61"/>
      <c r="B331" s="11"/>
      <c r="C331" s="247" t="s">
        <v>821</v>
      </c>
      <c r="D331" s="166">
        <f t="shared" ref="D331:D337" si="512">IFERROR((F331/E331),"")</f>
        <v>-2.1599999999999993</v>
      </c>
      <c r="E331" s="4">
        <v>10</v>
      </c>
      <c r="F331" s="3">
        <f>IFERROR((L331-K331),"")</f>
        <v>-21.599999999999994</v>
      </c>
      <c r="G331" s="5">
        <f>G319</f>
        <v>4.5</v>
      </c>
      <c r="H331" s="6">
        <f>ROUNDUP((SUMPRODUCT(B332,C332))/1000,1)</f>
        <v>23.200000000000003</v>
      </c>
      <c r="I331" s="34">
        <f t="shared" ref="I331:I332" si="513">IFERROR((S331*E331),"")</f>
        <v>100</v>
      </c>
      <c r="J331" s="78">
        <f>IFERROR(VLOOKUP(C331,[2]Sheet1!$D:$J,7,0),"")</f>
        <v>26</v>
      </c>
      <c r="K331" s="80">
        <f t="shared" ref="K331:K335" si="514">IFERROR((I331+J331),"")</f>
        <v>126</v>
      </c>
      <c r="L331" s="7">
        <f t="shared" ref="L331:L335" si="515">IFERROR((G331*H331),"")</f>
        <v>104.4</v>
      </c>
      <c r="M331" s="8">
        <f t="shared" ref="M331:M335" si="516">IFERROR(K331-L331,"")</f>
        <v>21.599999999999994</v>
      </c>
      <c r="N331" s="57">
        <f t="shared" ref="N331:N335" si="517">IFERROR((K331/H331),"")</f>
        <v>5.4310344827586201</v>
      </c>
      <c r="O331" s="9"/>
      <c r="P331" s="10"/>
      <c r="Q331" s="10"/>
      <c r="R331" s="10">
        <f t="shared" ref="R331:R335" si="518">O331*P331*Q331</f>
        <v>0</v>
      </c>
      <c r="S331" s="41">
        <f t="shared" si="490"/>
        <v>10</v>
      </c>
      <c r="T331" s="173">
        <v>4</v>
      </c>
      <c r="U331" s="173">
        <v>4</v>
      </c>
      <c r="V331" s="173">
        <v>2</v>
      </c>
      <c r="W331" s="193"/>
      <c r="X331" s="183"/>
      <c r="Y331" s="220"/>
      <c r="Z331" s="1"/>
      <c r="AA331" s="206">
        <f t="shared" si="434"/>
        <v>2.4857142857142862</v>
      </c>
    </row>
    <row r="332" spans="1:27" ns3:dyDescent="0.3">
      <c r="A332" s="255" t="s">
        <v>496</v>
      </c>
      <c r="B332" s="11">
        <f>ROUNDUP(HLOOKUP(A332,'야채 계산기'!$2:$3,2,0)*1.03,0)</f>
        <v>1113</v>
      </c>
      <c r="C332" s="164">
        <f>'[1]뭘좋아할지몰라다넣어봤어(26.08.11)'!$B$10</f>
        <v>20.83</v>
      </c>
      <c r="D332" s="166" t="str">
        <f t="shared" si="512"/>
        <v/>
      </c>
      <c r="E332" s="4"/>
      <c r="F332" s="3"/>
      <c r="G332" s="5"/>
      <c r="H332" s="6"/>
      <c r="I332" s="34">
        <f t="shared" si="513"/>
        <v>0</v>
      </c>
      <c r="J332" s="78" t="str">
        <f>IFERROR(VLOOKUP(C332,[2]Sheet1!$D:$J,7,0),"")</f>
        <v/>
      </c>
      <c r="K332" s="80" t="str">
        <f t="shared" si="514"/>
        <v/>
      </c>
      <c r="L332" s="7">
        <f t="shared" si="515"/>
        <v>0</v>
      </c>
      <c r="M332" s="8" t="str">
        <f t="shared" si="516"/>
        <v/>
      </c>
      <c r="N332" s="57" t="str">
        <f t="shared" si="517"/>
        <v/>
      </c>
      <c r="O332" s="9"/>
      <c r="P332" s="10"/>
      <c r="Q332" s="10"/>
      <c r="R332" s="10">
        <f t="shared" si="518"/>
        <v>0</v>
      </c>
      <c r="S332" s="41">
        <f t="shared" si="490"/>
        <v>0</v>
      </c>
      <c r="Y332" s="42"/>
      <c r="Z332" s="1"/>
      <c r="AA332" s="206" t="str">
        <f t="shared" si="434"/>
        <v/>
      </c>
    </row>
    <row r="333" spans="1:27" ns3:dyDescent="0.3">
      <c r="A333" s="61"/>
      <c r="B333" s="11"/>
      <c r="C333" s="164" t="s">
        <v>873</v>
      </c>
      <c r="D333" s="166">
        <f t="shared" ref="D333:D335" si="519">IFERROR((F333/E333),"")</f>
        <v>-1.3000000000000003</v>
      </c>
      <c r="E333" s="4">
        <v>4</v>
      </c>
      <c r="F333" s="3">
        <f>IFERROR((L333-K333),"")</f>
        <v>-5.2000000000000011</v>
      </c>
      <c r="G333" s="5">
        <f>G319</f>
        <v>4.5</v>
      </c>
      <c r="H333" s="6">
        <f>ROUNDUP(SUMPRODUCT(B334:B335, C334:C335)/3628,1)</f>
        <v>2.4</v>
      </c>
      <c r="I333" s="34">
        <f>IFERROR((S333*E333),"")</f>
        <v>8</v>
      </c>
      <c r="J333" s="78">
        <f>IFERROR(VLOOKUP(C333,[2]Sheet1!$D:$J,7,0),"")</f>
        <v>8</v>
      </c>
      <c r="K333" s="80">
        <f t="shared" si="514"/>
        <v>16</v>
      </c>
      <c r="L333" s="7">
        <f t="shared" si="515"/>
        <v>10.799999999999999</v>
      </c>
      <c r="M333" s="8">
        <f t="shared" si="516"/>
        <v>5.2000000000000011</v>
      </c>
      <c r="N333" s="57">
        <f t="shared" si="517"/>
        <v>6.666666666666667</v>
      </c>
      <c r="O333" s="9"/>
      <c r="P333" s="10">
        <v>20</v>
      </c>
      <c r="Q333" s="10">
        <v>11899</v>
      </c>
      <c r="R333" s="10">
        <f t="shared" si="518"/>
        <v>0</v>
      </c>
      <c r="S333" s="41">
        <f t="shared" si="490"/>
        <v>2</v>
      </c>
      <c r="T333" s="173">
        <v>2</v>
      </c>
      <c r="U333" s="173"/>
      <c r="V333" s="173"/>
      <c r="W333" s="173"/>
      <c r="X333" s="183"/>
      <c r="Y333" s="220"/>
      <c r="Z333" s="1"/>
      <c r="AA333" s="206">
        <f t="shared" si="434"/>
        <v>0.6428571428571429</v>
      </c>
    </row>
    <row r="334" spans="1:27" ns3:dyDescent="0.3">
      <c r="A334" s="61" t="s">
        <v>268</v>
      </c>
      <c r="B334" s="11">
        <f>ROUNDUP(HLOOKUP(A334,'야채 계산기'!$2:$3,2,0)*1.03,0)</f>
        <v>1133</v>
      </c>
      <c r="C334" s="164">
        <v>3.78</v>
      </c>
      <c r="D334" s="166" t="str">
        <f t="shared" ref="D334" si="520">IFERROR((F334/E334),"")</f>
        <v/>
      </c>
      <c r="E334" s="4"/>
      <c r="F334" s="3"/>
      <c r="G334" s="5"/>
      <c r="H334" s="6"/>
      <c r="I334" s="34">
        <v>0</v>
      </c>
      <c r="J334" s="78" t="str">
        <f>IFERROR(VLOOKUP(C334,[2]Sheet1!$D:$J,7,0),"")</f>
        <v/>
      </c>
      <c r="K334" s="80" t="str">
        <f t="shared" ref="K334" si="521">IFERROR((I334+J334),"")</f>
        <v/>
      </c>
      <c r="L334" s="7">
        <f t="shared" ref="L334" si="522">IFERROR((G334*H334),"")</f>
        <v>0</v>
      </c>
      <c r="M334" s="8" t="str">
        <f t="shared" ref="M334" si="523">IFERROR(K334-L334,"")</f>
        <v/>
      </c>
      <c r="N334" s="57" t="str">
        <f t="shared" ref="N334" si="524">IFERROR((K334/H334),"")</f>
        <v/>
      </c>
      <c r="O334" s="9"/>
      <c r="P334" s="10"/>
      <c r="Q334" s="10"/>
      <c r="R334" s="10">
        <f t="shared" ref="R334" si="525">O334*P334*Q334</f>
        <v>0</v>
      </c>
      <c r="S334" s="41">
        <f t="shared" ref="S334" si="526">SUM(Y334,T334:X334)</f>
        <v>0</v>
      </c>
      <c r="T334" s="190"/>
      <c r="U334" s="190"/>
      <c r="V334" s="190"/>
      <c r="W334" s="245"/>
      <c r="X334" s="190"/>
      <c r="Y334" s="42"/>
      <c r="Z334" s="1"/>
      <c r="AA334" s="206" t="str">
        <f t="shared" ref="AA334" si="527">IFERROR(H334*7.5/E334/7,"")</f>
        <v/>
      </c>
    </row>
    <row r="335" spans="1:27" ns3:dyDescent="0.3">
      <c r="A335" s="61" t="s">
        <v>727</v>
      </c>
      <c r="B335" s="11">
        <f>ROUNDUP(HLOOKUP(A335,'야채 계산기'!$2:$3,2,0)*1.03,0)</f>
        <v>2081</v>
      </c>
      <c r="C335" s="164">
        <v>2.08</v>
      </c>
      <c r="D335" s="166" t="str">
        <f t="shared" si="519"/>
        <v/>
      </c>
      <c r="E335" s="4"/>
      <c r="F335" s="3"/>
      <c r="G335" s="5"/>
      <c r="H335" s="6"/>
      <c r="I335" s="34">
        <v>0</v>
      </c>
      <c r="J335" s="78" t="str">
        <f>IFERROR(VLOOKUP(C335,[2]Sheet1!$D:$J,7,0),"")</f>
        <v/>
      </c>
      <c r="K335" s="80" t="str">
        <f t="shared" si="514"/>
        <v/>
      </c>
      <c r="L335" s="7">
        <f t="shared" si="515"/>
        <v>0</v>
      </c>
      <c r="M335" s="8" t="str">
        <f t="shared" si="516"/>
        <v/>
      </c>
      <c r="N335" s="57" t="str">
        <f t="shared" si="517"/>
        <v/>
      </c>
      <c r="O335" s="9"/>
      <c r="P335" s="10"/>
      <c r="Q335" s="10"/>
      <c r="R335" s="10">
        <f t="shared" si="518"/>
        <v>0</v>
      </c>
      <c r="S335" s="41">
        <f t="shared" si="490"/>
        <v>0</v>
      </c>
      <c r="T335" s="190"/>
      <c r="U335" s="190"/>
      <c r="V335" s="190"/>
      <c r="W335" s="245"/>
      <c r="X335" s="190"/>
      <c r="Y335" s="42"/>
      <c r="Z335" s="1"/>
      <c r="AA335" s="206" t="str">
        <f t="shared" si="434"/>
        <v/>
      </c>
    </row>
    <row r="336" spans="1:27" ns3:dyDescent="0.3">
      <c r="A336" s="61"/>
      <c r="B336" s="11"/>
      <c r="C336" s="62" t="s">
        <v>605</v>
      </c>
      <c r="D336" s="166">
        <f t="shared" si="512"/>
        <v>-1.1600000000000008</v>
      </c>
      <c r="E336" s="4">
        <v>5</v>
      </c>
      <c r="F336" s="3">
        <f>IFERROR((L336-K336),"")</f>
        <v>-5.8000000000000043</v>
      </c>
      <c r="G336" s="5">
        <f>G319</f>
        <v>4.5</v>
      </c>
      <c r="H336" s="6">
        <f>ROUNDUP(SUMPRODUCT(B337:B337, C337:C337)/2000,1)</f>
        <v>7.6</v>
      </c>
      <c r="I336" s="34">
        <f>IFERROR((S336*E336),"")</f>
        <v>20</v>
      </c>
      <c r="J336" s="78">
        <f>IFERROR(VLOOKUP(C336,[2]Sheet1!$D:$J,7,0),"")</f>
        <v>20</v>
      </c>
      <c r="K336" s="80">
        <f t="shared" ref="K336:K345" si="528">IFERROR((I336+J336),"")</f>
        <v>40</v>
      </c>
      <c r="L336" s="7">
        <f t="shared" si="501"/>
        <v>34.199999999999996</v>
      </c>
      <c r="M336" s="8">
        <f t="shared" si="502"/>
        <v>5.8000000000000043</v>
      </c>
      <c r="N336" s="57">
        <f t="shared" si="487"/>
        <v>5.2631578947368425</v>
      </c>
      <c r="O336" s="9"/>
      <c r="P336" s="10">
        <v>20</v>
      </c>
      <c r="Q336" s="10">
        <v>6800</v>
      </c>
      <c r="R336" s="10">
        <f t="shared" si="482"/>
        <v>0</v>
      </c>
      <c r="S336" s="41">
        <f t="shared" si="490"/>
        <v>4</v>
      </c>
      <c r="T336" s="173">
        <v>2</v>
      </c>
      <c r="U336" s="173">
        <v>2</v>
      </c>
      <c r="V336" s="173"/>
      <c r="W336" s="173"/>
      <c r="X336" s="183"/>
      <c r="Y336" s="220"/>
      <c r="Z336" s="1"/>
      <c r="AA336" s="206">
        <f t="shared" si="434"/>
        <v>1.6285714285714286</v>
      </c>
    </row>
    <row r="337" spans="1:27" ns3:dyDescent="0.3">
      <c r="A337" s="61" t="s">
        <v>731</v>
      </c>
      <c r="B337" s="11">
        <f>ROUNDUP(HLOOKUP(A337,'야채 계산기'!$2:$3,2,0)*1.03,0)</f>
        <v>2081</v>
      </c>
      <c r="C337" s="62">
        <v>7.22</v>
      </c>
      <c r="D337" s="166" t="str">
        <f t="shared" si="512"/>
        <v/>
      </c>
      <c r="E337" s="4"/>
      <c r="F337" s="3"/>
      <c r="G337" s="5"/>
      <c r="H337" s="6"/>
      <c r="I337" s="34">
        <v>0</v>
      </c>
      <c r="J337" s="78" t="str">
        <f>IFERROR(VLOOKUP(C337,[2]Sheet1!$D:$J,7,0),"")</f>
        <v/>
      </c>
      <c r="K337" s="80" t="str">
        <f t="shared" si="528"/>
        <v/>
      </c>
      <c r="L337" s="7">
        <f t="shared" si="501"/>
        <v>0</v>
      </c>
      <c r="M337" s="8" t="str">
        <f t="shared" si="502"/>
        <v/>
      </c>
      <c r="N337" s="57" t="str">
        <f t="shared" si="487"/>
        <v/>
      </c>
      <c r="O337" s="9"/>
      <c r="P337" s="10"/>
      <c r="Q337" s="10"/>
      <c r="R337" s="10">
        <f t="shared" si="482"/>
        <v>0</v>
      </c>
      <c r="S337" s="41">
        <f t="shared" si="490"/>
        <v>0</v>
      </c>
      <c r="T337" s="190"/>
      <c r="U337" s="190"/>
      <c r="V337" s="190"/>
      <c r="W337" s="245"/>
      <c r="X337" s="190"/>
      <c r="Y337" s="42"/>
      <c r="Z337" s="1"/>
      <c r="AA337" s="206" t="str">
        <f t="shared" si="434"/>
        <v/>
      </c>
    </row>
    <row r="338" spans="1:27" hidden="1" ns3:dyDescent="0.3">
      <c r="A338" s="61"/>
      <c r="B338" s="11" t="e">
        <f>ROUNDUP(HLOOKUP(A338,'야채 계산기'!$2:$3,2,0)*1.03,0)</f>
        <v>#N/A</v>
      </c>
      <c r="C338" s="62" t="s">
        <v>233</v>
      </c>
      <c r="D338" s="166" t="str">
        <f t="shared" ref="D338:D346" si="529">IFERROR((F338/E338),"")</f>
        <v/>
      </c>
      <c r="E338" s="4">
        <v>10</v>
      </c>
      <c r="F338" s="3" t="str">
        <f>IFERROR((L338-K338),"")</f>
        <v/>
      </c>
      <c r="G338" s="5">
        <v>0</v>
      </c>
      <c r="H338" s="6" t="e">
        <f>ROUNDUP(SUMPRODUCT(B339:B341,C339:C341)/1000,0)</f>
        <v>#N/A</v>
      </c>
      <c r="I338" s="34">
        <f t="shared" ref="I338:I345" si="530">IFERROR((S338*E338),"")</f>
        <v>0</v>
      </c>
      <c r="J338" s="78" t="str">
        <f>IFERROR(VLOOKUP(C338,[2]Sheet1!$D:$J,7,0),"")</f>
        <v/>
      </c>
      <c r="K338" s="80" t="str">
        <f t="shared" si="528"/>
        <v/>
      </c>
      <c r="L338" s="7" t="str">
        <f t="shared" ref="L338:L346" si="531">IFERROR((G338*H338),"")</f>
        <v/>
      </c>
      <c r="M338" s="8" t="str">
        <f t="shared" ref="M338:M346" si="532">IFERROR(K338-L338,"")</f>
        <v/>
      </c>
      <c r="N338" s="57" t="str">
        <f t="shared" ref="N338:N346" si="533">IFERROR((K338/H338),"")</f>
        <v/>
      </c>
      <c r="O338" s="9"/>
      <c r="P338" s="10"/>
      <c r="Q338" s="10">
        <v>3180</v>
      </c>
      <c r="R338" s="10">
        <f t="shared" ref="R338:R345" si="534">O338*P338*Q338</f>
        <v>0</v>
      </c>
      <c r="S338" s="41">
        <f t="shared" si="490"/>
        <v>0</v>
      </c>
      <c r="Y338" s="180"/>
      <c r="AA338" s="206" t="str">
        <f t="shared" si="434"/>
        <v/>
      </c>
    </row>
    <row r="339" spans="1:27" hidden="1" ns3:dyDescent="0.3">
      <c r="A339" s="61" t="s">
        <v>199</v>
      </c>
      <c r="B339" s="11" t="e">
        <f>ROUNDUP(HLOOKUP(A339,'야채 계산기'!$2:$3,2,0)*1.03,0)</f>
        <v>#N/A</v>
      </c>
      <c r="C339" s="62">
        <f>'[1]혜자)돌아온 명불허전(25.8.12)'!$B$16</f>
        <v>14.61</v>
      </c>
      <c r="D339" s="166" t="str">
        <f t="shared" si="529"/>
        <v/>
      </c>
      <c r="E339" s="4"/>
      <c r="F339" s="3"/>
      <c r="G339" s="5"/>
      <c r="H339" s="6"/>
      <c r="I339" s="34">
        <f t="shared" si="530"/>
        <v>0</v>
      </c>
      <c r="J339" s="78" t="str">
        <f>IFERROR(VLOOKUP(C339,[2]Sheet1!$D:$J,7,0),"")</f>
        <v/>
      </c>
      <c r="K339" s="80" t="str">
        <f t="shared" si="528"/>
        <v/>
      </c>
      <c r="L339" s="7">
        <f t="shared" si="531"/>
        <v>0</v>
      </c>
      <c r="M339" s="8" t="str">
        <f t="shared" si="532"/>
        <v/>
      </c>
      <c r="N339" s="57" t="str">
        <f t="shared" si="533"/>
        <v/>
      </c>
      <c r="O339" s="9"/>
      <c r="P339" s="10"/>
      <c r="Q339" s="10"/>
      <c r="R339" s="10">
        <f t="shared" si="534"/>
        <v>0</v>
      </c>
      <c r="S339" s="41">
        <f t="shared" si="490"/>
        <v>0</v>
      </c>
      <c r="Y339" s="42"/>
      <c r="AA339" s="206" t="str">
        <f t="shared" si="434"/>
        <v/>
      </c>
    </row>
    <row r="340" spans="1:27" hidden="1" ns3:dyDescent="0.3">
      <c r="A340" s="61" t="s">
        <v>495</v>
      </c>
      <c r="B340" s="11">
        <f>ROUNDUP(HLOOKUP(A340,'야채 계산기'!$2:$3,2,0)*1.03,0)</f>
        <v>0</v>
      </c>
      <c r="C340" s="62">
        <f>'[1]혜자)직화불고기&amp;오징어제육(25.9.16)'!$B$17</f>
        <v>21.91</v>
      </c>
      <c r="D340" s="166" t="str">
        <f t="shared" si="529"/>
        <v/>
      </c>
      <c r="E340" s="4"/>
      <c r="F340" s="3"/>
      <c r="G340" s="5"/>
      <c r="H340" s="6"/>
      <c r="I340" s="34">
        <f t="shared" si="530"/>
        <v>0</v>
      </c>
      <c r="J340" s="78" t="str">
        <f>IFERROR(VLOOKUP(C340,[2]Sheet1!$D:$J,7,0),"")</f>
        <v/>
      </c>
      <c r="K340" s="80" t="str">
        <f t="shared" si="528"/>
        <v/>
      </c>
      <c r="L340" s="7">
        <f t="shared" si="531"/>
        <v>0</v>
      </c>
      <c r="M340" s="8" t="str">
        <f t="shared" si="532"/>
        <v/>
      </c>
      <c r="N340" s="57" t="str">
        <f t="shared" si="533"/>
        <v/>
      </c>
      <c r="O340" s="9"/>
      <c r="P340" s="10"/>
      <c r="Q340" s="10"/>
      <c r="R340" s="10">
        <f t="shared" si="534"/>
        <v>0</v>
      </c>
      <c r="S340" s="41">
        <f t="shared" si="490"/>
        <v>0</v>
      </c>
      <c r="Y340" s="42"/>
      <c r="AA340" s="206" t="str">
        <f t="shared" si="434"/>
        <v/>
      </c>
    </row>
    <row r="341" spans="1:27" hidden="1" ns3:dyDescent="0.3">
      <c r="A341" s="61" t="s">
        <v>493</v>
      </c>
      <c r="B341" s="11" t="e">
        <f>ROUNDUP(HLOOKUP(A341,'야채 계산기'!$2:$3,2,0)*1.03,0)</f>
        <v>#N/A</v>
      </c>
      <c r="C341" s="62">
        <f>'[1]혜자)돈까스&amp;고추장제육(25.11.13)'!$B$10</f>
        <v>15.25</v>
      </c>
      <c r="D341" s="166" t="str">
        <f t="shared" si="529"/>
        <v/>
      </c>
      <c r="E341" s="4"/>
      <c r="F341" s="3"/>
      <c r="G341" s="5"/>
      <c r="H341" s="6"/>
      <c r="I341" s="34">
        <f t="shared" si="530"/>
        <v>0</v>
      </c>
      <c r="J341" s="78" t="str">
        <f>IFERROR(VLOOKUP(C341,[2]Sheet1!$D:$J,7,0),"")</f>
        <v/>
      </c>
      <c r="K341" s="80" t="str">
        <f t="shared" si="528"/>
        <v/>
      </c>
      <c r="L341" s="7">
        <f t="shared" si="531"/>
        <v>0</v>
      </c>
      <c r="M341" s="8" t="str">
        <f t="shared" si="532"/>
        <v/>
      </c>
      <c r="N341" s="57" t="str">
        <f t="shared" si="533"/>
        <v/>
      </c>
      <c r="O341" s="9"/>
      <c r="P341" s="10"/>
      <c r="Q341" s="10"/>
      <c r="R341" s="10">
        <f t="shared" si="534"/>
        <v>0</v>
      </c>
      <c r="S341" s="41">
        <f t="shared" si="490"/>
        <v>0</v>
      </c>
      <c r="Y341" s="42"/>
      <c r="AA341" s="206" t="str">
        <f t="shared" si="434"/>
        <v/>
      </c>
    </row>
    <row r="342" spans="1:27" hidden="1" ns3:dyDescent="0.3">
      <c r="A342" s="61"/>
      <c r="B342" s="11" t="e">
        <f>ROUNDUP(HLOOKUP(A342,'야채 계산기'!$2:$3,2,0)*1.03,0)</f>
        <v>#N/A</v>
      </c>
      <c r="C342" s="62" t="s">
        <v>259</v>
      </c>
      <c r="D342" s="166" t="str">
        <f t="shared" si="529"/>
        <v/>
      </c>
      <c r="E342" s="4">
        <v>6</v>
      </c>
      <c r="F342" s="3" t="str">
        <f>IFERROR((L342-K342),"")</f>
        <v/>
      </c>
      <c r="G342" s="5">
        <v>0</v>
      </c>
      <c r="H342" s="6">
        <f>ROUNDUP((B343*C343)/1000,0)</f>
        <v>49</v>
      </c>
      <c r="I342" s="34">
        <f t="shared" si="530"/>
        <v>0</v>
      </c>
      <c r="J342" s="78" t="str">
        <f>IFERROR(VLOOKUP(C342,[2]Sheet1!$D:$J,7,0),"")</f>
        <v/>
      </c>
      <c r="K342" s="80" t="str">
        <f t="shared" si="528"/>
        <v/>
      </c>
      <c r="L342" s="7">
        <f t="shared" si="531"/>
        <v>0</v>
      </c>
      <c r="M342" s="8" t="str">
        <f t="shared" si="532"/>
        <v/>
      </c>
      <c r="N342" s="57" t="str">
        <f t="shared" si="533"/>
        <v/>
      </c>
      <c r="O342" s="9"/>
      <c r="P342" s="10"/>
      <c r="Q342" s="10"/>
      <c r="R342" s="10">
        <f t="shared" si="534"/>
        <v>0</v>
      </c>
      <c r="S342" s="41">
        <f t="shared" si="490"/>
        <v>0</v>
      </c>
      <c r="W342" s="169"/>
      <c r="Y342" s="42"/>
      <c r="AA342" s="206">
        <f t="shared" si="434"/>
        <v>8.75</v>
      </c>
    </row>
    <row r="343" spans="1:27" hidden="1" ns3:dyDescent="0.3">
      <c r="A343" s="61" t="s">
        <v>256</v>
      </c>
      <c r="B343" s="11">
        <f>ROUNDUP(HLOOKUP(A343,'야채 계산기'!$2:$3,2,0)*1.03,0)</f>
        <v>2926</v>
      </c>
      <c r="C343" s="62">
        <v>16.47</v>
      </c>
      <c r="D343" s="166" t="str">
        <f t="shared" si="529"/>
        <v/>
      </c>
      <c r="E343" s="4"/>
      <c r="F343" s="3"/>
      <c r="G343" s="5"/>
      <c r="H343" s="6"/>
      <c r="I343" s="34">
        <f t="shared" si="530"/>
        <v>0</v>
      </c>
      <c r="J343" s="78" t="str">
        <f>IFERROR(VLOOKUP(C343,[2]Sheet1!$D:$J,7,0),"")</f>
        <v/>
      </c>
      <c r="K343" s="80" t="str">
        <f t="shared" si="528"/>
        <v/>
      </c>
      <c r="L343" s="7">
        <f t="shared" si="531"/>
        <v>0</v>
      </c>
      <c r="M343" s="8" t="str">
        <f t="shared" si="532"/>
        <v/>
      </c>
      <c r="N343" s="57" t="str">
        <f t="shared" si="533"/>
        <v/>
      </c>
      <c r="O343" s="9"/>
      <c r="P343" s="10"/>
      <c r="Q343" s="10"/>
      <c r="R343" s="10">
        <f t="shared" si="534"/>
        <v>0</v>
      </c>
      <c r="S343" s="41">
        <f t="shared" si="490"/>
        <v>0</v>
      </c>
      <c r="Y343" s="42"/>
      <c r="AA343" s="206" t="str">
        <f t="shared" si="434"/>
        <v/>
      </c>
    </row>
    <row r="344" spans="1:27" hidden="1" ns3:dyDescent="0.3">
      <c r="A344" s="61"/>
      <c r="B344" s="11" t="e">
        <f>ROUNDUP(HLOOKUP(A344,'야채 계산기'!$2:$3,2,0)*1.03,0)</f>
        <v>#N/A</v>
      </c>
      <c r="C344" s="62" t="s">
        <v>54</v>
      </c>
      <c r="D344" s="166" t="str">
        <f t="shared" si="529"/>
        <v/>
      </c>
      <c r="E344" s="4">
        <v>10</v>
      </c>
      <c r="F344" s="3" t="str">
        <f>IFERROR((L344-K344),"")</f>
        <v/>
      </c>
      <c r="G344" s="5">
        <v>0</v>
      </c>
      <c r="H344" s="6">
        <f>ROUNDUP((SUMPRODUCT(B345,C345))/1000,1)*0.8</f>
        <v>18.560000000000002</v>
      </c>
      <c r="I344" s="34">
        <f t="shared" si="530"/>
        <v>0</v>
      </c>
      <c r="J344" s="78" t="str">
        <f>IFERROR(VLOOKUP(C344,[2]Sheet1!$D:$J,7,0),"")</f>
        <v/>
      </c>
      <c r="K344" s="80" t="str">
        <f t="shared" si="528"/>
        <v/>
      </c>
      <c r="L344" s="7">
        <f t="shared" si="531"/>
        <v>0</v>
      </c>
      <c r="M344" s="8" t="str">
        <f t="shared" si="532"/>
        <v/>
      </c>
      <c r="N344" s="57" t="str">
        <f t="shared" si="533"/>
        <v/>
      </c>
      <c r="O344" s="9"/>
      <c r="P344" s="10"/>
      <c r="Q344" s="10"/>
      <c r="R344" s="10">
        <f t="shared" si="534"/>
        <v>0</v>
      </c>
      <c r="S344" s="41">
        <f t="shared" si="490"/>
        <v>0</v>
      </c>
      <c r="Y344" s="42"/>
      <c r="Z344" s="1"/>
      <c r="AA344" s="206">
        <f t="shared" si="434"/>
        <v>1.9885714285714289</v>
      </c>
    </row>
    <row r="345" spans="1:27" hidden="1" ns3:dyDescent="0.3">
      <c r="A345" s="61" t="s">
        <v>496</v>
      </c>
      <c r="B345" s="11">
        <f>ROUNDUP(HLOOKUP(A345,'야채 계산기'!$2:$3,2,0)*1.03,0)</f>
        <v>1113</v>
      </c>
      <c r="C345" s="62">
        <v>20.83</v>
      </c>
      <c r="D345" s="166" t="str">
        <f t="shared" si="529"/>
        <v/>
      </c>
      <c r="E345" s="4"/>
      <c r="F345" s="3"/>
      <c r="G345" s="5"/>
      <c r="H345" s="6"/>
      <c r="I345" s="34">
        <f t="shared" si="530"/>
        <v>0</v>
      </c>
      <c r="J345" s="78" t="str">
        <f>IFERROR(VLOOKUP(C345,[2]Sheet1!$D:$J,7,0),"")</f>
        <v/>
      </c>
      <c r="K345" s="80" t="str">
        <f t="shared" si="528"/>
        <v/>
      </c>
      <c r="L345" s="7">
        <f t="shared" si="531"/>
        <v>0</v>
      </c>
      <c r="M345" s="8" t="str">
        <f t="shared" si="532"/>
        <v/>
      </c>
      <c r="N345" s="57" t="str">
        <f t="shared" si="533"/>
        <v/>
      </c>
      <c r="O345" s="9"/>
      <c r="P345" s="10"/>
      <c r="Q345" s="10"/>
      <c r="R345" s="10">
        <f t="shared" si="534"/>
        <v>0</v>
      </c>
      <c r="S345" s="41">
        <f t="shared" si="490"/>
        <v>0</v>
      </c>
      <c r="Y345" s="42"/>
      <c r="Z345" s="1"/>
      <c r="AA345" s="206" t="str">
        <f t="shared" si="434"/>
        <v/>
      </c>
    </row>
    <row r="346" spans="1:27" ns3:dyDescent="0.3">
      <c r="A346" s="61"/>
      <c r="B346" s="11"/>
      <c r="C346" s="62" t="s">
        <v>626</v>
      </c>
      <c r="D346" s="166">
        <f t="shared" si="529"/>
        <v>-27.85</v>
      </c>
      <c r="E346" s="4">
        <v>1</v>
      </c>
      <c r="F346" s="3">
        <f>IFERROR((L346-K346),"")</f>
        <v>-27.85</v>
      </c>
      <c r="G346" s="5">
        <f>G312</f>
        <v>4.5</v>
      </c>
      <c r="H346" s="6">
        <f>ROUNDUP((B347*C347)/2000,1)</f>
        <v>0.7</v>
      </c>
      <c r="I346" s="34">
        <f>IFERROR((S346*E346),"")</f>
        <v>3</v>
      </c>
      <c r="J346" s="78">
        <f>IFERROR(VLOOKUP(C346,[2]Sheet1!$D:$J,7,0),"")</f>
        <v>28</v>
      </c>
      <c r="K346" s="80">
        <f t="shared" ref="K346" si="535">IFERROR((I346+J346),"")</f>
        <v>31</v>
      </c>
      <c r="L346" s="7">
        <f t="shared" si="531"/>
        <v>3.15</v>
      </c>
      <c r="M346" s="8">
        <f t="shared" si="532"/>
        <v>27.85</v>
      </c>
      <c r="N346" s="57">
        <f t="shared" si="533"/>
        <v>44.285714285714292</v>
      </c>
      <c r="O346" s="9"/>
      <c r="P346" s="10"/>
      <c r="Q346" s="10">
        <v>7800</v>
      </c>
      <c r="R346" s="10"/>
      <c r="S346" s="41">
        <f t="shared" si="490"/>
        <v>3</v>
      </c>
      <c r="T346" s="173">
        <v>2</v>
      </c>
      <c r="U346" s="173">
        <v>1</v>
      </c>
      <c r="V346" s="173"/>
      <c r="W346" s="173"/>
      <c r="X346" s="183"/>
      <c r="Y346" s="220"/>
      <c r="AA346" s="206">
        <f t="shared" si="434"/>
        <v>0.75</v>
      </c>
    </row>
    <row r="347" spans="1:27" ns3:dyDescent="0.3">
      <c r="A347" s="61" t="s">
        <v>625</v>
      </c>
      <c r="B347" s="11">
        <f>ROUNDUP(HLOOKUP(A347,'야채 계산기'!$2:$3,2,0)*1.03,0)</f>
        <v>1206</v>
      </c>
      <c r="C347" s="62">
        <f>'[1]NEW혜자)반반제육(26.08.13)'!$B$26</f>
        <v>1.02</v>
      </c>
      <c r="D347" s="166"/>
      <c r="E347" s="4"/>
      <c r="F347" s="3"/>
      <c r="G347" s="5"/>
      <c r="H347" s="6"/>
      <c r="I347" s="34"/>
      <c r="J347" s="78" t="str">
        <f>IFERROR(VLOOKUP(C347,[2]Sheet1!$D:$J,7,0),"")</f>
        <v/>
      </c>
      <c r="K347" s="80"/>
      <c r="L347" s="7"/>
      <c r="M347" s="8"/>
      <c r="N347" s="57"/>
      <c r="O347" s="9"/>
      <c r="P347" s="10"/>
      <c r="Q347" s="10"/>
      <c r="R347" s="10"/>
      <c r="T347" s="190"/>
      <c r="U347" s="190"/>
      <c r="V347" s="190"/>
      <c r="W347" s="190"/>
      <c r="X347" s="190"/>
      <c r="Y347" s="42"/>
      <c r="AA347" s="206"/>
    </row>
    <row r="348" spans="1:27" ns3:dyDescent="0.3">
      <c r="A348" s="16"/>
      <c r="B348" s="11"/>
      <c r="C348" s="62"/>
      <c r="D348" s="166"/>
      <c r="E348" s="4"/>
      <c r="F348" s="3"/>
      <c r="G348" s="5"/>
      <c r="H348" s="6"/>
      <c r="I348" s="34"/>
      <c r="J348" s="78" t="str">
        <f>IFERROR(VLOOKUP(C348,[2]Sheet1!$D:$J,7,0),"")</f>
        <v/>
      </c>
      <c r="K348" s="80"/>
      <c r="L348" s="7"/>
      <c r="M348" s="8"/>
      <c r="N348" s="57"/>
      <c r="O348" s="9"/>
      <c r="P348" s="10"/>
      <c r="Q348" s="10"/>
      <c r="R348" s="10"/>
      <c r="T348" s="190"/>
      <c r="U348" s="190"/>
      <c r="V348" s="190"/>
      <c r="W348" s="190"/>
      <c r="X348" s="190"/>
      <c r="Y348" s="42"/>
      <c r="AA348" s="206"/>
    </row>
    <row r="349" spans="1:27" ns3:dyDescent="0.3">
      <c r="A349" s="2"/>
      <c r="B349" s="2"/>
      <c r="C349" s="62"/>
      <c r="D349" s="166" t="str">
        <f>IFERROR((F349/E349),"")</f>
        <v/>
      </c>
      <c r="E349" s="4"/>
      <c r="F349" s="17"/>
      <c r="G349" s="5"/>
      <c r="H349" s="6"/>
      <c r="I349" s="34">
        <f t="shared" ref="I349" si="536">IFERROR((S349*E349),"")</f>
        <v>0</v>
      </c>
      <c r="J349" s="78" t="str">
        <f>IFERROR(VLOOKUP(C349,[2]Sheet1!$D:$J,7,0),"")</f>
        <v/>
      </c>
      <c r="K349" s="80" t="str">
        <f t="shared" ref="K349" si="537">IFERROR((I349+J349),"")</f>
        <v/>
      </c>
      <c r="L349" s="7">
        <f t="shared" ref="L349" si="538">IFERROR((G349*H349),"")</f>
        <v>0</v>
      </c>
      <c r="M349" s="8" t="str">
        <f t="shared" ref="M349" si="539">IFERROR(K349-L349,"")</f>
        <v/>
      </c>
      <c r="N349" s="57"/>
      <c r="O349" s="9"/>
      <c r="P349" s="10"/>
      <c r="Q349" s="10"/>
      <c r="R349" s="10">
        <f>O349*P349*Q349</f>
        <v>0</v>
      </c>
      <c r="S349" s="41">
        <f t="shared" ref="S349" si="540">SUM(Y349,T349:X349)</f>
        <v>0</v>
      </c>
      <c r="T349" s="190"/>
      <c r="U349" s="190"/>
      <c r="V349" s="190"/>
      <c r="W349" s="190"/>
      <c r="X349" s="190"/>
      <c r="Y349" s="42"/>
      <c r="AA349" s="206" t="str">
        <f t="shared" ref="AA349" si="541">IFERROR(H349*7.5/E349/7,"")</f>
        <v/>
      </c>
    </row>
    <row r="350" spans="1:27" ns3:dyDescent="0.3">
      <c r="A350" s="2"/>
      <c r="B350" s="2"/>
      <c r="C350" s="62"/>
      <c r="D350" s="166" t="str">
        <f>IFERROR((F350/E350),"")</f>
        <v/>
      </c>
      <c r="E350" s="4"/>
      <c r="F350" s="17"/>
      <c r="G350" s="5"/>
      <c r="H350" s="6"/>
      <c r="I350" s="34">
        <f t="shared" ref="I350" si="542">IFERROR((S350*E350),"")</f>
        <v>0</v>
      </c>
      <c r="J350" s="78" t="str">
        <f>IFERROR(VLOOKUP(C350,[2]Sheet1!$D:$J,7,0),"")</f>
        <v/>
      </c>
      <c r="K350" s="80" t="str">
        <f t="shared" ref="K350" si="543">IFERROR((I350+J350),"")</f>
        <v/>
      </c>
      <c r="L350" s="7">
        <f t="shared" ref="L350" si="544">IFERROR((G350*H350),"")</f>
        <v>0</v>
      </c>
      <c r="M350" s="8" t="str">
        <f t="shared" ref="M350" si="545">IFERROR(K350-L350,"")</f>
        <v/>
      </c>
      <c r="N350" s="57"/>
      <c r="O350" s="9"/>
      <c r="P350" s="10"/>
      <c r="Q350" s="10"/>
      <c r="R350" s="10">
        <f>O350*P350*Q350</f>
        <v>0</v>
      </c>
      <c r="S350" s="41">
        <f t="shared" si="490"/>
        <v>0</v>
      </c>
      <c r="T350" s="190"/>
      <c r="U350" s="190"/>
      <c r="V350" s="190"/>
      <c r="W350" s="190"/>
      <c r="X350" s="190"/>
      <c r="Y350" s="42"/>
      <c r="AA350" s="206" t="str">
        <f t="shared" si="434"/>
        <v/>
      </c>
    </row>
    <row r="351" spans="1:27" ns3:dyDescent="0.3">
      <c r="A351" s="209" t="s">
        <v>83</v>
      </c>
      <c r="B351" s="58" t="s">
        <v>312</v>
      </c>
      <c r="C351" s="152"/>
      <c r="D351" s="166" t="str">
        <f t="shared" ref="D351:D375" si="546">IFERROR((F351/E351),"")</f>
        <v/>
      </c>
      <c r="E351" s="4"/>
      <c r="F351" s="3"/>
      <c r="G351" s="5"/>
      <c r="H351" s="6"/>
      <c r="I351" s="34">
        <f t="shared" ref="I351:I375" si="547">IFERROR((S351*E351),"")</f>
        <v>0</v>
      </c>
      <c r="J351" s="78" t="str">
        <f>IFERROR(VLOOKUP(C351,[2]Sheet1!$D:$J,7,0),"")</f>
        <v/>
      </c>
      <c r="K351" s="80" t="str">
        <f t="shared" ref="K351:K375" si="548">IFERROR((I351+J351),"")</f>
        <v/>
      </c>
      <c r="L351" s="7">
        <f t="shared" ref="L351:L376" si="549">IFERROR((G351*H351),"")</f>
        <v>0</v>
      </c>
      <c r="M351" s="8" t="str">
        <f t="shared" ref="M351:M376" si="550">IFERROR(K351-L351,"")</f>
        <v/>
      </c>
      <c r="N351" s="57" t="str">
        <f t="shared" ref="N351:N375" si="551">IFERROR((K351/H351),"")</f>
        <v/>
      </c>
      <c r="O351" s="9"/>
      <c r="P351" s="10"/>
      <c r="Q351" s="10"/>
      <c r="R351" s="10">
        <f t="shared" ref="R351" si="552">O351*P351*Q351</f>
        <v>0</v>
      </c>
      <c r="S351" s="41">
        <f t="shared" ref="S351:S387" si="553">SUM(Y351,T351:X351)</f>
        <v>0</v>
      </c>
      <c r="T351" s="190"/>
      <c r="U351" s="190"/>
      <c r="V351" s="190"/>
      <c r="W351" s="190"/>
      <c r="X351" s="190"/>
      <c r="Y351" s="42"/>
      <c r="Z351" s="1"/>
      <c r="AA351" s="206" t="str">
        <f t="shared" ref="AA351:AA427" si="554">IFERROR(H351*7.5/E351/7,"")</f>
        <v/>
      </c>
    </row>
    <row r="352" spans="1:27" hidden="1" ns3:dyDescent="0.3">
      <c r="A352" s="198"/>
      <c r="B352" s="11"/>
      <c r="C352" s="262" t="s">
        <v>293</v>
      </c>
      <c r="D352" s="166" t="str">
        <f t="shared" ref="D352:D362" si="555">IFERROR((F352/E352),"")</f>
        <v/>
      </c>
      <c r="E352" s="4">
        <v>5</v>
      </c>
      <c r="F352" s="3" t="str">
        <f>IFERROR((L352-K352),"")</f>
        <v/>
      </c>
      <c r="G352" s="5">
        <v>6.5</v>
      </c>
      <c r="H352" s="6">
        <f>ROUNDUP(SUMPRODUCT(B353,C353)/2000,0)</f>
        <v>16</v>
      </c>
      <c r="I352" s="34">
        <f t="shared" ref="I352:I362" si="556">IFERROR((S352*E352),"")</f>
        <v>0</v>
      </c>
      <c r="J352" s="78" t="str">
        <f>IFERROR(VLOOKUP(C352,[2]Sheet1!$D:$J,7,0),"")</f>
        <v/>
      </c>
      <c r="K352" s="80" t="str">
        <f t="shared" ref="K352:K362" si="557">IFERROR((I352+J352),"")</f>
        <v/>
      </c>
      <c r="L352" s="7">
        <f t="shared" ref="L352:L362" si="558">IFERROR((G352*H352),"")</f>
        <v>104</v>
      </c>
      <c r="M352" s="8" t="str">
        <f t="shared" ref="M352:M362" si="559">IFERROR(K352-L352,"")</f>
        <v/>
      </c>
      <c r="N352" s="57" t="str">
        <f t="shared" ref="N352:N362" si="560">IFERROR((K352/H352),"")</f>
        <v/>
      </c>
      <c r="O352" s="9"/>
      <c r="P352" s="10"/>
      <c r="Q352" s="10">
        <v>13947</v>
      </c>
      <c r="R352" s="10">
        <f t="shared" ref="R352:R362" si="561">O352*P352*Q352</f>
        <v>0</v>
      </c>
      <c r="S352" s="41">
        <f t="shared" si="553"/>
        <v>0</v>
      </c>
      <c r="T352" s="173"/>
      <c r="U352" s="173"/>
      <c r="V352" s="173"/>
      <c r="W352" s="173"/>
      <c r="X352" s="173"/>
      <c r="Y352" s="220"/>
      <c r="Z352" s="1"/>
      <c r="AA352" s="206">
        <f t="shared" si="554"/>
        <v>3.4285714285714284</v>
      </c>
    </row>
    <row r="353" spans="1:29" hidden="1" ns3:dyDescent="0.3">
      <c r="A353" s="273" t="s">
        <v>292</v>
      </c>
      <c r="B353" s="11">
        <v>600</v>
      </c>
      <c r="C353" s="164">
        <v>51.9</v>
      </c>
      <c r="D353" s="166" t="str">
        <f t="shared" si="555"/>
        <v/>
      </c>
      <c r="E353" s="4"/>
      <c r="F353" s="3"/>
      <c r="G353" s="5"/>
      <c r="H353" s="6"/>
      <c r="I353" s="34">
        <f t="shared" si="556"/>
        <v>0</v>
      </c>
      <c r="J353" s="78" t="str">
        <f>IFERROR(VLOOKUP(C353,[2]Sheet1!$D:$J,7,0),"")</f>
        <v/>
      </c>
      <c r="K353" s="80" t="str">
        <f t="shared" si="557"/>
        <v/>
      </c>
      <c r="L353" s="7">
        <f t="shared" si="558"/>
        <v>0</v>
      </c>
      <c r="M353" s="8" t="str">
        <f t="shared" si="559"/>
        <v/>
      </c>
      <c r="N353" s="57" t="str">
        <f t="shared" si="560"/>
        <v/>
      </c>
      <c r="O353" s="9"/>
      <c r="P353" s="10"/>
      <c r="Q353" s="10"/>
      <c r="R353" s="10">
        <f t="shared" si="561"/>
        <v>0</v>
      </c>
      <c r="S353" s="41">
        <f t="shared" si="553"/>
        <v>0</v>
      </c>
      <c r="Y353" s="180"/>
      <c r="Z353" s="1"/>
      <c r="AA353" s="206" t="str">
        <f t="shared" si="554"/>
        <v/>
      </c>
    </row>
    <row r="354" spans="1:29" ns3:dyDescent="0.3">
      <c r="A354" s="60" t="s">
        <v>695</v>
      </c>
      <c r="B354" s="261" t="s">
        <v>648</v>
      </c>
      <c r="C354" s="62" t="s">
        <v>704</v>
      </c>
      <c r="D354" s="166">
        <f>IFERROR((F354/E354),"")</f>
        <v>-4.8050000000000068</v>
      </c>
      <c r="E354" s="4">
        <v>5</v>
      </c>
      <c r="F354" s="3">
        <f>IFERROR((L354-K354),"")</f>
        <v>-24.025000000000034</v>
      </c>
      <c r="G354" s="5">
        <v>3.5</v>
      </c>
      <c r="H354" s="6">
        <f>ROUNDUP(SUMPRODUCT(B355:B356,C355:C356)/2000,0)*0.85</f>
        <v>68.849999999999994</v>
      </c>
      <c r="I354" s="34">
        <f>IFERROR((S354*E354),"")</f>
        <v>240</v>
      </c>
      <c r="J354" s="78">
        <f>IFERROR(VLOOKUP(C354,[2]Sheet1!$D:$J,7,0),"")</f>
        <v>25</v>
      </c>
      <c r="K354" s="80">
        <f>IFERROR((I354+J354),"")</f>
        <v>265</v>
      </c>
      <c r="L354" s="7">
        <f>IFERROR((G354*H354),"")</f>
        <v>240.97499999999997</v>
      </c>
      <c r="M354" s="8">
        <f>IFERROR(K354-L354,"")</f>
        <v>24.025000000000034</v>
      </c>
      <c r="N354" s="57">
        <f>IFERROR((K354/H354),"")</f>
        <v>3.8489469862018884</v>
      </c>
      <c r="O354" s="9"/>
      <c r="P354" s="10"/>
      <c r="Q354" s="10">
        <v>12600</v>
      </c>
      <c r="R354" s="10"/>
      <c r="S354" s="41">
        <f>SUM(Y354,T354:X354)</f>
        <v>48</v>
      </c>
      <c r="T354" s="193">
        <v>10</v>
      </c>
      <c r="U354" s="173">
        <v>20</v>
      </c>
      <c r="V354" s="173">
        <v>18</v>
      </c>
      <c r="W354" s="193"/>
      <c r="X354" s="173"/>
      <c r="Y354" s="220"/>
      <c r="Z354" s="1"/>
      <c r="AA354" s="206">
        <f>IFERROR(H354*7.5/E354/7,"")</f>
        <v>14.75357142857143</v>
      </c>
      <c r="AC354" s="1" t="s">
        <v>651</v>
      </c>
    </row>
    <row r="355" spans="1:29" ns3:dyDescent="0.3">
      <c r="A355" s="273" t="s">
        <v>571</v>
      </c>
      <c r="B355" s="284">
        <f>ROUNDUP(HLOOKUP(A355,'야채 계산기'!$2:$3,2,0)*1.03,0)</f>
        <v>835</v>
      </c>
      <c r="C355" s="62">
        <f>'[1]NEW혜자)백설갈비양념제육(26.07.28)'!$B$7</f>
        <v>125.54</v>
      </c>
      <c r="D355" s="166"/>
      <c r="E355" s="4"/>
      <c r="F355" s="3"/>
      <c r="G355" s="5"/>
      <c r="H355" s="6"/>
      <c r="I355" s="34">
        <f>IFERROR((S355*E355),"")</f>
        <v>0</v>
      </c>
      <c r="J355" s="78" t="str">
        <f>IFERROR(VLOOKUP(C355,[2]Sheet1!$D:$J,7,0),"")</f>
        <v/>
      </c>
      <c r="K355" s="80" t="str">
        <f>IFERROR((I355+J355),"")</f>
        <v/>
      </c>
      <c r="L355" s="7">
        <f>IFERROR((G355*H355),"")</f>
        <v>0</v>
      </c>
      <c r="M355" s="8" t="str">
        <f>IFERROR(K355-L355,"")</f>
        <v/>
      </c>
      <c r="N355" s="57"/>
      <c r="O355" s="9"/>
      <c r="P355" s="10"/>
      <c r="Q355" s="10"/>
      <c r="R355" s="10"/>
      <c r="S355" s="41">
        <f>SUM(Y355,T355:X355)</f>
        <v>0</v>
      </c>
      <c r="Y355" s="1"/>
      <c r="Z355" s="1"/>
      <c r="AA355" s="206" t="str">
        <f>IFERROR(H355*7.5/E355/7,"")</f>
        <v/>
      </c>
    </row>
    <row r="356" spans="1:29" ns3:dyDescent="0.3">
      <c r="A356" s="60" t="s">
        <v>623</v>
      </c>
      <c r="B356" s="284">
        <f>ROUNDUP(HLOOKUP(A356,'야채 계산기'!$2:$3,2,0)*1.03,0)</f>
        <v>1113</v>
      </c>
      <c r="C356" s="62">
        <f>'[1]뭘좋아할지몰라다넣어봤어(26.08.11)'!$B$6</f>
        <v>50.22</v>
      </c>
      <c r="D356" s="166"/>
      <c r="E356" s="4"/>
      <c r="F356" s="3"/>
      <c r="G356" s="5"/>
      <c r="H356" s="6"/>
      <c r="I356" s="34">
        <f>IFERROR((S356*E356),"")</f>
        <v>0</v>
      </c>
      <c r="J356" s="78" t="str">
        <f>IFERROR(VLOOKUP(C356,[2]Sheet1!$D:$J,7,0),"")</f>
        <v/>
      </c>
      <c r="K356" s="80" t="str">
        <f>IFERROR((I356+J356),"")</f>
        <v/>
      </c>
      <c r="L356" s="7">
        <f>IFERROR((G356*H356),"")</f>
        <v>0</v>
      </c>
      <c r="M356" s="8" t="str">
        <f>IFERROR(K356-L356,"")</f>
        <v/>
      </c>
      <c r="N356" s="57"/>
      <c r="O356" s="9"/>
      <c r="P356" s="10"/>
      <c r="Q356" s="10"/>
      <c r="R356" s="10"/>
      <c r="S356" s="41">
        <f>SUM(Y356,T356:X356)</f>
        <v>0</v>
      </c>
      <c r="Y356" s="1"/>
      <c r="Z356" s="1"/>
      <c r="AA356" s="206" t="str">
        <f>IFERROR(H356*7.5/E356/7,"")</f>
        <v/>
      </c>
    </row>
    <row r="357" spans="1:29" ns3:dyDescent="0.3">
      <c r="A357" s="60"/>
      <c r="B357" s="59"/>
      <c r="C357" s="62" t="s">
        <v>670</v>
      </c>
      <c r="D357" s="166">
        <f t="shared" ref="D357:D360" si="562">IFERROR((F357/E357),"")</f>
        <v>-7.5399999999999974</v>
      </c>
      <c r="E357" s="4">
        <v>5</v>
      </c>
      <c r="F357" s="3">
        <f>IFERROR((L357-K357),"")</f>
        <v>-37.699999999999989</v>
      </c>
      <c r="G357" s="5">
        <f>G354</f>
        <v>3.5</v>
      </c>
      <c r="H357" s="6">
        <f>ROUNDUP(SUMPRODUCT(B358:B358,C358:C358)/2000,0)*0.9</f>
        <v>37.800000000000004</v>
      </c>
      <c r="I357" s="34">
        <f t="shared" ref="I357:I360" si="563">IFERROR((S357*E357),"")</f>
        <v>150</v>
      </c>
      <c r="J357" s="78">
        <f>IFERROR(VLOOKUP(C357,[2]Sheet1!$D:$J,7,0),"")</f>
        <v>20</v>
      </c>
      <c r="K357" s="80">
        <f t="shared" ref="K357:K360" si="564">IFERROR((I357+J357),"")</f>
        <v>170</v>
      </c>
      <c r="L357" s="7">
        <f t="shared" ref="L357:L360" si="565">IFERROR((G357*H357),"")</f>
        <v>132.30000000000001</v>
      </c>
      <c r="M357" s="8">
        <f t="shared" ref="M357:M360" si="566">IFERROR(K357-L357,"")</f>
        <v>37.699999999999989</v>
      </c>
      <c r="N357" s="57">
        <f t="shared" ref="N357:N360" si="567">IFERROR((K357/H357),"")</f>
        <v>4.4973544973544968</v>
      </c>
      <c r="O357" s="9"/>
      <c r="P357" s="10"/>
      <c r="Q357" s="10">
        <v>12800</v>
      </c>
      <c r="R357" s="10">
        <f t="shared" ref="R357:R360" si="568">O357*P357*Q357</f>
        <v>0</v>
      </c>
      <c r="S357" s="41">
        <f t="shared" ref="S357:S360" si="569">SUM(Y357,T357:X357)</f>
        <v>30</v>
      </c>
      <c r="T357" s="173">
        <v>8</v>
      </c>
      <c r="U357" s="173">
        <v>10</v>
      </c>
      <c r="V357" s="173">
        <v>12</v>
      </c>
      <c r="W357" s="173"/>
      <c r="X357" s="173"/>
      <c r="Y357" s="220"/>
      <c r="Z357" s="1"/>
      <c r="AA357" s="206">
        <f t="shared" si="554"/>
        <v>8.1000000000000014</v>
      </c>
    </row>
    <row r="358" spans="1:29" ns3:dyDescent="0.3">
      <c r="A358" s="60" t="s">
        <v>638</v>
      </c>
      <c r="B358" s="11">
        <f>ROUNDUP(HLOOKUP(A358,'야채 계산기'!$2:$3,2,0),0)</f>
        <v>1470</v>
      </c>
      <c r="C358" s="62">
        <v>56.53</v>
      </c>
      <c r="D358" s="166" t="str">
        <f t="shared" si="562"/>
        <v/>
      </c>
      <c r="E358" s="4"/>
      <c r="F358" s="3"/>
      <c r="G358" s="5"/>
      <c r="H358" s="6"/>
      <c r="I358" s="34">
        <f t="shared" si="563"/>
        <v>0</v>
      </c>
      <c r="J358" s="78" t="str">
        <f>IFERROR(VLOOKUP(C358,[2]Sheet1!$D:$J,7,0),"")</f>
        <v/>
      </c>
      <c r="K358" s="80" t="str">
        <f t="shared" si="564"/>
        <v/>
      </c>
      <c r="L358" s="7">
        <f t="shared" si="565"/>
        <v>0</v>
      </c>
      <c r="M358" s="8" t="str">
        <f t="shared" si="566"/>
        <v/>
      </c>
      <c r="N358" s="57" t="str">
        <f t="shared" si="567"/>
        <v/>
      </c>
      <c r="O358" s="9"/>
      <c r="P358" s="10"/>
      <c r="Q358" s="10"/>
      <c r="R358" s="10">
        <f t="shared" si="568"/>
        <v>0</v>
      </c>
      <c r="S358" s="41">
        <f t="shared" si="569"/>
        <v>0</v>
      </c>
      <c r="Y358" s="180"/>
      <c r="Z358" s="1"/>
      <c r="AA358" s="206" t="str">
        <f t="shared" si="554"/>
        <v/>
      </c>
    </row>
    <row r="359" spans="1:29" ns3:dyDescent="0.3">
      <c r="A359" s="60"/>
      <c r="B359" s="11"/>
      <c r="C359" s="164" t="s">
        <v>60</v>
      </c>
      <c r="D359" s="166">
        <f t="shared" si="562"/>
        <v>-4.95</v>
      </c>
      <c r="E359" s="4">
        <v>5</v>
      </c>
      <c r="F359" s="3">
        <f>IFERROR((L359-K359),"")</f>
        <v>-24.75</v>
      </c>
      <c r="G359" s="5">
        <f>G354</f>
        <v>3.5</v>
      </c>
      <c r="H359" s="6">
        <f>ROUNDUP(SUMPRODUCT(B360:B360,C360:C360)/2000,0)*0.9</f>
        <v>31.5</v>
      </c>
      <c r="I359" s="34">
        <f t="shared" si="563"/>
        <v>90</v>
      </c>
      <c r="J359" s="78">
        <f>IFERROR(VLOOKUP(C359,[2]Sheet1!$D:$J,7,0),"")</f>
        <v>45</v>
      </c>
      <c r="K359" s="80">
        <f t="shared" si="564"/>
        <v>135</v>
      </c>
      <c r="L359" s="7">
        <f t="shared" si="565"/>
        <v>110.25</v>
      </c>
      <c r="M359" s="8">
        <f t="shared" si="566"/>
        <v>24.75</v>
      </c>
      <c r="N359" s="57">
        <f t="shared" si="567"/>
        <v>4.2857142857142856</v>
      </c>
      <c r="O359" s="9"/>
      <c r="P359" s="10"/>
      <c r="Q359" s="10">
        <v>12738</v>
      </c>
      <c r="R359" s="10">
        <f t="shared" si="568"/>
        <v>0</v>
      </c>
      <c r="S359" s="41">
        <f t="shared" si="569"/>
        <v>18</v>
      </c>
      <c r="T359" s="173">
        <v>6</v>
      </c>
      <c r="U359" s="173">
        <v>8</v>
      </c>
      <c r="V359" s="173">
        <v>4</v>
      </c>
      <c r="W359" s="173"/>
      <c r="X359" s="173"/>
      <c r="Y359" s="220"/>
      <c r="Z359" s="1"/>
      <c r="AA359" s="206">
        <f t="shared" ref="AA359:AA360" si="570">IFERROR(H359*7.5/E359/7,"")</f>
        <v>6.75</v>
      </c>
    </row>
    <row r="360" spans="1:29" ns3:dyDescent="0.3">
      <c r="A360" s="13" t="s">
        <v>325</v>
      </c>
      <c r="B360" s="11">
        <f>ROUNDUP(HLOOKUP(A360,'야채 계산기'!$2:$3,2,0),0)</f>
        <v>1190</v>
      </c>
      <c r="C360" s="62">
        <f>73.27*0.78</f>
        <v>57.150599999999997</v>
      </c>
      <c r="D360" s="166" t="str">
        <f t="shared" si="562"/>
        <v/>
      </c>
      <c r="E360" s="4"/>
      <c r="F360" s="3"/>
      <c r="G360" s="5"/>
      <c r="H360" s="6"/>
      <c r="I360" s="34">
        <f t="shared" si="563"/>
        <v>0</v>
      </c>
      <c r="J360" s="78" t="str">
        <f>IFERROR(VLOOKUP(C360,[2]Sheet1!$D:$J,7,0),"")</f>
        <v/>
      </c>
      <c r="K360" s="80" t="str">
        <f t="shared" si="564"/>
        <v/>
      </c>
      <c r="L360" s="7">
        <f t="shared" si="565"/>
        <v>0</v>
      </c>
      <c r="M360" s="8" t="str">
        <f t="shared" si="566"/>
        <v/>
      </c>
      <c r="N360" s="57" t="str">
        <f t="shared" si="567"/>
        <v/>
      </c>
      <c r="O360" s="9"/>
      <c r="P360" s="10"/>
      <c r="Q360" s="10"/>
      <c r="R360" s="10">
        <f t="shared" si="568"/>
        <v>0</v>
      </c>
      <c r="S360" s="41">
        <f t="shared" si="569"/>
        <v>0</v>
      </c>
      <c r="Y360" s="180"/>
      <c r="Z360" s="1"/>
      <c r="AA360" s="206" t="str">
        <f t="shared" si="570"/>
        <v/>
      </c>
    </row>
    <row r="361" spans="1:29" ht="16.5" hidden="1" customHeight="1" ns3:dyDescent="0.3">
      <c r="A361" s="186" t="s">
        <v>255</v>
      </c>
      <c r="B361" s="11"/>
      <c r="C361" s="182" t="s">
        <v>84</v>
      </c>
      <c r="D361" s="166" t="str">
        <f t="shared" si="555"/>
        <v/>
      </c>
      <c r="E361" s="4">
        <v>5</v>
      </c>
      <c r="F361" s="3" t="str">
        <f>IFERROR((L361-K361),"")</f>
        <v/>
      </c>
      <c r="G361" s="5">
        <v>6</v>
      </c>
      <c r="H361" s="6" t="e">
        <f>ROUNDUP(SUMPRODUCT(B362,C362)/2000,1)</f>
        <v>#N/A</v>
      </c>
      <c r="I361" s="34">
        <f t="shared" si="556"/>
        <v>0</v>
      </c>
      <c r="J361" s="78" t="str">
        <f>IFERROR(VLOOKUP(C361,[2]Sheet1!$D:$J,7,0),"")</f>
        <v/>
      </c>
      <c r="K361" s="80" t="str">
        <f t="shared" si="557"/>
        <v/>
      </c>
      <c r="L361" s="7" t="str">
        <f t="shared" si="558"/>
        <v/>
      </c>
      <c r="M361" s="8" t="str">
        <f t="shared" si="559"/>
        <v/>
      </c>
      <c r="N361" s="57" t="str">
        <f t="shared" si="560"/>
        <v/>
      </c>
      <c r="O361" s="9"/>
      <c r="P361" s="10"/>
      <c r="Q361" s="10">
        <v>12800</v>
      </c>
      <c r="R361" s="10">
        <f t="shared" si="561"/>
        <v>0</v>
      </c>
      <c r="S361" s="41">
        <f t="shared" si="553"/>
        <v>0</v>
      </c>
      <c r="T361" s="245"/>
      <c r="U361" s="245"/>
      <c r="V361" s="245"/>
      <c r="W361" s="245"/>
      <c r="X361" s="245"/>
      <c r="Y361" s="246"/>
      <c r="Z361" s="1"/>
      <c r="AA361" s="206" t="str">
        <f t="shared" si="554"/>
        <v/>
      </c>
    </row>
    <row r="362" spans="1:29" ht="15" hidden="1" customHeight="1" ns3:dyDescent="0.3">
      <c r="A362" s="59" t="s">
        <v>493</v>
      </c>
      <c r="B362" s="11" t="e">
        <f>ROUNDUP(HLOOKUP(A362,'야채 계산기'!$2:$3,2,0),0)</f>
        <v>#N/A</v>
      </c>
      <c r="C362" s="164">
        <f>'[1]혜자)돈까스&amp;고추장제육(25.11.13)'!$B$6</f>
        <v>85.97</v>
      </c>
      <c r="D362" s="166" t="str">
        <f t="shared" si="555"/>
        <v/>
      </c>
      <c r="E362" s="4"/>
      <c r="F362" s="3"/>
      <c r="G362" s="5"/>
      <c r="H362" s="6"/>
      <c r="I362" s="34">
        <f t="shared" si="556"/>
        <v>0</v>
      </c>
      <c r="J362" s="78" t="str">
        <f>IFERROR(VLOOKUP(C362,[2]Sheet1!$D:$J,7,0),"")</f>
        <v/>
      </c>
      <c r="K362" s="80" t="str">
        <f t="shared" si="557"/>
        <v/>
      </c>
      <c r="L362" s="7">
        <f t="shared" si="558"/>
        <v>0</v>
      </c>
      <c r="M362" s="8" t="str">
        <f t="shared" si="559"/>
        <v/>
      </c>
      <c r="N362" s="57" t="str">
        <f t="shared" si="560"/>
        <v/>
      </c>
      <c r="O362" s="9"/>
      <c r="P362" s="10"/>
      <c r="Q362" s="10"/>
      <c r="R362" s="10">
        <f t="shared" si="561"/>
        <v>0</v>
      </c>
      <c r="S362" s="41">
        <f t="shared" si="553"/>
        <v>0</v>
      </c>
      <c r="T362" s="226"/>
      <c r="U362" s="190"/>
      <c r="V362" s="226"/>
      <c r="W362" s="190"/>
      <c r="X362" s="190"/>
      <c r="Y362" s="42"/>
      <c r="Z362" s="1"/>
      <c r="AA362" s="206" t="str">
        <f t="shared" si="554"/>
        <v/>
      </c>
    </row>
    <row r="363" spans="1:29" hidden="1" ns3:dyDescent="0.3">
      <c r="A363" s="11">
        <v>7</v>
      </c>
      <c r="B363" s="11"/>
      <c r="C363" s="262" t="s">
        <v>607</v>
      </c>
      <c r="D363" s="166" t="str">
        <f t="shared" ref="D363:D364" si="571">IFERROR((F363/E363),"")</f>
        <v/>
      </c>
      <c r="E363" s="4">
        <v>5</v>
      </c>
      <c r="F363" s="3" t="str">
        <f>IFERROR((L363-K363),"")</f>
        <v/>
      </c>
      <c r="G363" s="5">
        <f>G354</f>
        <v>3.5</v>
      </c>
      <c r="H363" s="6" t="e">
        <f>ROUNDUP((B364*C364)/2000,1)</f>
        <v>#N/A</v>
      </c>
      <c r="I363" s="34">
        <f t="shared" ref="I363:I364" si="572">IFERROR((S363*E363),"")</f>
        <v>0</v>
      </c>
      <c r="J363" s="78" t="str">
        <f>IFERROR(VLOOKUP(C363,[2]Sheet1!$D:$J,7,0),"")</f>
        <v/>
      </c>
      <c r="K363" s="80" t="str">
        <f t="shared" ref="K363:K364" si="573">IFERROR((I363+J363),"")</f>
        <v/>
      </c>
      <c r="L363" s="7" t="str">
        <f t="shared" ref="L363:L364" si="574">IFERROR((G363*H363),"")</f>
        <v/>
      </c>
      <c r="M363" s="8" t="str">
        <f t="shared" ref="M363:M364" si="575">IFERROR(K363-L363,"")</f>
        <v/>
      </c>
      <c r="N363" s="57" t="str">
        <f t="shared" ref="N363:N364" si="576">IFERROR((K363/H363),"")</f>
        <v/>
      </c>
      <c r="O363" s="9"/>
      <c r="P363" s="10"/>
      <c r="Q363" s="10">
        <v>11473</v>
      </c>
      <c r="R363" s="10">
        <f t="shared" ref="R363:R364" si="577">O363*P363*Q363</f>
        <v>0</v>
      </c>
      <c r="S363" s="41">
        <f t="shared" si="553"/>
        <v>0</v>
      </c>
      <c r="T363" s="173"/>
      <c r="U363" s="173"/>
      <c r="V363" s="173"/>
      <c r="W363" s="173"/>
      <c r="X363" s="173"/>
      <c r="Y363" s="220"/>
      <c r="Z363" s="1"/>
      <c r="AA363" s="206" t="str">
        <f t="shared" si="554"/>
        <v/>
      </c>
    </row>
    <row r="364" spans="1:29" hidden="1" ns3:dyDescent="0.3">
      <c r="A364" s="273" t="s">
        <v>597</v>
      </c>
      <c r="B364" s="11" t="e">
        <f>ROUNDUP(HLOOKUP(A364,'야채 계산기'!$2:$3,2,0),0)</f>
        <v>#N/A</v>
      </c>
      <c r="C364" s="62">
        <v>27.47</v>
      </c>
      <c r="D364" s="166" t="str">
        <f t="shared" si="571"/>
        <v/>
      </c>
      <c r="E364" s="4"/>
      <c r="F364" s="3"/>
      <c r="G364" s="5"/>
      <c r="H364" s="6"/>
      <c r="I364" s="34">
        <f t="shared" si="572"/>
        <v>0</v>
      </c>
      <c r="J364" s="78" t="str">
        <f>IFERROR(VLOOKUP(C364,[2]Sheet1!$D:$J,7,0),"")</f>
        <v/>
      </c>
      <c r="K364" s="80" t="str">
        <f t="shared" si="573"/>
        <v/>
      </c>
      <c r="L364" s="7">
        <f t="shared" si="574"/>
        <v>0</v>
      </c>
      <c r="M364" s="8" t="str">
        <f t="shared" si="575"/>
        <v/>
      </c>
      <c r="N364" s="57" t="str">
        <f t="shared" si="576"/>
        <v/>
      </c>
      <c r="O364" s="9"/>
      <c r="P364" s="10"/>
      <c r="Q364" s="10"/>
      <c r="R364" s="10">
        <f t="shared" si="577"/>
        <v>0</v>
      </c>
      <c r="S364" s="41">
        <f t="shared" si="553"/>
        <v>0</v>
      </c>
      <c r="Y364" s="42"/>
      <c r="Z364" s="1"/>
      <c r="AA364" s="206" t="str">
        <f t="shared" si="554"/>
        <v/>
      </c>
    </row>
    <row r="365" spans="1:29" ns3:dyDescent="0.3">
      <c r="A365" s="60"/>
      <c r="B365" s="11"/>
      <c r="C365" s="62" t="s">
        <v>713</v>
      </c>
      <c r="D365" s="166">
        <f t="shared" ref="D365:D366" si="578">IFERROR((F365/E365),"")</f>
        <v>-19.819999999999993</v>
      </c>
      <c r="E365" s="4">
        <v>5</v>
      </c>
      <c r="F365" s="3">
        <f>IFERROR((L365-K365),"")</f>
        <v>-99.099999999999966</v>
      </c>
      <c r="G365" s="5">
        <f>G354</f>
        <v>3.5</v>
      </c>
      <c r="H365" s="6">
        <f>ROUNDUP(SUMPRODUCT(B366:B366,C366:C366)/2000,0)*0.9</f>
        <v>77.400000000000006</v>
      </c>
      <c r="I365" s="34">
        <f t="shared" ref="I365:I366" si="579">IFERROR((S365*E365),"")</f>
        <v>180</v>
      </c>
      <c r="J365" s="78">
        <f>IFERROR(VLOOKUP(C365,[2]Sheet1!$D:$J,7,0),"")</f>
        <v>190</v>
      </c>
      <c r="K365" s="80">
        <f t="shared" ref="K365:K366" si="580">IFERROR((I365+J365),"")</f>
        <v>370</v>
      </c>
      <c r="L365" s="7">
        <f t="shared" ref="L365:L366" si="581">IFERROR((G365*H365),"")</f>
        <v>270.90000000000003</v>
      </c>
      <c r="M365" s="8">
        <f t="shared" ref="M365:M366" si="582">IFERROR(K365-L365,"")</f>
        <v>99.099999999999966</v>
      </c>
      <c r="N365" s="57">
        <f t="shared" ref="N365:N366" si="583">IFERROR((K365/H365),"")</f>
        <v>4.7803617571059425</v>
      </c>
      <c r="O365" s="9"/>
      <c r="P365" s="10"/>
      <c r="Q365" s="10">
        <v>13200</v>
      </c>
      <c r="R365" s="10">
        <f t="shared" ref="R365:R366" si="584">O365*P365*Q365</f>
        <v>0</v>
      </c>
      <c r="S365" s="41">
        <f t="shared" ref="S365:S366" si="585">SUM(Y365,T365:X365)</f>
        <v>36</v>
      </c>
      <c r="T365" s="173">
        <v>16</v>
      </c>
      <c r="U365" s="173">
        <v>14</v>
      </c>
      <c r="V365" s="173">
        <v>6</v>
      </c>
      <c r="W365" s="173"/>
      <c r="X365" s="173"/>
      <c r="Y365" s="220"/>
      <c r="Z365" s="1"/>
      <c r="AA365" s="206">
        <f t="shared" ref="AA365:AA366" si="586">IFERROR(H365*7.5/E365/7,"")</f>
        <v>16.585714285714285</v>
      </c>
    </row>
    <row r="366" spans="1:29" ns3:dyDescent="0.3">
      <c r="A366" s="60" t="s">
        <v>711</v>
      </c>
      <c r="B366" s="11">
        <f>ROUNDUP(HLOOKUP(A366,'야채 계산기'!$2:$3,2,0),0)</f>
        <v>1680</v>
      </c>
      <c r="C366" s="62">
        <v>101.37</v>
      </c>
      <c r="D366" s="166" t="str">
        <f t="shared" si="578"/>
        <v/>
      </c>
      <c r="E366" s="4"/>
      <c r="F366" s="3"/>
      <c r="G366" s="5"/>
      <c r="H366" s="6"/>
      <c r="I366" s="34">
        <f t="shared" si="579"/>
        <v>0</v>
      </c>
      <c r="J366" s="78" t="str">
        <f>IFERROR(VLOOKUP(C366,[2]Sheet1!$D:$J,7,0),"")</f>
        <v/>
      </c>
      <c r="K366" s="80" t="str">
        <f t="shared" si="580"/>
        <v/>
      </c>
      <c r="L366" s="7">
        <f t="shared" si="581"/>
        <v>0</v>
      </c>
      <c r="M366" s="8" t="str">
        <f t="shared" si="582"/>
        <v/>
      </c>
      <c r="N366" s="57" t="str">
        <f t="shared" si="583"/>
        <v/>
      </c>
      <c r="O366" s="9"/>
      <c r="P366" s="10"/>
      <c r="Q366" s="10"/>
      <c r="R366" s="10">
        <f t="shared" si="584"/>
        <v>0</v>
      </c>
      <c r="S366" s="41">
        <f t="shared" si="585"/>
        <v>0</v>
      </c>
      <c r="Y366" s="180"/>
      <c r="Z366" s="1"/>
      <c r="AA366" s="206" t="str">
        <f t="shared" si="586"/>
        <v/>
      </c>
    </row>
    <row r="367" spans="1:29" hidden="1" ns3:dyDescent="0.3">
      <c r="A367" s="60"/>
      <c r="B367" s="11"/>
      <c r="C367" s="62" t="s">
        <v>608</v>
      </c>
      <c r="D367" s="166" t="str">
        <f t="shared" ref="D367:D368" si="587">IFERROR((F367/E367),"")</f>
        <v/>
      </c>
      <c r="E367" s="4">
        <v>5</v>
      </c>
      <c r="F367" s="3" t="str">
        <f>IFERROR((L367-K367),"")</f>
        <v/>
      </c>
      <c r="G367" s="5">
        <f>G354</f>
        <v>3.5</v>
      </c>
      <c r="H367" s="6" t="e">
        <f>ROUNDUP((B368*C368)/2000,1)</f>
        <v>#N/A</v>
      </c>
      <c r="I367" s="34">
        <f>IFERROR((S367*E367),"")</f>
        <v>0</v>
      </c>
      <c r="J367" s="78" t="str">
        <f>IFERROR(VLOOKUP(C367,[2]Sheet1!$D:$J,7,0),"")</f>
        <v/>
      </c>
      <c r="K367" s="80" t="str">
        <f>IFERROR((I367+J367),"")</f>
        <v/>
      </c>
      <c r="L367" s="7" t="str">
        <f>IFERROR((G367*H367),"")</f>
        <v/>
      </c>
      <c r="M367" s="8" t="str">
        <f>IFERROR(K367-L367,"")</f>
        <v/>
      </c>
      <c r="N367" s="57" t="str">
        <f>IFERROR((K367/H367),"")</f>
        <v/>
      </c>
      <c r="O367" s="9"/>
      <c r="P367" s="10"/>
      <c r="Q367" s="10">
        <v>12052</v>
      </c>
      <c r="R367" s="10">
        <f>O367*P367*Q367</f>
        <v>0</v>
      </c>
      <c r="S367" s="41">
        <f t="shared" si="553"/>
        <v>0</v>
      </c>
      <c r="T367" s="173"/>
      <c r="U367" s="173"/>
      <c r="V367" s="173"/>
      <c r="W367" s="173"/>
      <c r="X367" s="173"/>
      <c r="Y367" s="220"/>
      <c r="Z367" s="1"/>
      <c r="AA367" s="206" t="str">
        <f t="shared" si="554"/>
        <v/>
      </c>
    </row>
    <row r="368" spans="1:29" hidden="1" ns3:dyDescent="0.3">
      <c r="A368" s="273" t="s">
        <v>597</v>
      </c>
      <c r="B368" s="11" t="e">
        <f>ROUNDUP(HLOOKUP(A368,'야채 계산기'!$2:$3,2,0),0)</f>
        <v>#N/A</v>
      </c>
      <c r="C368" s="62">
        <v>59.79</v>
      </c>
      <c r="D368" s="166" t="str">
        <f t="shared" si="587"/>
        <v/>
      </c>
      <c r="E368" s="4"/>
      <c r="F368" s="3"/>
      <c r="G368" s="5"/>
      <c r="H368" s="6"/>
      <c r="I368" s="34">
        <f>IFERROR((S368*E368),"")</f>
        <v>0</v>
      </c>
      <c r="J368" s="78" t="str">
        <f>IFERROR(VLOOKUP(C368,[2]Sheet1!$D:$J,7,0),"")</f>
        <v/>
      </c>
      <c r="K368" s="80" t="str">
        <f>IFERROR((I368+J368),"")</f>
        <v/>
      </c>
      <c r="L368" s="7">
        <f>IFERROR((G368*H368),"")</f>
        <v>0</v>
      </c>
      <c r="M368" s="8" t="str">
        <f>IFERROR(K368-L368,"")</f>
        <v/>
      </c>
      <c r="N368" s="57" t="str">
        <f>IFERROR((K368/H368),"")</f>
        <v/>
      </c>
      <c r="O368" s="9"/>
      <c r="P368" s="10"/>
      <c r="Q368" s="10"/>
      <c r="R368" s="10">
        <f>O368*P368*Q368</f>
        <v>0</v>
      </c>
      <c r="S368" s="41">
        <f t="shared" si="553"/>
        <v>0</v>
      </c>
      <c r="Y368" s="42"/>
      <c r="Z368" s="1"/>
      <c r="AA368" s="206" t="str">
        <f t="shared" si="554"/>
        <v/>
      </c>
    </row>
    <row r="369" spans="1:33" ns3:dyDescent="0.3">
      <c r="A369" s="60"/>
      <c r="B369" s="11"/>
      <c r="C369" s="62" t="s">
        <v>789</v>
      </c>
      <c r="D369" s="166">
        <f>IFERROR((F369/E369),"")</f>
        <v>-7.55</v>
      </c>
      <c r="E369" s="4">
        <v>5</v>
      </c>
      <c r="F369" s="3">
        <f>IFERROR((L369-K369),"")</f>
        <v>-37.75</v>
      </c>
      <c r="G369" s="5">
        <f>G354</f>
        <v>3.5</v>
      </c>
      <c r="H369" s="6">
        <f>ROUNDUP(SUMPRODUCT(B370:B370,C370:C370)/2000,0)*0.9</f>
        <v>13.5</v>
      </c>
      <c r="I369" s="34">
        <f>IFERROR((S369*E369),"")</f>
        <v>60</v>
      </c>
      <c r="J369" s="78">
        <f>IFERROR(VLOOKUP(C369,[2]Sheet1!$D:$J,7,0),"")</f>
        <v>25</v>
      </c>
      <c r="K369" s="80">
        <f>IFERROR((I369+J369),"")</f>
        <v>85</v>
      </c>
      <c r="L369" s="7">
        <f>IFERROR((G369*H369),"")</f>
        <v>47.25</v>
      </c>
      <c r="M369" s="8">
        <f>IFERROR(K369-L369,"")</f>
        <v>37.75</v>
      </c>
      <c r="N369" s="57">
        <f>IFERROR((K369/H369),"")</f>
        <v>6.2962962962962967</v>
      </c>
      <c r="O369" s="9"/>
      <c r="P369" s="10"/>
      <c r="Q369" s="10">
        <v>8173</v>
      </c>
      <c r="R369" s="10">
        <f>O369*P369*Q369</f>
        <v>0</v>
      </c>
      <c r="S369" s="41">
        <f>SUM(Y369,T369:X369)</f>
        <v>12</v>
      </c>
      <c r="T369" s="173">
        <v>4</v>
      </c>
      <c r="U369" s="173">
        <v>4</v>
      </c>
      <c r="V369" s="173">
        <v>4</v>
      </c>
      <c r="W369" s="173"/>
      <c r="X369" s="173"/>
      <c r="Y369" s="220"/>
      <c r="Z369" s="1"/>
      <c r="AA369" s="206">
        <f>IFERROR(H369*7.5/E369/7,"")</f>
        <v>2.8928571428571428</v>
      </c>
    </row>
    <row r="370" spans="1:33" ns3:dyDescent="0.3">
      <c r="A370" s="60" t="s">
        <v>823</v>
      </c>
      <c r="B370" s="11">
        <f>ROUNDUP(HLOOKUP(A370,'야채 계산기'!$2:$3,2,0),0)</f>
        <v>550</v>
      </c>
      <c r="C370" s="62">
        <v>51.22</v>
      </c>
      <c r="D370" s="166" t="str">
        <f>IFERROR((F370/E370),"")</f>
        <v/>
      </c>
      <c r="E370" s="4"/>
      <c r="F370" s="3"/>
      <c r="G370" s="5"/>
      <c r="H370" s="6"/>
      <c r="I370" s="34">
        <f>IFERROR((S370*E370),"")</f>
        <v>0</v>
      </c>
      <c r="J370" s="78" t="str">
        <f>IFERROR(VLOOKUP(C370,[2]Sheet1!$D:$J,7,0),"")</f>
        <v/>
      </c>
      <c r="K370" s="80" t="str">
        <f>IFERROR((I370+J370),"")</f>
        <v/>
      </c>
      <c r="L370" s="7">
        <f>IFERROR((G370*H370),"")</f>
        <v>0</v>
      </c>
      <c r="M370" s="8" t="str">
        <f>IFERROR(K370-L370,"")</f>
        <v/>
      </c>
      <c r="N370" s="57" t="str">
        <f>IFERROR((K370/H370),"")</f>
        <v/>
      </c>
      <c r="O370" s="9"/>
      <c r="P370" s="10"/>
      <c r="Q370" s="10"/>
      <c r="R370" s="10">
        <f>O370*P370*Q370</f>
        <v>0</v>
      </c>
      <c r="S370" s="41">
        <f>SUM(Y370,T370:X370)</f>
        <v>0</v>
      </c>
      <c r="Y370" s="180"/>
      <c r="Z370" s="1"/>
      <c r="AA370" s="206" t="str">
        <f>IFERROR(H370*7.5/E370/7,"")</f>
        <v/>
      </c>
    </row>
    <row r="371" spans="1:33" ns3:dyDescent="0.3">
      <c r="A371" s="60"/>
      <c r="B371" s="11"/>
      <c r="C371" s="62" t="s">
        <v>822</v>
      </c>
      <c r="D371" s="166">
        <f t="shared" ref="D371:D373" si="588">IFERROR((F371/E371),"")</f>
        <v>-6.9799999999999986</v>
      </c>
      <c r="E371" s="4">
        <v>5</v>
      </c>
      <c r="F371" s="3">
        <f>IFERROR((L371-K371),"")</f>
        <v>-34.899999999999991</v>
      </c>
      <c r="G371" s="5">
        <f>G354</f>
        <v>3.5</v>
      </c>
      <c r="H371" s="6">
        <f>ROUNDUP(SUMPRODUCT(B372:B373,C372:C373)/2000,1)*0.9</f>
        <v>30.6</v>
      </c>
      <c r="I371" s="34">
        <f t="shared" ref="I371:I373" si="589">IFERROR((S371*E371),"")</f>
        <v>120</v>
      </c>
      <c r="J371" s="78">
        <f>IFERROR(VLOOKUP(C371,[2]Sheet1!$D:$J,7,0),"")</f>
        <v>22</v>
      </c>
      <c r="K371" s="80">
        <f t="shared" ref="K371:K373" si="590">IFERROR((I371+J371),"")</f>
        <v>142</v>
      </c>
      <c r="L371" s="7">
        <f t="shared" ref="L371:L373" si="591">IFERROR((G371*H371),"")</f>
        <v>107.10000000000001</v>
      </c>
      <c r="M371" s="8">
        <f t="shared" ref="M371:M373" si="592">IFERROR(K371-L371,"")</f>
        <v>34.899999999999991</v>
      </c>
      <c r="N371" s="57">
        <f t="shared" si="551"/>
        <v>4.640522875816993</v>
      </c>
      <c r="O371" s="9"/>
      <c r="P371" s="10"/>
      <c r="Q371" s="10">
        <v>12875</v>
      </c>
      <c r="R371" s="10">
        <f t="shared" ref="R371:R373" si="593">O371*P371*Q371</f>
        <v>0</v>
      </c>
      <c r="S371" s="41">
        <f t="shared" si="553"/>
        <v>24</v>
      </c>
      <c r="T371" s="173">
        <v>6</v>
      </c>
      <c r="U371" s="173">
        <v>10</v>
      </c>
      <c r="V371" s="173">
        <v>8</v>
      </c>
      <c r="W371" s="173"/>
      <c r="X371" s="173"/>
      <c r="Y371" s="220"/>
      <c r="AA371" s="206">
        <f t="shared" si="554"/>
        <v>6.5571428571428569</v>
      </c>
      <c r="AG371" s="267"/>
    </row>
    <row r="372" spans="1:33" ns3:dyDescent="0.3">
      <c r="A372" s="60" t="s">
        <v>824</v>
      </c>
      <c r="B372" s="11">
        <f>ROUNDUP(HLOOKUP(A372,'야채 계산기'!$2:$3,2,0),0)</f>
        <v>55</v>
      </c>
      <c r="C372" s="62">
        <f>'[1]착한비빔밥(25.10.23)'!$B$5</f>
        <v>51.67</v>
      </c>
      <c r="D372" s="166" t="str">
        <f t="shared" ref="D372" si="594">IFERROR((F372/E372),"")</f>
        <v/>
      </c>
      <c r="E372" s="4"/>
      <c r="F372" s="3"/>
      <c r="G372" s="5"/>
      <c r="H372" s="6"/>
      <c r="I372" s="34">
        <f t="shared" ref="I372" si="595">IFERROR((S372*E372),"")</f>
        <v>0</v>
      </c>
      <c r="J372" s="78" t="str">
        <f>IFERROR(VLOOKUP(C372,[2]Sheet1!$D:$J,7,0),"")</f>
        <v/>
      </c>
      <c r="K372" s="80" t="str">
        <f t="shared" ref="K372" si="596">IFERROR((I372+J372),"")</f>
        <v/>
      </c>
      <c r="L372" s="7">
        <f t="shared" ref="L372" si="597">IFERROR((G372*H372),"")</f>
        <v>0</v>
      </c>
      <c r="M372" s="8" t="str">
        <f t="shared" ref="M372" si="598">IFERROR(K372-L372,"")</f>
        <v/>
      </c>
      <c r="N372" s="57" t="str">
        <f t="shared" ref="N372" si="599">IFERROR((K372/H372),"")</f>
        <v/>
      </c>
      <c r="O372" s="9"/>
      <c r="P372" s="10"/>
      <c r="Q372" s="10"/>
      <c r="R372" s="10">
        <f t="shared" ref="R372" si="600">O372*P372*Q372</f>
        <v>0</v>
      </c>
      <c r="S372" s="41">
        <f t="shared" si="553"/>
        <v>0</v>
      </c>
      <c r="T372" s="180"/>
      <c r="V372" s="180"/>
      <c r="Y372" s="42"/>
      <c r="AA372" s="206" t="str">
        <f t="shared" si="554"/>
        <v/>
      </c>
    </row>
    <row r="373" spans="1:33" ns3:dyDescent="0.3">
      <c r="A373" s="60" t="s">
        <v>825</v>
      </c>
      <c r="B373" s="11">
        <f>ROUNDUP(HLOOKUP(A373,'야채 계산기'!$2:$3,2,0),0)</f>
        <v>1080</v>
      </c>
      <c r="C373" s="62">
        <f>'[1]뭘좋아할지몰라다넣어봤어(26.08.11)'!$B$19</f>
        <v>60.3</v>
      </c>
      <c r="D373" s="166" t="str">
        <f t="shared" si="588"/>
        <v/>
      </c>
      <c r="E373" s="4"/>
      <c r="F373" s="3"/>
      <c r="G373" s="5"/>
      <c r="H373" s="6"/>
      <c r="I373" s="34">
        <f t="shared" si="589"/>
        <v>0</v>
      </c>
      <c r="J373" s="78" t="str">
        <f>IFERROR(VLOOKUP(C373,[2]Sheet1!$D:$J,7,0),"")</f>
        <v/>
      </c>
      <c r="K373" s="80" t="str">
        <f t="shared" si="590"/>
        <v/>
      </c>
      <c r="L373" s="7">
        <f t="shared" si="591"/>
        <v>0</v>
      </c>
      <c r="M373" s="8" t="str">
        <f t="shared" si="592"/>
        <v/>
      </c>
      <c r="N373" s="57" t="str">
        <f t="shared" si="551"/>
        <v/>
      </c>
      <c r="O373" s="9"/>
      <c r="P373" s="10"/>
      <c r="Q373" s="10"/>
      <c r="R373" s="10">
        <f t="shared" si="593"/>
        <v>0</v>
      </c>
      <c r="S373" s="41">
        <f t="shared" si="553"/>
        <v>0</v>
      </c>
      <c r="T373" s="180"/>
      <c r="V373" s="180"/>
      <c r="Y373" s="42"/>
      <c r="AA373" s="206" t="str">
        <f t="shared" si="554"/>
        <v/>
      </c>
    </row>
    <row r="374" spans="1:33" ns3:dyDescent="0.3">
      <c r="A374" s="60"/>
      <c r="B374" s="11"/>
      <c r="C374" s="62" t="s">
        <v>85</v>
      </c>
      <c r="D374" s="166">
        <f t="shared" si="546"/>
        <v>-13.625</v>
      </c>
      <c r="E374" s="4">
        <v>8</v>
      </c>
      <c r="F374" s="3">
        <f>IFERROR((L374-K374),"")</f>
        <v>-109</v>
      </c>
      <c r="G374" s="5">
        <f>G354</f>
        <v>3.5</v>
      </c>
      <c r="H374" s="6">
        <f>ROUNDUP(SUMPRODUCT(B375,C375)/900,0)</f>
        <v>74</v>
      </c>
      <c r="I374" s="34">
        <f t="shared" si="547"/>
        <v>304</v>
      </c>
      <c r="J374" s="78">
        <f>IFERROR(VLOOKUP(C374,[2]Sheet1!$D:$J,7,0),"")</f>
        <v>64</v>
      </c>
      <c r="K374" s="80">
        <f t="shared" si="548"/>
        <v>368</v>
      </c>
      <c r="L374" s="7">
        <f t="shared" si="549"/>
        <v>259</v>
      </c>
      <c r="M374" s="8">
        <f t="shared" si="550"/>
        <v>109</v>
      </c>
      <c r="N374" s="57">
        <f t="shared" si="551"/>
        <v>4.9729729729729728</v>
      </c>
      <c r="O374" s="9"/>
      <c r="P374" s="10"/>
      <c r="Q374" s="10">
        <v>6200</v>
      </c>
      <c r="R374" s="10">
        <f t="shared" ref="R374:R378" si="601">O374*P374*Q374</f>
        <v>0</v>
      </c>
      <c r="S374" s="41">
        <f t="shared" si="553"/>
        <v>38</v>
      </c>
      <c r="T374" s="173">
        <v>10</v>
      </c>
      <c r="U374" s="173">
        <v>12</v>
      </c>
      <c r="V374" s="173">
        <v>16</v>
      </c>
      <c r="W374" s="173"/>
      <c r="X374" s="173"/>
      <c r="Y374" s="220"/>
      <c r="Z374" s="1"/>
      <c r="AA374" s="206">
        <f t="shared" si="554"/>
        <v>9.9107142857142865</v>
      </c>
    </row>
    <row r="375" spans="1:33" ns3:dyDescent="0.3">
      <c r="A375" s="60" t="s">
        <v>826</v>
      </c>
      <c r="B375" s="11">
        <f>ROUNDUP(HLOOKUP(A375,'야채 계산기'!$2:$3,2,0),0)</f>
        <v>1470</v>
      </c>
      <c r="C375" s="62">
        <v>45</v>
      </c>
      <c r="D375" s="166" t="str">
        <f t="shared" si="546"/>
        <v/>
      </c>
      <c r="E375" s="4"/>
      <c r="F375" s="3"/>
      <c r="G375" s="5"/>
      <c r="H375" s="6"/>
      <c r="I375" s="34">
        <f t="shared" si="547"/>
        <v>0</v>
      </c>
      <c r="J375" s="78" t="str">
        <f>IFERROR(VLOOKUP(C375,[2]Sheet1!$D:$J,7,0),"")</f>
        <v/>
      </c>
      <c r="K375" s="80" t="str">
        <f t="shared" si="548"/>
        <v/>
      </c>
      <c r="L375" s="7">
        <f t="shared" si="549"/>
        <v>0</v>
      </c>
      <c r="M375" s="8" t="str">
        <f t="shared" si="550"/>
        <v/>
      </c>
      <c r="N375" s="57" t="str">
        <f t="shared" si="551"/>
        <v/>
      </c>
      <c r="O375" s="9"/>
      <c r="P375" s="10"/>
      <c r="Q375" s="10"/>
      <c r="R375" s="10">
        <f t="shared" si="601"/>
        <v>0</v>
      </c>
      <c r="S375" s="41">
        <f t="shared" si="553"/>
        <v>0</v>
      </c>
      <c r="Y375" s="42"/>
      <c r="Z375" s="1"/>
      <c r="AA375" s="206" t="str">
        <f t="shared" si="554"/>
        <v/>
      </c>
    </row>
    <row r="376" spans="1:33" ns3:dyDescent="0.3">
      <c r="A376" s="60"/>
      <c r="B376" s="134" t="s">
        <v>183</v>
      </c>
      <c r="C376" s="62" t="s">
        <v>198</v>
      </c>
      <c r="D376" s="166">
        <f t="shared" ref="D376:D403" si="602">IFERROR((F376/E376),"")</f>
        <v>-1.8649999999999998</v>
      </c>
      <c r="E376" s="4">
        <v>10</v>
      </c>
      <c r="F376" s="3">
        <f>IFERROR((L376-K376),"")</f>
        <v>-18.649999999999999</v>
      </c>
      <c r="G376" s="5">
        <f>G354</f>
        <v>3.5</v>
      </c>
      <c r="H376" s="6">
        <f>ROUNDUP((B377*C377+B378*C378)/20,1)</f>
        <v>12.1</v>
      </c>
      <c r="I376" s="34">
        <f t="shared" ref="I376:I406" si="603">IFERROR((S376*E376),"")</f>
        <v>30</v>
      </c>
      <c r="J376" s="78">
        <f>IFERROR(VLOOKUP(C376,[2]Sheet1!$D:$J,7,0),"")</f>
        <v>31</v>
      </c>
      <c r="K376" s="80">
        <f t="shared" ref="K376:K406" si="604">IFERROR((I376+J376),"")</f>
        <v>61</v>
      </c>
      <c r="L376" s="7">
        <f t="shared" si="549"/>
        <v>42.35</v>
      </c>
      <c r="M376" s="8">
        <f t="shared" si="550"/>
        <v>18.649999999999999</v>
      </c>
      <c r="N376" s="57">
        <f t="shared" ref="N376:N386" si="605">IFERROR((K376/H376),"")</f>
        <v>5.0413223140495873</v>
      </c>
      <c r="O376" s="9"/>
      <c r="P376" s="10"/>
      <c r="Q376" s="10">
        <v>7000</v>
      </c>
      <c r="R376" s="10">
        <f t="shared" si="601"/>
        <v>0</v>
      </c>
      <c r="S376" s="41">
        <f t="shared" si="553"/>
        <v>3</v>
      </c>
      <c r="T376" s="173">
        <v>2</v>
      </c>
      <c r="U376" s="173">
        <v>1</v>
      </c>
      <c r="V376" s="173"/>
      <c r="W376" s="173"/>
      <c r="X376" s="183"/>
      <c r="Y376" s="220"/>
      <c r="AA376" s="206">
        <f t="shared" si="554"/>
        <v>1.2964285714285713</v>
      </c>
    </row>
    <row r="377" spans="1:33" ns3:dyDescent="0.3">
      <c r="A377" s="60" t="s">
        <v>827</v>
      </c>
      <c r="B377" s="11">
        <f>ROUNDUP(HLOOKUP(A377,'야채 계산기'!$2:$3,2,0)*1.03,0)</f>
        <v>108</v>
      </c>
      <c r="C377" s="62">
        <v>1</v>
      </c>
      <c r="D377" s="166" t="str">
        <f t="shared" si="602"/>
        <v/>
      </c>
      <c r="E377" s="4"/>
      <c r="F377" s="3"/>
      <c r="G377" s="5"/>
      <c r="H377" s="6"/>
      <c r="I377" s="34">
        <f t="shared" si="603"/>
        <v>0</v>
      </c>
      <c r="J377" s="78" t="str">
        <f>IFERROR(VLOOKUP(C377,[2]Sheet1!$D:$J,7,0),"")</f>
        <v/>
      </c>
      <c r="K377" s="80" t="str">
        <f t="shared" si="604"/>
        <v/>
      </c>
      <c r="L377" s="7">
        <f t="shared" ref="L377:L406" si="606">IFERROR((G377*H377),"")</f>
        <v>0</v>
      </c>
      <c r="M377" s="8" t="str">
        <f t="shared" ref="M377:M406" si="607">IFERROR(K377-L377,"")</f>
        <v/>
      </c>
      <c r="N377" s="57" t="str">
        <f t="shared" si="605"/>
        <v/>
      </c>
      <c r="O377" s="9"/>
      <c r="P377" s="10"/>
      <c r="Q377" s="10"/>
      <c r="R377" s="10">
        <f t="shared" si="601"/>
        <v>0</v>
      </c>
      <c r="S377" s="41">
        <f t="shared" si="553"/>
        <v>0</v>
      </c>
      <c r="Y377" s="42"/>
      <c r="AA377" s="206" t="str">
        <f t="shared" si="554"/>
        <v/>
      </c>
    </row>
    <row r="378" spans="1:33" ns3:dyDescent="0.3">
      <c r="A378" s="60" t="s">
        <v>828</v>
      </c>
      <c r="B378" s="11">
        <f>ROUNDUP(HLOOKUP(A378,'야채 계산기'!$2:$3,2,0)*1.03,0)</f>
        <v>133</v>
      </c>
      <c r="C378" s="62">
        <v>1</v>
      </c>
      <c r="D378" s="166" t="str">
        <f t="shared" si="602"/>
        <v/>
      </c>
      <c r="E378" s="4"/>
      <c r="F378" s="3"/>
      <c r="G378" s="5"/>
      <c r="H378" s="6"/>
      <c r="I378" s="34">
        <f t="shared" si="603"/>
        <v>0</v>
      </c>
      <c r="J378" s="78" t="str">
        <f>IFERROR(VLOOKUP(C378,[2]Sheet1!$D:$J,7,0),"")</f>
        <v/>
      </c>
      <c r="K378" s="80" t="str">
        <f t="shared" si="604"/>
        <v/>
      </c>
      <c r="L378" s="7">
        <f t="shared" si="606"/>
        <v>0</v>
      </c>
      <c r="M378" s="8" t="str">
        <f t="shared" si="607"/>
        <v/>
      </c>
      <c r="N378" s="57" t="str">
        <f t="shared" si="605"/>
        <v/>
      </c>
      <c r="O378" s="9"/>
      <c r="P378" s="10"/>
      <c r="Q378" s="10"/>
      <c r="R378" s="10">
        <f t="shared" si="601"/>
        <v>0</v>
      </c>
      <c r="S378" s="41">
        <f t="shared" si="553"/>
        <v>0</v>
      </c>
      <c r="Y378" s="42"/>
      <c r="AA378" s="206" t="str">
        <f t="shared" si="554"/>
        <v/>
      </c>
    </row>
    <row r="379" spans="1:33" hidden="1" ns3:dyDescent="0.3">
      <c r="A379" s="60"/>
      <c r="B379" s="60"/>
      <c r="C379" s="262" t="s">
        <v>609</v>
      </c>
      <c r="D379" s="166" t="str">
        <f t="shared" ref="D379:D380" si="608">IFERROR((F379/E379),"")</f>
        <v/>
      </c>
      <c r="E379" s="4">
        <v>10</v>
      </c>
      <c r="F379" s="3" t="str">
        <f>IFERROR((L379-K379),"")</f>
        <v/>
      </c>
      <c r="G379" s="5">
        <f>G354</f>
        <v>3.5</v>
      </c>
      <c r="H379" s="6" t="e">
        <f>ROUNDUP((B380*C380)/1000,1)</f>
        <v>#N/A</v>
      </c>
      <c r="I379" s="34">
        <f t="shared" ref="I379:I380" si="609">IFERROR((S379*E379),"")</f>
        <v>0</v>
      </c>
      <c r="J379" s="78" t="str">
        <f>IFERROR(VLOOKUP(C379,[2]Sheet1!$D:$J,7,0),"")</f>
        <v/>
      </c>
      <c r="K379" s="80" t="str">
        <f t="shared" ref="K379:K380" si="610">IFERROR((I379+J379),"")</f>
        <v/>
      </c>
      <c r="L379" s="7" t="str">
        <f t="shared" ref="L379:L380" si="611">IFERROR((G379*H379),"")</f>
        <v/>
      </c>
      <c r="M379" s="8" t="str">
        <f t="shared" ref="M379:M380" si="612">IFERROR(K379-L379,"")</f>
        <v/>
      </c>
      <c r="N379" s="57" t="str">
        <f t="shared" ref="N379:N380" si="613">IFERROR((K379/H379),"")</f>
        <v/>
      </c>
      <c r="O379" s="9"/>
      <c r="P379" s="10"/>
      <c r="Q379" s="10">
        <v>7700</v>
      </c>
      <c r="R379" s="10">
        <f t="shared" ref="R379:R380" si="614">O379*P379*Q379</f>
        <v>0</v>
      </c>
      <c r="S379" s="41">
        <f t="shared" si="553"/>
        <v>0</v>
      </c>
      <c r="T379" s="173"/>
      <c r="U379" s="173"/>
      <c r="V379" s="173"/>
      <c r="W379" s="173"/>
      <c r="X379" s="173"/>
      <c r="Y379" s="220"/>
      <c r="Z379" s="1"/>
      <c r="AA379" s="206" t="str">
        <f t="shared" si="554"/>
        <v/>
      </c>
    </row>
    <row r="380" spans="1:33" hidden="1" ns3:dyDescent="0.3">
      <c r="A380" s="273" t="s">
        <v>597</v>
      </c>
      <c r="B380" s="60" t="e">
        <f>ROUNDUP(HLOOKUP(A380,'야채 계산기'!$2:$3,2,0),0)</f>
        <v>#N/A</v>
      </c>
      <c r="C380" s="62">
        <v>2.5299999999999998</v>
      </c>
      <c r="D380" s="166" t="str">
        <f t="shared" si="608"/>
        <v/>
      </c>
      <c r="E380" s="4"/>
      <c r="F380" s="3"/>
      <c r="G380" s="5"/>
      <c r="H380" s="6"/>
      <c r="I380" s="34">
        <f t="shared" si="609"/>
        <v>0</v>
      </c>
      <c r="J380" s="78" t="str">
        <f>IFERROR(VLOOKUP(C380,[2]Sheet1!$D:$J,7,0),"")</f>
        <v/>
      </c>
      <c r="K380" s="80" t="str">
        <f t="shared" si="610"/>
        <v/>
      </c>
      <c r="L380" s="7">
        <f t="shared" si="611"/>
        <v>0</v>
      </c>
      <c r="M380" s="8" t="str">
        <f t="shared" si="612"/>
        <v/>
      </c>
      <c r="N380" s="57" t="str">
        <f t="shared" si="613"/>
        <v/>
      </c>
      <c r="O380" s="9"/>
      <c r="P380" s="10"/>
      <c r="Q380" s="10"/>
      <c r="R380" s="10">
        <f t="shared" si="614"/>
        <v>0</v>
      </c>
      <c r="S380" s="41">
        <f t="shared" si="553"/>
        <v>0</v>
      </c>
      <c r="Y380" s="42"/>
      <c r="Z380" s="1"/>
      <c r="AA380" s="206" t="str">
        <f t="shared" si="554"/>
        <v/>
      </c>
    </row>
    <row r="381" spans="1:33" ns3:dyDescent="0.3">
      <c r="A381" s="59"/>
      <c r="B381" s="134" t="s">
        <v>183</v>
      </c>
      <c r="C381" s="62" t="s">
        <v>164</v>
      </c>
      <c r="D381" s="166">
        <f t="shared" si="602"/>
        <v>-3.5</v>
      </c>
      <c r="E381" s="4">
        <v>8</v>
      </c>
      <c r="F381" s="3">
        <f>IFERROR((L381-K381),"")</f>
        <v>-28</v>
      </c>
      <c r="G381" s="5">
        <f>G376</f>
        <v>3.5</v>
      </c>
      <c r="H381" s="6">
        <f>ROUNDUP((B382)/63,0)</f>
        <v>18</v>
      </c>
      <c r="I381" s="34">
        <f t="shared" si="603"/>
        <v>48</v>
      </c>
      <c r="J381" s="78">
        <f>IFERROR(VLOOKUP(C381,[2]Sheet1!$D:$J,7,0),"")</f>
        <v>43</v>
      </c>
      <c r="K381" s="80">
        <f t="shared" si="604"/>
        <v>91</v>
      </c>
      <c r="L381" s="7">
        <f t="shared" si="606"/>
        <v>63</v>
      </c>
      <c r="M381" s="8">
        <f t="shared" si="607"/>
        <v>28</v>
      </c>
      <c r="N381" s="57">
        <f t="shared" si="605"/>
        <v>5.0555555555555554</v>
      </c>
      <c r="O381" s="9"/>
      <c r="P381" s="10"/>
      <c r="Q381" s="10">
        <v>6270</v>
      </c>
      <c r="R381" s="10">
        <f t="shared" ref="R381:R406" si="615">O381*P381*Q381</f>
        <v>0</v>
      </c>
      <c r="S381" s="41">
        <f t="shared" si="553"/>
        <v>6</v>
      </c>
      <c r="T381" s="173">
        <v>4</v>
      </c>
      <c r="U381" s="173">
        <v>2</v>
      </c>
      <c r="V381" s="173"/>
      <c r="W381" s="173"/>
      <c r="X381" s="183"/>
      <c r="Y381" s="220"/>
      <c r="AA381" s="206">
        <f t="shared" si="554"/>
        <v>2.4107142857142856</v>
      </c>
    </row>
    <row r="382" spans="1:33" ns3:dyDescent="0.3">
      <c r="A382" s="59" t="s">
        <v>496</v>
      </c>
      <c r="B382" s="11">
        <f>ROUNDUP(HLOOKUP(A382,'야채 계산기'!$2:$3,2,0)*1.03,0)</f>
        <v>1113</v>
      </c>
      <c r="C382" s="62">
        <v>1</v>
      </c>
      <c r="D382" s="166" t="str">
        <f t="shared" si="602"/>
        <v/>
      </c>
      <c r="E382" s="4"/>
      <c r="F382" s="3"/>
      <c r="G382" s="5"/>
      <c r="H382" s="6"/>
      <c r="I382" s="34">
        <f t="shared" si="603"/>
        <v>0</v>
      </c>
      <c r="J382" s="78" t="str">
        <f>IFERROR(VLOOKUP(C382,[2]Sheet1!$D:$J,7,0),"")</f>
        <v/>
      </c>
      <c r="K382" s="80" t="str">
        <f t="shared" si="604"/>
        <v/>
      </c>
      <c r="L382" s="7">
        <f t="shared" si="606"/>
        <v>0</v>
      </c>
      <c r="M382" s="8" t="str">
        <f t="shared" si="607"/>
        <v/>
      </c>
      <c r="N382" s="57" t="str">
        <f t="shared" si="605"/>
        <v/>
      </c>
      <c r="O382" s="9"/>
      <c r="P382" s="10"/>
      <c r="Q382" s="10"/>
      <c r="R382" s="10">
        <f t="shared" si="615"/>
        <v>0</v>
      </c>
      <c r="S382" s="41">
        <f t="shared" si="553"/>
        <v>0</v>
      </c>
      <c r="Y382" s="42"/>
      <c r="AA382" s="206" t="str">
        <f t="shared" si="554"/>
        <v/>
      </c>
    </row>
    <row r="383" spans="1:33" ns3:dyDescent="0.3">
      <c r="A383" s="11"/>
      <c r="B383" s="11"/>
      <c r="C383" s="164" t="s">
        <v>321</v>
      </c>
      <c r="D383" s="166">
        <f t="shared" si="602"/>
        <v>-1.5099999999999998</v>
      </c>
      <c r="E383" s="4">
        <v>5</v>
      </c>
      <c r="F383" s="3">
        <f>IFERROR((L383-K383),"")</f>
        <v>-7.5499999999999989</v>
      </c>
      <c r="G383" s="5">
        <f>G390</f>
        <v>3.5</v>
      </c>
      <c r="H383" s="6">
        <f>ROUNDUP(SUMPRODUCT(B384,C384)/2000,1)</f>
        <v>2.7</v>
      </c>
      <c r="I383" s="34">
        <f t="shared" si="603"/>
        <v>5</v>
      </c>
      <c r="J383" s="78">
        <f>IFERROR(VLOOKUP(C383,[2]Sheet1!$D:$J,7,0),"")</f>
        <v>12</v>
      </c>
      <c r="K383" s="80">
        <f t="shared" si="604"/>
        <v>17</v>
      </c>
      <c r="L383" s="7">
        <f t="shared" si="606"/>
        <v>9.4500000000000011</v>
      </c>
      <c r="M383" s="8">
        <f t="shared" si="607"/>
        <v>7.5499999999999989</v>
      </c>
      <c r="N383" s="57">
        <f t="shared" si="605"/>
        <v>6.2962962962962958</v>
      </c>
      <c r="O383" s="9"/>
      <c r="P383" s="10"/>
      <c r="Q383" s="10">
        <v>16140</v>
      </c>
      <c r="R383" s="10">
        <f t="shared" si="615"/>
        <v>0</v>
      </c>
      <c r="S383" s="41">
        <f t="shared" si="553"/>
        <v>1</v>
      </c>
      <c r="T383" s="173">
        <v>1</v>
      </c>
      <c r="U383" s="173"/>
      <c r="V383" s="173"/>
      <c r="W383" s="173"/>
      <c r="X383" s="183"/>
      <c r="Y383" s="220"/>
      <c r="Z383" s="1"/>
      <c r="AA383" s="206">
        <f t="shared" si="554"/>
        <v>0.57857142857142851</v>
      </c>
    </row>
    <row r="384" spans="1:33" ns3:dyDescent="0.3">
      <c r="A384" s="11" t="s">
        <v>325</v>
      </c>
      <c r="B384" s="11">
        <f>ROUNDUP(HLOOKUP(A384,'야채 계산기'!$2:$3,2,0)*1.03,0)</f>
        <v>1226</v>
      </c>
      <c r="C384" s="164">
        <v>4.25</v>
      </c>
      <c r="D384" s="166" t="str">
        <f t="shared" si="602"/>
        <v/>
      </c>
      <c r="E384" s="4"/>
      <c r="F384" s="3"/>
      <c r="G384" s="5"/>
      <c r="H384" s="6"/>
      <c r="I384" s="34">
        <f t="shared" si="603"/>
        <v>0</v>
      </c>
      <c r="J384" s="78" t="str">
        <f>IFERROR(VLOOKUP(C384,[2]Sheet1!$D:$J,7,0),"")</f>
        <v/>
      </c>
      <c r="K384" s="80" t="str">
        <f t="shared" si="604"/>
        <v/>
      </c>
      <c r="L384" s="7">
        <f t="shared" si="606"/>
        <v>0</v>
      </c>
      <c r="M384" s="8" t="str">
        <f t="shared" si="607"/>
        <v/>
      </c>
      <c r="N384" s="57" t="str">
        <f t="shared" si="605"/>
        <v/>
      </c>
      <c r="O384" s="9"/>
      <c r="P384" s="10"/>
      <c r="Q384" s="10"/>
      <c r="R384" s="10">
        <f t="shared" si="615"/>
        <v>0</v>
      </c>
      <c r="S384" s="41">
        <f t="shared" si="553"/>
        <v>0</v>
      </c>
      <c r="Y384" s="42"/>
      <c r="Z384" s="1"/>
      <c r="AA384" s="206" t="str">
        <f t="shared" si="554"/>
        <v/>
      </c>
    </row>
    <row r="385" spans="1:27" ns3:dyDescent="0.3">
      <c r="A385" s="60"/>
      <c r="B385" s="11"/>
      <c r="C385" s="164" t="s">
        <v>158</v>
      </c>
      <c r="D385" s="166">
        <f t="shared" si="602"/>
        <v>-1.1000000000000001</v>
      </c>
      <c r="E385" s="4">
        <v>5</v>
      </c>
      <c r="F385" s="3">
        <f>IFERROR((L385-K385),"")</f>
        <v>-5.5</v>
      </c>
      <c r="G385" s="5">
        <f>G381</f>
        <v>3.5</v>
      </c>
      <c r="H385" s="6">
        <f>ROUNDUP((B386*C386)/2000,1)</f>
        <v>1</v>
      </c>
      <c r="I385" s="34">
        <f t="shared" si="603"/>
        <v>5</v>
      </c>
      <c r="J385" s="78">
        <f>IFERROR(VLOOKUP(C385,[2]Sheet1!$D:$J,7,0),"")</f>
        <v>4</v>
      </c>
      <c r="K385" s="80">
        <f t="shared" si="604"/>
        <v>9</v>
      </c>
      <c r="L385" s="7">
        <f t="shared" si="606"/>
        <v>3.5</v>
      </c>
      <c r="M385" s="8">
        <f t="shared" si="607"/>
        <v>5.5</v>
      </c>
      <c r="N385" s="57">
        <f t="shared" si="605"/>
        <v>9</v>
      </c>
      <c r="O385" s="9"/>
      <c r="P385" s="10"/>
      <c r="Q385" s="10">
        <v>8910</v>
      </c>
      <c r="R385" s="10">
        <f t="shared" si="615"/>
        <v>0</v>
      </c>
      <c r="S385" s="41">
        <f t="shared" si="553"/>
        <v>1</v>
      </c>
      <c r="T385" s="173"/>
      <c r="U385" s="173">
        <v>1</v>
      </c>
      <c r="V385" s="173"/>
      <c r="W385" s="173"/>
      <c r="X385" s="173"/>
      <c r="Y385" s="220"/>
      <c r="AA385" s="206">
        <f t="shared" si="554"/>
        <v>0.21428571428571427</v>
      </c>
    </row>
    <row r="386" spans="1:27" ns3:dyDescent="0.3">
      <c r="A386" s="11" t="s">
        <v>492</v>
      </c>
      <c r="B386" s="11">
        <f>ROUNDUP(HLOOKUP(A386,'야채 계산기'!$2:$3,2,0)*1.03,0)</f>
        <v>57</v>
      </c>
      <c r="C386" s="164">
        <f>'[1]착한비빔밥(25.10.23)'!$B$6</f>
        <v>33.67</v>
      </c>
      <c r="D386" s="166" t="str">
        <f t="shared" si="602"/>
        <v/>
      </c>
      <c r="E386" s="4"/>
      <c r="F386" s="3"/>
      <c r="G386" s="5"/>
      <c r="H386" s="6"/>
      <c r="I386" s="34">
        <f t="shared" si="603"/>
        <v>0</v>
      </c>
      <c r="J386" s="78" t="str">
        <f>IFERROR(VLOOKUP(C386,[2]Sheet1!$D:$J,7,0),"")</f>
        <v/>
      </c>
      <c r="K386" s="80" t="str">
        <f t="shared" si="604"/>
        <v/>
      </c>
      <c r="L386" s="7">
        <f t="shared" si="606"/>
        <v>0</v>
      </c>
      <c r="M386" s="8" t="str">
        <f t="shared" si="607"/>
        <v/>
      </c>
      <c r="N386" s="57" t="str">
        <f t="shared" si="605"/>
        <v/>
      </c>
      <c r="O386" s="9"/>
      <c r="P386" s="10"/>
      <c r="Q386" s="10"/>
      <c r="R386" s="10">
        <f t="shared" si="615"/>
        <v>0</v>
      </c>
      <c r="S386" s="41">
        <f t="shared" si="553"/>
        <v>0</v>
      </c>
      <c r="Y386" s="42"/>
      <c r="AA386" s="206" t="str">
        <f t="shared" si="554"/>
        <v/>
      </c>
    </row>
    <row r="387" spans="1:27" ht="15" customHeight="1" ns3:dyDescent="0.3">
      <c r="A387" s="60"/>
      <c r="B387" s="11"/>
      <c r="C387" s="164" t="s">
        <v>144</v>
      </c>
      <c r="D387" s="166">
        <f t="shared" si="602"/>
        <v>-10.409999999999997</v>
      </c>
      <c r="E387" s="4">
        <v>2</v>
      </c>
      <c r="F387" s="3">
        <f>IFERROR((L387-K387),"")</f>
        <v>-20.819999999999993</v>
      </c>
      <c r="G387" s="5">
        <f>G385</f>
        <v>3.5</v>
      </c>
      <c r="H387" s="6">
        <f>ROUNDUP(SUMPRODUCT(B388:B389, C388:C389)/10000,1)*90%</f>
        <v>15.480000000000002</v>
      </c>
      <c r="I387" s="34">
        <f t="shared" si="603"/>
        <v>40</v>
      </c>
      <c r="J387" s="78">
        <f>IFERROR(VLOOKUP(C387,[2]Sheet1!$D:$J,7,0),"")</f>
        <v>35</v>
      </c>
      <c r="K387" s="80">
        <f t="shared" si="604"/>
        <v>75</v>
      </c>
      <c r="L387" s="7">
        <f t="shared" si="606"/>
        <v>54.180000000000007</v>
      </c>
      <c r="M387" s="8">
        <f t="shared" si="607"/>
        <v>20.819999999999993</v>
      </c>
      <c r="N387" s="57">
        <f t="shared" ref="N387:N390" si="616">IFERROR((K387/H387),"")</f>
        <v>4.8449612403100772</v>
      </c>
      <c r="O387" s="9"/>
      <c r="P387" s="10"/>
      <c r="Q387" s="10">
        <v>31000</v>
      </c>
      <c r="R387" s="10">
        <f t="shared" si="615"/>
        <v>0</v>
      </c>
      <c r="S387" s="41">
        <f t="shared" si="553"/>
        <v>20</v>
      </c>
      <c r="T387" s="173">
        <v>8</v>
      </c>
      <c r="U387" s="173">
        <v>8</v>
      </c>
      <c r="V387" s="173">
        <v>4</v>
      </c>
      <c r="W387" s="173"/>
      <c r="X387" s="183"/>
      <c r="Y387" s="220"/>
      <c r="AA387" s="206">
        <f t="shared" si="554"/>
        <v>8.2928571428571445</v>
      </c>
    </row>
    <row r="388" spans="1:27" ns3:dyDescent="0.3">
      <c r="A388" s="59" t="s">
        <v>302</v>
      </c>
      <c r="B388" s="11">
        <f>ROUNDUP(HLOOKUP(A388,'야채 계산기'!$2:$3,2,0)*1.03,0)</f>
        <v>6211</v>
      </c>
      <c r="C388" s="164">
        <v>26.45</v>
      </c>
      <c r="D388" s="166" t="str">
        <f t="shared" si="602"/>
        <v/>
      </c>
      <c r="E388" s="4"/>
      <c r="F388" s="3"/>
      <c r="G388" s="5"/>
      <c r="H388" s="6"/>
      <c r="I388" s="34">
        <f t="shared" si="603"/>
        <v>0</v>
      </c>
      <c r="J388" s="78" t="str">
        <f>IFERROR(VLOOKUP(C388,[2]Sheet1!$D:$J,7,0),"")</f>
        <v/>
      </c>
      <c r="K388" s="80" t="str">
        <f t="shared" si="604"/>
        <v/>
      </c>
      <c r="L388" s="7">
        <f t="shared" si="606"/>
        <v>0</v>
      </c>
      <c r="M388" s="8" t="str">
        <f t="shared" si="607"/>
        <v/>
      </c>
      <c r="N388" s="57" t="str">
        <f t="shared" si="616"/>
        <v/>
      </c>
      <c r="O388" s="9"/>
      <c r="P388" s="10"/>
      <c r="Q388" s="10"/>
      <c r="R388" s="10">
        <f t="shared" si="615"/>
        <v>0</v>
      </c>
      <c r="S388" s="41">
        <f t="shared" ref="S388:S391" si="617">SUM(Y388,T388:X388)</f>
        <v>0</v>
      </c>
      <c r="Y388" s="42"/>
      <c r="AA388" s="206" t="str">
        <f t="shared" si="554"/>
        <v/>
      </c>
    </row>
    <row r="389" spans="1:27" ns3:dyDescent="0.3">
      <c r="A389" s="11" t="s">
        <v>189</v>
      </c>
      <c r="B389" s="11">
        <f>ROUNDUP(HLOOKUP(A389,'야채 계산기'!$2:$3,2,0)*1.03,0)</f>
        <v>145</v>
      </c>
      <c r="C389" s="164">
        <f>'[1]착한김치김밥(250612)슈퍼'!$B$9</f>
        <v>47.51</v>
      </c>
      <c r="D389" s="166" t="str">
        <f t="shared" si="602"/>
        <v/>
      </c>
      <c r="E389" s="4"/>
      <c r="F389" s="3"/>
      <c r="G389" s="5"/>
      <c r="H389" s="6"/>
      <c r="I389" s="34">
        <f t="shared" si="603"/>
        <v>0</v>
      </c>
      <c r="J389" s="78" t="str">
        <f>IFERROR(VLOOKUP(C389,[2]Sheet1!$D:$J,7,0),"")</f>
        <v/>
      </c>
      <c r="K389" s="80" t="str">
        <f t="shared" si="604"/>
        <v/>
      </c>
      <c r="L389" s="7">
        <f t="shared" si="606"/>
        <v>0</v>
      </c>
      <c r="M389" s="8" t="str">
        <f t="shared" si="607"/>
        <v/>
      </c>
      <c r="N389" s="57" t="str">
        <f t="shared" si="616"/>
        <v/>
      </c>
      <c r="O389" s="9"/>
      <c r="P389" s="10"/>
      <c r="Q389" s="10"/>
      <c r="R389" s="10">
        <f t="shared" si="615"/>
        <v>0</v>
      </c>
      <c r="S389" s="41">
        <f t="shared" si="617"/>
        <v>0</v>
      </c>
      <c r="Y389" s="42"/>
      <c r="Z389" s="1"/>
      <c r="AA389" s="206" t="str">
        <f t="shared" si="554"/>
        <v/>
      </c>
    </row>
    <row r="390" spans="1:27" ht="15" customHeight="1" ns3:dyDescent="0.3">
      <c r="A390" s="11"/>
      <c r="B390" s="11"/>
      <c r="C390" s="164" t="s">
        <v>218</v>
      </c>
      <c r="D390" s="166">
        <f t="shared" si="602"/>
        <v>-12.28125</v>
      </c>
      <c r="E390" s="4">
        <v>8</v>
      </c>
      <c r="F390" s="3">
        <f>IFERROR((L390-K390),"")</f>
        <v>-98.25</v>
      </c>
      <c r="G390" s="5">
        <f>G387</f>
        <v>3.5</v>
      </c>
      <c r="H390" s="6">
        <f>ROUNDUP(SUMPRODUCT(B391:B391, C391:C391)/3000,1)</f>
        <v>42.5</v>
      </c>
      <c r="I390" s="34">
        <f t="shared" si="603"/>
        <v>112</v>
      </c>
      <c r="J390" s="78">
        <f>IFERROR(VLOOKUP(C390,[2]Sheet1!$D:$J,7,0),"")</f>
        <v>135</v>
      </c>
      <c r="K390" s="80">
        <f t="shared" si="604"/>
        <v>247</v>
      </c>
      <c r="L390" s="7">
        <f t="shared" si="606"/>
        <v>148.75</v>
      </c>
      <c r="M390" s="8">
        <f t="shared" si="607"/>
        <v>98.25</v>
      </c>
      <c r="N390" s="57">
        <f t="shared" si="616"/>
        <v>5.8117647058823527</v>
      </c>
      <c r="O390" s="9"/>
      <c r="P390" s="10"/>
      <c r="Q390" s="10">
        <v>14850</v>
      </c>
      <c r="R390" s="10">
        <f t="shared" si="615"/>
        <v>0</v>
      </c>
      <c r="S390" s="41">
        <f t="shared" si="617"/>
        <v>14</v>
      </c>
      <c r="T390" s="173">
        <v>6</v>
      </c>
      <c r="U390" s="173">
        <v>4</v>
      </c>
      <c r="V390" s="173">
        <v>4</v>
      </c>
      <c r="W390" s="173"/>
      <c r="X390" s="183"/>
      <c r="Y390" s="220"/>
      <c r="Z390" s="1"/>
      <c r="AA390" s="206">
        <f t="shared" si="554"/>
        <v>5.6919642857142856</v>
      </c>
    </row>
    <row r="391" spans="1:27" ns3:dyDescent="0.3">
      <c r="A391" s="11" t="s">
        <v>491</v>
      </c>
      <c r="B391" s="11">
        <f>ROUNDUP(HLOOKUP(A391,'야채 계산기'!$2:$3,2,0)*1.03,0)</f>
        <v>4553</v>
      </c>
      <c r="C391" s="164">
        <v>27.99</v>
      </c>
      <c r="D391" s="166" t="str">
        <f t="shared" si="602"/>
        <v/>
      </c>
      <c r="E391" s="4"/>
      <c r="F391" s="3"/>
      <c r="G391" s="5"/>
      <c r="H391" s="6"/>
      <c r="I391" s="34">
        <f t="shared" si="603"/>
        <v>0</v>
      </c>
      <c r="J391" s="78" t="str">
        <f>IFERROR(VLOOKUP(C391,[2]Sheet1!$D:$J,7,0),"")</f>
        <v/>
      </c>
      <c r="K391" s="80" t="str">
        <f t="shared" si="604"/>
        <v/>
      </c>
      <c r="L391" s="7">
        <f t="shared" si="606"/>
        <v>0</v>
      </c>
      <c r="M391" s="8" t="str">
        <f t="shared" si="607"/>
        <v/>
      </c>
      <c r="N391" s="57" t="str">
        <f>IFERROR((K391/H391),"")</f>
        <v/>
      </c>
      <c r="O391" s="9"/>
      <c r="P391" s="10"/>
      <c r="Q391" s="10"/>
      <c r="R391" s="10">
        <f t="shared" si="615"/>
        <v>0</v>
      </c>
      <c r="S391" s="41">
        <f t="shared" si="617"/>
        <v>0</v>
      </c>
      <c r="Y391" s="42"/>
      <c r="Z391" s="1"/>
      <c r="AA391" s="206" t="str">
        <f t="shared" si="554"/>
        <v/>
      </c>
    </row>
    <row r="392" spans="1:27" hidden="1" ns3:dyDescent="0.3">
      <c r="A392" s="11"/>
      <c r="B392" s="11"/>
      <c r="C392" s="262" t="s">
        <v>611</v>
      </c>
      <c r="D392" s="166" t="str">
        <f t="shared" si="602"/>
        <v/>
      </c>
      <c r="E392" s="4">
        <v>30</v>
      </c>
      <c r="F392" s="3" t="str">
        <f>IFERROR((L392-K392),"")</f>
        <v/>
      </c>
      <c r="G392" s="5">
        <f>G388</f>
        <v>0</v>
      </c>
      <c r="H392" s="6" t="e">
        <f>ROUNDUP((B393*C393)/10,1)</f>
        <v>#N/A</v>
      </c>
      <c r="I392" s="34">
        <f t="shared" si="603"/>
        <v>0</v>
      </c>
      <c r="J392" s="78" t="str">
        <f>IFERROR(VLOOKUP(C392,[2]Sheet1!$D:$J,7,0),"")</f>
        <v/>
      </c>
      <c r="K392" s="80" t="str">
        <f t="shared" si="604"/>
        <v/>
      </c>
      <c r="L392" s="7" t="str">
        <f t="shared" si="606"/>
        <v/>
      </c>
      <c r="M392" s="8" t="str">
        <f t="shared" si="607"/>
        <v/>
      </c>
      <c r="N392" s="57" t="str">
        <f t="shared" ref="N392" si="618">IFERROR((K392/H392),"")</f>
        <v/>
      </c>
      <c r="O392" s="9"/>
      <c r="P392" s="10"/>
      <c r="Q392" s="10">
        <v>897</v>
      </c>
      <c r="R392" s="10">
        <v>0</v>
      </c>
      <c r="S392" s="41">
        <f t="shared" ref="S392" si="619">SUM(Y392,T392:X392)</f>
        <v>0</v>
      </c>
      <c r="T392" s="173"/>
      <c r="U392" s="173"/>
      <c r="V392" s="173"/>
      <c r="W392" s="173"/>
      <c r="X392" s="173"/>
      <c r="Y392" s="220"/>
      <c r="Z392" s="1"/>
      <c r="AA392" s="206" t="str">
        <f t="shared" ref="AA392:AA393" si="620">IFERROR(H392*7.5/E392/7,"")</f>
        <v/>
      </c>
    </row>
    <row r="393" spans="1:27" hidden="1" ns3:dyDescent="0.3">
      <c r="A393" s="11" t="s">
        <v>606</v>
      </c>
      <c r="B393" s="11" t="e">
        <f>ROUNDUP(HLOOKUP(A393,'야채 계산기'!$2:$3,2,0)*1.03,0)</f>
        <v>#N/A</v>
      </c>
      <c r="C393" s="62">
        <v>1</v>
      </c>
      <c r="D393" s="166" t="s">
        <v>610</v>
      </c>
      <c r="E393" s="4"/>
      <c r="F393" s="3"/>
      <c r="G393" s="5"/>
      <c r="H393" s="6"/>
      <c r="I393" s="34">
        <v>0</v>
      </c>
      <c r="J393" s="78" t="str">
        <f>IFERROR(VLOOKUP(C393,[2]Sheet1!$D:$J,7,0),"")</f>
        <v/>
      </c>
      <c r="K393" s="80" t="s">
        <v>610</v>
      </c>
      <c r="L393" s="7">
        <v>0</v>
      </c>
      <c r="M393" s="8" t="s">
        <v>610</v>
      </c>
      <c r="N393" s="57" t="s">
        <v>610</v>
      </c>
      <c r="O393" s="9"/>
      <c r="P393" s="10"/>
      <c r="Q393" s="10"/>
      <c r="R393" s="10">
        <v>0</v>
      </c>
      <c r="S393" s="41">
        <v>0</v>
      </c>
      <c r="T393" s="190"/>
      <c r="U393" s="190"/>
      <c r="V393" s="190"/>
      <c r="W393" s="190"/>
      <c r="Y393" s="42"/>
      <c r="Z393" s="1"/>
      <c r="AA393" s="206" t="str">
        <f t="shared" si="620"/>
        <v/>
      </c>
    </row>
    <row r="394" spans="1:27" ns3:dyDescent="0.3">
      <c r="A394" s="11"/>
      <c r="B394" s="11"/>
      <c r="C394" s="62" t="s">
        <v>335</v>
      </c>
      <c r="D394" s="166">
        <f t="shared" ref="D394:D395" si="621">IFERROR((F394/E394),"")</f>
        <v>-1.9580000000000013</v>
      </c>
      <c r="E394" s="4">
        <v>10</v>
      </c>
      <c r="F394" s="3">
        <f>IFERROR((L394-K394),"")</f>
        <v>-19.580000000000013</v>
      </c>
      <c r="G394" s="5">
        <f>G390</f>
        <v>3.5</v>
      </c>
      <c r="H394" s="6">
        <f>ROUNDUP(SUMPRODUCT(B395:B395,C395:C395)/1000,1)*1.15</f>
        <v>10.119999999999997</v>
      </c>
      <c r="I394" s="34">
        <f>IFERROR((S394*E394),"")</f>
        <v>20</v>
      </c>
      <c r="J394" s="78">
        <f>IFERROR(VLOOKUP(C394,[2]Sheet1!$D:$J,7,0),"")</f>
        <v>35</v>
      </c>
      <c r="K394" s="80">
        <f>IFERROR((I394+J394),"")</f>
        <v>55</v>
      </c>
      <c r="L394" s="7">
        <f>IFERROR((G394*H394),"")</f>
        <v>35.419999999999987</v>
      </c>
      <c r="M394" s="8">
        <f>IFERROR(K394-L394,"")</f>
        <v>19.580000000000013</v>
      </c>
      <c r="N394" s="57">
        <f>IFERROR((K394/H394),"")</f>
        <v>5.4347826086956532</v>
      </c>
      <c r="O394" s="9"/>
      <c r="P394" s="10"/>
      <c r="Q394" s="10">
        <v>4460</v>
      </c>
      <c r="R394" s="10">
        <f>O394*P394*Q394</f>
        <v>0</v>
      </c>
      <c r="S394" s="41">
        <f t="shared" ref="S394:S439" si="622">SUM(Y394,T394:X394)</f>
        <v>2</v>
      </c>
      <c r="T394" s="173">
        <v>2</v>
      </c>
      <c r="U394" s="173"/>
      <c r="V394" s="173"/>
      <c r="W394" s="173"/>
      <c r="X394" s="173"/>
      <c r="Y394" s="220"/>
      <c r="Z394" s="1"/>
      <c r="AA394" s="206">
        <f t="shared" si="554"/>
        <v>1.0842857142857141</v>
      </c>
    </row>
    <row r="395" spans="1:27" ns3:dyDescent="0.3">
      <c r="A395" s="11" t="s">
        <v>776</v>
      </c>
      <c r="B395" s="11">
        <f>ROUNDUP(HLOOKUP(A395,'야채 계산기'!$2:$3,2,0)*1.03,0)</f>
        <v>567</v>
      </c>
      <c r="C395" s="164">
        <v>15.48</v>
      </c>
      <c r="D395" s="166" t="str">
        <f t="shared" si="621"/>
        <v/>
      </c>
      <c r="E395" s="4"/>
      <c r="F395" s="3"/>
      <c r="G395" s="5"/>
      <c r="H395" s="6"/>
      <c r="I395" s="34">
        <f>IFERROR((S395*E395),"")</f>
        <v>0</v>
      </c>
      <c r="J395" s="78" t="str">
        <f>IFERROR(VLOOKUP(C395,[2]Sheet1!$D:$J,7,0),"")</f>
        <v/>
      </c>
      <c r="K395" s="80" t="str">
        <f>IFERROR((I395+J395),"")</f>
        <v/>
      </c>
      <c r="L395" s="7">
        <f>IFERROR((G395*H395),"")</f>
        <v>0</v>
      </c>
      <c r="M395" s="8" t="str">
        <f>IFERROR(K395-L395,"")</f>
        <v/>
      </c>
      <c r="N395" s="57" t="str">
        <f>IFERROR((K395/H395),"")</f>
        <v/>
      </c>
      <c r="O395" s="9"/>
      <c r="P395" s="10"/>
      <c r="Q395" s="10"/>
      <c r="R395" s="10">
        <f>O395*P395*Q395</f>
        <v>0</v>
      </c>
      <c r="S395" s="41">
        <f t="shared" si="622"/>
        <v>0</v>
      </c>
      <c r="Y395" s="42"/>
      <c r="Z395" s="1"/>
      <c r="AA395" s="206" t="str">
        <f t="shared" si="554"/>
        <v/>
      </c>
    </row>
    <row r="396" spans="1:27" ns3:dyDescent="0.3">
      <c r="A396" s="11"/>
      <c r="B396" s="11"/>
      <c r="C396" s="164" t="s">
        <v>214</v>
      </c>
      <c r="D396" s="166">
        <f t="shared" si="602"/>
        <v>0.17500000000000002</v>
      </c>
      <c r="E396" s="4">
        <v>8</v>
      </c>
      <c r="F396" s="3">
        <f>IFERROR((L396-K396),"")</f>
        <v>1.4000000000000001</v>
      </c>
      <c r="G396" s="5">
        <f>G390</f>
        <v>3.5</v>
      </c>
      <c r="H396" s="6">
        <f>ROUNDUP(SUMPRODUCT(B397:B397,C397:C397)/2000,1)</f>
        <v>0.4</v>
      </c>
      <c r="I396" s="34">
        <f t="shared" si="603"/>
        <v>0</v>
      </c>
      <c r="J396" s="78">
        <f>IFERROR(VLOOKUP(C396,[2]Sheet1!$D:$J,7,0),"")</f>
        <v>0</v>
      </c>
      <c r="K396" s="80">
        <f t="shared" si="604"/>
        <v>0</v>
      </c>
      <c r="L396" s="7">
        <f t="shared" si="606"/>
        <v>1.4000000000000001</v>
      </c>
      <c r="M396" s="8">
        <f t="shared" si="607"/>
        <v>-1.4000000000000001</v>
      </c>
      <c r="N396" s="57">
        <f t="shared" ref="N396:N406" si="623">IFERROR((K396/H396),"")</f>
        <v>0</v>
      </c>
      <c r="O396" s="9"/>
      <c r="P396" s="10"/>
      <c r="Q396" s="10">
        <v>8600</v>
      </c>
      <c r="R396" s="10">
        <f t="shared" si="615"/>
        <v>0</v>
      </c>
      <c r="S396" s="41">
        <f t="shared" si="622"/>
        <v>0</v>
      </c>
      <c r="T396" s="173"/>
      <c r="U396" s="173"/>
      <c r="V396" s="173"/>
      <c r="W396" s="173"/>
      <c r="X396" s="183"/>
      <c r="Y396" s="220"/>
      <c r="Z396" s="1"/>
      <c r="AA396" s="206">
        <f t="shared" si="554"/>
        <v>5.3571428571428568E-2</v>
      </c>
    </row>
    <row r="397" spans="1:27" ns3:dyDescent="0.3">
      <c r="A397" s="11" t="s">
        <v>300</v>
      </c>
      <c r="B397" s="11">
        <f>ROUNDUP(HLOOKUP(A397,'야채 계산기'!$2:$3,2,0)*1.03,0)</f>
        <v>31</v>
      </c>
      <c r="C397" s="164">
        <v>21.21</v>
      </c>
      <c r="D397" s="166" t="str">
        <f t="shared" si="602"/>
        <v/>
      </c>
      <c r="E397" s="4"/>
      <c r="F397" s="3"/>
      <c r="G397" s="5"/>
      <c r="H397" s="6"/>
      <c r="I397" s="34">
        <f t="shared" si="603"/>
        <v>0</v>
      </c>
      <c r="J397" s="78" t="str">
        <f>IFERROR(VLOOKUP(C397,[2]Sheet1!$D:$J,7,0),"")</f>
        <v/>
      </c>
      <c r="K397" s="80" t="str">
        <f t="shared" si="604"/>
        <v/>
      </c>
      <c r="L397" s="7">
        <f t="shared" si="606"/>
        <v>0</v>
      </c>
      <c r="M397" s="8" t="str">
        <f t="shared" si="607"/>
        <v/>
      </c>
      <c r="N397" s="57" t="str">
        <f t="shared" si="623"/>
        <v/>
      </c>
      <c r="O397" s="9"/>
      <c r="P397" s="10"/>
      <c r="Q397" s="10"/>
      <c r="R397" s="10">
        <f t="shared" si="615"/>
        <v>0</v>
      </c>
      <c r="S397" s="41">
        <f t="shared" si="622"/>
        <v>0</v>
      </c>
      <c r="Y397" s="42"/>
      <c r="Z397" s="1"/>
      <c r="AA397" s="206" t="str">
        <f t="shared" si="554"/>
        <v/>
      </c>
    </row>
    <row r="398" spans="1:27" hidden="1" ns3:dyDescent="0.3">
      <c r="A398" s="11"/>
      <c r="B398" s="11"/>
      <c r="C398" s="164" t="s">
        <v>169</v>
      </c>
      <c r="D398" s="166" t="str">
        <f t="shared" si="602"/>
        <v/>
      </c>
      <c r="E398" s="4">
        <v>8</v>
      </c>
      <c r="F398" s="3" t="str">
        <f>IFERROR((L398-K398),"")</f>
        <v/>
      </c>
      <c r="G398" s="5">
        <f>G396</f>
        <v>3.5</v>
      </c>
      <c r="H398" s="6" t="e">
        <f>ROUNDUP((B399*C399)/2000,1)</f>
        <v>#N/A</v>
      </c>
      <c r="I398" s="34">
        <f t="shared" si="603"/>
        <v>0</v>
      </c>
      <c r="J398" s="78" t="str">
        <f>IFERROR(VLOOKUP(C398,[2]Sheet1!$D:$J,7,0),"")</f>
        <v/>
      </c>
      <c r="K398" s="80" t="str">
        <f t="shared" si="604"/>
        <v/>
      </c>
      <c r="L398" s="7" t="str">
        <f t="shared" si="606"/>
        <v/>
      </c>
      <c r="M398" s="8" t="str">
        <f t="shared" si="607"/>
        <v/>
      </c>
      <c r="N398" s="57" t="str">
        <f t="shared" si="623"/>
        <v/>
      </c>
      <c r="O398" s="9"/>
      <c r="P398" s="10"/>
      <c r="Q398" s="10">
        <v>6600</v>
      </c>
      <c r="R398" s="10">
        <f t="shared" si="615"/>
        <v>0</v>
      </c>
      <c r="S398" s="41">
        <f t="shared" si="622"/>
        <v>0</v>
      </c>
      <c r="T398" s="190"/>
      <c r="U398" s="190"/>
      <c r="V398" s="190"/>
      <c r="W398" s="190"/>
      <c r="Y398" s="42"/>
      <c r="Z398" s="1"/>
      <c r="AA398" s="206" t="str">
        <f t="shared" si="554"/>
        <v/>
      </c>
    </row>
    <row r="399" spans="1:27" hidden="1" ns3:dyDescent="0.3">
      <c r="A399" s="11" t="s">
        <v>558</v>
      </c>
      <c r="B399" s="11" t="e">
        <f>ROUNDUP(HLOOKUP(A399,'야채 계산기'!$2:$3,2,0)*1.03,0)</f>
        <v>#N/A</v>
      </c>
      <c r="C399" s="164">
        <v>5.18</v>
      </c>
      <c r="D399" s="166" t="str">
        <f t="shared" si="602"/>
        <v/>
      </c>
      <c r="E399" s="4"/>
      <c r="F399" s="3"/>
      <c r="G399" s="5"/>
      <c r="H399" s="6"/>
      <c r="I399" s="34">
        <f t="shared" si="603"/>
        <v>0</v>
      </c>
      <c r="J399" s="78" t="str">
        <f>IFERROR(VLOOKUP(C399,[2]Sheet1!$D:$J,7,0),"")</f>
        <v/>
      </c>
      <c r="K399" s="80" t="str">
        <f t="shared" si="604"/>
        <v/>
      </c>
      <c r="L399" s="7">
        <f t="shared" si="606"/>
        <v>0</v>
      </c>
      <c r="M399" s="8" t="str">
        <f t="shared" si="607"/>
        <v/>
      </c>
      <c r="N399" s="57" t="str">
        <f t="shared" si="623"/>
        <v/>
      </c>
      <c r="O399" s="9"/>
      <c r="P399" s="10"/>
      <c r="Q399" s="10"/>
      <c r="R399" s="10">
        <f t="shared" si="615"/>
        <v>0</v>
      </c>
      <c r="S399" s="41">
        <f t="shared" si="622"/>
        <v>0</v>
      </c>
      <c r="Y399" s="42"/>
      <c r="Z399" s="1"/>
      <c r="AA399" s="206" t="str">
        <f t="shared" si="554"/>
        <v/>
      </c>
    </row>
    <row r="400" spans="1:27" ns3:dyDescent="0.3">
      <c r="A400" s="11"/>
      <c r="B400" s="11"/>
      <c r="C400" s="62" t="s">
        <v>673</v>
      </c>
      <c r="D400" s="166">
        <f t="shared" si="602"/>
        <v>-2.5</v>
      </c>
      <c r="E400" s="4">
        <v>1</v>
      </c>
      <c r="F400" s="3">
        <f>IFERROR((L400-K400),"")</f>
        <v>-2.5</v>
      </c>
      <c r="G400" s="5">
        <f>G398</f>
        <v>3.5</v>
      </c>
      <c r="H400" s="6">
        <f>ROUNDUP(SUMPRODUCT(B401:B406,C401:C406)/14600,1)</f>
        <v>1</v>
      </c>
      <c r="I400" s="34">
        <f t="shared" si="603"/>
        <v>4</v>
      </c>
      <c r="J400" s="78">
        <f>IFERROR(VLOOKUP(C400,[2]Sheet1!$D:$J,7,0),"")</f>
        <v>2</v>
      </c>
      <c r="K400" s="80">
        <f t="shared" si="604"/>
        <v>6</v>
      </c>
      <c r="L400" s="7">
        <f t="shared" si="606"/>
        <v>3.5</v>
      </c>
      <c r="M400" s="8">
        <f t="shared" si="607"/>
        <v>2.5</v>
      </c>
      <c r="N400" s="57">
        <f t="shared" si="623"/>
        <v>6</v>
      </c>
      <c r="O400" s="9"/>
      <c r="P400" s="10"/>
      <c r="Q400" s="10">
        <v>20000</v>
      </c>
      <c r="R400" s="10">
        <f t="shared" si="615"/>
        <v>0</v>
      </c>
      <c r="S400" s="41">
        <f t="shared" si="622"/>
        <v>4</v>
      </c>
      <c r="T400" s="173">
        <v>2</v>
      </c>
      <c r="U400" s="173"/>
      <c r="V400" s="173">
        <v>2</v>
      </c>
      <c r="W400" s="173"/>
      <c r="X400" s="183"/>
      <c r="Y400" s="220"/>
      <c r="Z400" s="1"/>
      <c r="AA400" s="206">
        <f t="shared" si="554"/>
        <v>1.0714285714285714</v>
      </c>
    </row>
    <row r="401" spans="1:27" ns3:dyDescent="0.3">
      <c r="A401" s="11" t="s">
        <v>174</v>
      </c>
      <c r="B401" s="11">
        <f>ROUNDUP(HLOOKUP(A401,'야채 계산기'!$2:$3,2,0)*1.03,0)</f>
        <v>176</v>
      </c>
      <c r="C401" s="164">
        <v>0.31</v>
      </c>
      <c r="D401" s="166" t="str">
        <f t="shared" si="602"/>
        <v/>
      </c>
      <c r="E401" s="4"/>
      <c r="F401" s="3"/>
      <c r="G401" s="5"/>
      <c r="H401" s="6"/>
      <c r="I401" s="34">
        <f t="shared" si="603"/>
        <v>0</v>
      </c>
      <c r="J401" s="78" t="str">
        <f>IFERROR(VLOOKUP(C401,[2]Sheet1!$D:$J,7,0),"")</f>
        <v/>
      </c>
      <c r="K401" s="80" t="str">
        <f t="shared" si="604"/>
        <v/>
      </c>
      <c r="L401" s="7">
        <f t="shared" si="606"/>
        <v>0</v>
      </c>
      <c r="M401" s="8" t="str">
        <f t="shared" si="607"/>
        <v/>
      </c>
      <c r="N401" s="57" t="str">
        <f t="shared" si="623"/>
        <v/>
      </c>
      <c r="O401" s="9"/>
      <c r="P401" s="10"/>
      <c r="Q401" s="10"/>
      <c r="R401" s="10">
        <f t="shared" si="615"/>
        <v>0</v>
      </c>
      <c r="S401" s="41">
        <f t="shared" si="622"/>
        <v>0</v>
      </c>
      <c r="T401" s="190"/>
      <c r="U401" s="190"/>
      <c r="V401" s="190"/>
      <c r="W401" s="190"/>
      <c r="Y401" s="42"/>
      <c r="Z401" s="1"/>
      <c r="AA401" s="206" t="str">
        <f t="shared" si="554"/>
        <v/>
      </c>
    </row>
    <row r="402" spans="1:27" ns3:dyDescent="0.3">
      <c r="A402" s="11" t="s">
        <v>269</v>
      </c>
      <c r="B402" s="11">
        <f>ROUNDUP(HLOOKUP(A402,'야채 계산기'!$2:$3,2,0)*1.03,0)</f>
        <v>1082</v>
      </c>
      <c r="C402" s="164">
        <v>0.52</v>
      </c>
      <c r="D402" s="166" t="str">
        <f t="shared" si="602"/>
        <v/>
      </c>
      <c r="E402" s="4"/>
      <c r="F402" s="3"/>
      <c r="G402" s="5"/>
      <c r="H402" s="6"/>
      <c r="I402" s="34">
        <f t="shared" si="603"/>
        <v>0</v>
      </c>
      <c r="J402" s="78" t="str">
        <f>IFERROR(VLOOKUP(C402,[2]Sheet1!$D:$J,7,0),"")</f>
        <v/>
      </c>
      <c r="K402" s="80" t="str">
        <f t="shared" si="604"/>
        <v/>
      </c>
      <c r="L402" s="7">
        <f t="shared" si="606"/>
        <v>0</v>
      </c>
      <c r="M402" s="8" t="str">
        <f t="shared" si="607"/>
        <v/>
      </c>
      <c r="N402" s="57" t="str">
        <f t="shared" si="623"/>
        <v/>
      </c>
      <c r="O402" s="9"/>
      <c r="P402" s="10"/>
      <c r="Q402" s="10"/>
      <c r="R402" s="10">
        <f t="shared" si="615"/>
        <v>0</v>
      </c>
      <c r="S402" s="41">
        <f t="shared" si="622"/>
        <v>0</v>
      </c>
      <c r="T402" s="190"/>
      <c r="U402" s="190"/>
      <c r="V402" s="190"/>
      <c r="W402" s="190"/>
      <c r="Y402" s="42"/>
      <c r="Z402" s="1"/>
      <c r="AA402" s="206" t="str">
        <f t="shared" si="554"/>
        <v/>
      </c>
    </row>
    <row r="403" spans="1:27" ns3:dyDescent="0.3">
      <c r="A403" s="11" t="s">
        <v>492</v>
      </c>
      <c r="B403" s="11">
        <f>ROUNDUP(HLOOKUP(A403,'야채 계산기'!$2:$3,2,0)*1.03,0)</f>
        <v>57</v>
      </c>
      <c r="C403" s="164">
        <f>'[1]착한비빔밥(25.10.23)'!$B$17</f>
        <v>0.47</v>
      </c>
      <c r="D403" s="166" t="str">
        <f t="shared" si="602"/>
        <v/>
      </c>
      <c r="E403" s="4"/>
      <c r="F403" s="3"/>
      <c r="G403" s="5"/>
      <c r="H403" s="6"/>
      <c r="I403" s="34">
        <f t="shared" si="603"/>
        <v>0</v>
      </c>
      <c r="J403" s="78" t="str">
        <f>IFERROR(VLOOKUP(C403,[2]Sheet1!$D:$J,7,0),"")</f>
        <v/>
      </c>
      <c r="K403" s="80" t="str">
        <f t="shared" si="604"/>
        <v/>
      </c>
      <c r="L403" s="7">
        <f t="shared" si="606"/>
        <v>0</v>
      </c>
      <c r="M403" s="8" t="str">
        <f t="shared" si="607"/>
        <v/>
      </c>
      <c r="N403" s="57" t="str">
        <f t="shared" si="623"/>
        <v/>
      </c>
      <c r="O403" s="9"/>
      <c r="P403" s="10"/>
      <c r="Q403" s="10"/>
      <c r="R403" s="10">
        <f t="shared" si="615"/>
        <v>0</v>
      </c>
      <c r="S403" s="41">
        <f t="shared" si="622"/>
        <v>0</v>
      </c>
      <c r="T403" s="190"/>
      <c r="U403" s="190"/>
      <c r="V403" s="190"/>
      <c r="W403" s="190"/>
      <c r="Y403" s="42"/>
      <c r="Z403" s="1"/>
      <c r="AA403" s="206" t="str">
        <f t="shared" si="554"/>
        <v/>
      </c>
    </row>
    <row r="404" spans="1:27" ns3:dyDescent="0.3">
      <c r="A404" s="13" t="s">
        <v>256</v>
      </c>
      <c r="B404" s="11">
        <f>ROUNDUP(HLOOKUP(A404,'야채 계산기'!$2:$3,2,0)*1.03,0)</f>
        <v>2926</v>
      </c>
      <c r="C404" s="164">
        <v>0.52</v>
      </c>
      <c r="D404" s="166"/>
      <c r="E404" s="4"/>
      <c r="F404" s="3"/>
      <c r="G404" s="5"/>
      <c r="H404" s="6"/>
      <c r="I404" s="34">
        <f t="shared" ref="I404:I405" si="624">IFERROR((S404*E404),"")</f>
        <v>0</v>
      </c>
      <c r="J404" s="78" t="str">
        <f>IFERROR(VLOOKUP(C404,[2]Sheet1!$D:$J,7,0),"")</f>
        <v/>
      </c>
      <c r="K404" s="80" t="str">
        <f t="shared" ref="K404:K405" si="625">IFERROR((I404+J404),"")</f>
        <v/>
      </c>
      <c r="L404" s="7">
        <f t="shared" ref="L404:L405" si="626">IFERROR((G404*H404),"")</f>
        <v>0</v>
      </c>
      <c r="M404" s="8" t="str">
        <f t="shared" ref="M404:M405" si="627">IFERROR(K404-L404,"")</f>
        <v/>
      </c>
      <c r="N404" s="57" t="str">
        <f t="shared" ref="N404:N405" si="628">IFERROR((K404/H404),"")</f>
        <v/>
      </c>
      <c r="O404" s="9"/>
      <c r="P404" s="10"/>
      <c r="Q404" s="10"/>
      <c r="R404" s="10">
        <f t="shared" ref="R404:R405" si="629">O404*P404*Q404</f>
        <v>0</v>
      </c>
      <c r="S404" s="41">
        <f t="shared" si="622"/>
        <v>0</v>
      </c>
      <c r="T404" s="190"/>
      <c r="U404" s="190"/>
      <c r="V404" s="190"/>
      <c r="W404" s="190"/>
      <c r="Y404" s="42"/>
      <c r="Z404" s="1"/>
      <c r="AA404" s="206" t="str">
        <f t="shared" si="554"/>
        <v/>
      </c>
    </row>
    <row r="405" spans="1:27" ns3:dyDescent="0.3">
      <c r="A405" s="13" t="s">
        <v>625</v>
      </c>
      <c r="B405" s="11">
        <f>ROUNDUP(HLOOKUP(A405,'야채 계산기'!$2:$3,2,0)*1.03,0)</f>
        <v>1206</v>
      </c>
      <c r="C405" s="164">
        <v>0.27</v>
      </c>
      <c r="D405" s="166"/>
      <c r="E405" s="4"/>
      <c r="F405" s="3"/>
      <c r="G405" s="5"/>
      <c r="H405" s="6"/>
      <c r="I405" s="34">
        <f t="shared" si="624"/>
        <v>0</v>
      </c>
      <c r="J405" s="78" t="str">
        <f>IFERROR(VLOOKUP(C405,[2]Sheet1!$D:$J,7,0),"")</f>
        <v/>
      </c>
      <c r="K405" s="80" t="str">
        <f t="shared" si="625"/>
        <v/>
      </c>
      <c r="L405" s="7">
        <f t="shared" si="626"/>
        <v>0</v>
      </c>
      <c r="M405" s="8" t="str">
        <f t="shared" si="627"/>
        <v/>
      </c>
      <c r="N405" s="57" t="str">
        <f t="shared" si="628"/>
        <v/>
      </c>
      <c r="O405" s="9"/>
      <c r="P405" s="10"/>
      <c r="Q405" s="10"/>
      <c r="R405" s="10">
        <f t="shared" si="629"/>
        <v>0</v>
      </c>
      <c r="S405" s="41">
        <f t="shared" ref="S405" si="630">SUM(Y405,T405:X405)</f>
        <v>0</v>
      </c>
      <c r="T405" s="190"/>
      <c r="U405" s="190"/>
      <c r="V405" s="190"/>
      <c r="W405" s="245"/>
      <c r="X405" s="243"/>
      <c r="Y405" s="246"/>
      <c r="Z405" s="1"/>
      <c r="AA405" s="206" t="str">
        <f t="shared" ref="AA405" si="631">IFERROR(H405*7.5/E405/7,"")</f>
        <v/>
      </c>
    </row>
    <row r="406" spans="1:27" ns3:dyDescent="0.3">
      <c r="A406" s="273" t="s">
        <v>722</v>
      </c>
      <c r="B406" s="11">
        <f>ROUNDUP(HLOOKUP(A406,'야채 계산기'!$2:$3,2,0)*1.03,0)</f>
        <v>1679</v>
      </c>
      <c r="C406" s="164">
        <v>6.42</v>
      </c>
      <c r="D406" s="166"/>
      <c r="E406" s="4"/>
      <c r="F406" s="3"/>
      <c r="G406" s="5"/>
      <c r="H406" s="6"/>
      <c r="I406" s="34">
        <f t="shared" si="603"/>
        <v>0</v>
      </c>
      <c r="J406" s="78" t="str">
        <f>IFERROR(VLOOKUP(C406,[2]Sheet1!$D:$J,7,0),"")</f>
        <v/>
      </c>
      <c r="K406" s="80" t="str">
        <f t="shared" si="604"/>
        <v/>
      </c>
      <c r="L406" s="7">
        <f t="shared" si="606"/>
        <v>0</v>
      </c>
      <c r="M406" s="8" t="str">
        <f t="shared" si="607"/>
        <v/>
      </c>
      <c r="N406" s="57" t="str">
        <f t="shared" si="623"/>
        <v/>
      </c>
      <c r="O406" s="9"/>
      <c r="P406" s="10"/>
      <c r="Q406" s="10"/>
      <c r="R406" s="10">
        <f t="shared" si="615"/>
        <v>0</v>
      </c>
      <c r="S406" s="41">
        <f t="shared" si="622"/>
        <v>0</v>
      </c>
      <c r="T406" s="190"/>
      <c r="U406" s="190"/>
      <c r="V406" s="190"/>
      <c r="W406" s="245"/>
      <c r="X406" s="243"/>
      <c r="Y406" s="246"/>
      <c r="Z406" s="1"/>
      <c r="AA406" s="206" t="str">
        <f t="shared" si="554"/>
        <v/>
      </c>
    </row>
    <row r="407" spans="1:27" ns3:dyDescent="0.3">
      <c r="A407" s="13"/>
      <c r="B407" s="11"/>
      <c r="C407" s="236" t="s">
        <v>724</v>
      </c>
      <c r="D407" s="166">
        <f t="shared" ref="D407" si="632">IFERROR((F407/E407),"")</f>
        <v>-225.52666666666667</v>
      </c>
      <c r="E407" s="4">
        <v>30</v>
      </c>
      <c r="F407" s="3">
        <f>IFERROR((L407-K407),"")</f>
        <v>-6765.8</v>
      </c>
      <c r="G407" s="5">
        <f>G390</f>
        <v>3.5</v>
      </c>
      <c r="H407" s="6">
        <f>ROUNDUP((B408*C408+B409*C409+B410*C410)/10,1)</f>
        <v>381.2</v>
      </c>
      <c r="I407" s="34">
        <f t="shared" ref="I407" si="633">IFERROR((S407*E407),"")</f>
        <v>2700</v>
      </c>
      <c r="J407" s="78">
        <f>IFERROR(VLOOKUP(C407,[2]Sheet1!$D:$J,7,0),"")</f>
        <v>5400</v>
      </c>
      <c r="K407" s="80">
        <f t="shared" ref="K407" si="634">IFERROR((I407+J407),"")</f>
        <v>8100</v>
      </c>
      <c r="L407" s="7">
        <f t="shared" ref="L407" si="635">IFERROR((G407*H407),"")</f>
        <v>1334.2</v>
      </c>
      <c r="M407" s="8">
        <f t="shared" ref="M407" si="636">IFERROR(K407-L407,"")</f>
        <v>6765.8</v>
      </c>
      <c r="N407" s="57">
        <f t="shared" ref="N407" si="637">IFERROR((K407/H407),"")</f>
        <v>21.248688352570831</v>
      </c>
      <c r="O407" s="9"/>
      <c r="P407" s="10"/>
      <c r="Q407" s="10">
        <v>1103</v>
      </c>
      <c r="R407" s="10">
        <v>0</v>
      </c>
      <c r="S407" s="41">
        <f>SUM(Y407,T407:X407)</f>
        <v>90</v>
      </c>
      <c r="T407" s="173">
        <v>16</v>
      </c>
      <c r="U407" s="173">
        <v>16</v>
      </c>
      <c r="V407" s="173">
        <v>16</v>
      </c>
      <c r="W407" s="173">
        <v>14</v>
      </c>
      <c r="X407" s="173">
        <v>14</v>
      </c>
      <c r="Y407" s="220">
        <v>14</v>
      </c>
      <c r="Z407" s="1"/>
      <c r="AA407" s="206">
        <f>IFERROR(H407*7.5/E407/7,"")</f>
        <v>13.614285714285714</v>
      </c>
    </row>
    <row r="408" spans="1:27" ns3:dyDescent="0.3">
      <c r="A408" s="13" t="s">
        <v>726</v>
      </c>
      <c r="B408" s="11">
        <f>ROUNDUP(HLOOKUP(A408,'야채 계산기'!$2:$3,2,0)*1.03,0)</f>
        <v>1731</v>
      </c>
      <c r="C408" s="62">
        <v>1</v>
      </c>
      <c r="D408" s="166" t="s">
        <v>610</v>
      </c>
      <c r="E408" s="4"/>
      <c r="F408" s="3"/>
      <c r="G408" s="5"/>
      <c r="H408" s="6"/>
      <c r="I408" s="34">
        <v>0</v>
      </c>
      <c r="J408" s="78" t="str">
        <f>IFERROR(VLOOKUP(C408,[2]Sheet1!$D:$J,7,0),"")</f>
        <v/>
      </c>
      <c r="K408" s="80" t="s">
        <v>610</v>
      </c>
      <c r="L408" s="7">
        <v>0</v>
      </c>
      <c r="M408" s="8" t="s">
        <v>610</v>
      </c>
      <c r="N408" s="57" t="s">
        <v>610</v>
      </c>
      <c r="O408" s="9"/>
      <c r="P408" s="10"/>
      <c r="Q408" s="10"/>
      <c r="R408" s="10">
        <v>0</v>
      </c>
      <c r="S408" s="41">
        <v>0</v>
      </c>
      <c r="T408" s="190"/>
      <c r="U408" s="190"/>
      <c r="V408" s="190"/>
      <c r="W408" s="190"/>
      <c r="Y408" s="42"/>
      <c r="Z408" s="1"/>
      <c r="AA408" s="206" t="str">
        <f>IFERROR(H408*7.5/E408/7,"")</f>
        <v/>
      </c>
    </row>
    <row r="409" spans="1:27" ns3:dyDescent="0.3">
      <c r="A409" s="13" t="s">
        <v>727</v>
      </c>
      <c r="B409" s="11">
        <f>ROUNDUP(HLOOKUP(A409,'야채 계산기'!$2:$3,2,0)*1.03,0)</f>
        <v>2081</v>
      </c>
      <c r="C409" s="62">
        <v>1</v>
      </c>
      <c r="D409" s="166" t="s">
        <v>610</v>
      </c>
      <c r="E409" s="4"/>
      <c r="F409" s="3"/>
      <c r="G409" s="5"/>
      <c r="H409" s="6"/>
      <c r="I409" s="34">
        <v>0</v>
      </c>
      <c r="J409" s="78" t="str">
        <f>IFERROR(VLOOKUP(C409,[2]Sheet1!$D:$J,7,0),"")</f>
        <v/>
      </c>
      <c r="K409" s="80" t="s">
        <v>610</v>
      </c>
      <c r="L409" s="7">
        <v>0</v>
      </c>
      <c r="M409" s="8" t="s">
        <v>610</v>
      </c>
      <c r="N409" s="57" t="s">
        <v>610</v>
      </c>
      <c r="O409" s="9"/>
      <c r="P409" s="10"/>
      <c r="Q409" s="10"/>
      <c r="R409" s="10">
        <v>0</v>
      </c>
      <c r="S409" s="41">
        <v>0</v>
      </c>
      <c r="T409" s="190"/>
      <c r="U409" s="190"/>
      <c r="V409" s="190"/>
      <c r="W409" s="190"/>
      <c r="Y409" s="42"/>
      <c r="Z409" s="1"/>
      <c r="AA409" s="206" t="str">
        <f>IFERROR(H409*7.5/E409/7,"")</f>
        <v/>
      </c>
    </row>
    <row r="410" spans="1:27" ns3:dyDescent="0.3">
      <c r="A410" s="13" t="s">
        <v>776</v>
      </c>
      <c r="B410" s="11"/>
      <c r="C410" s="62">
        <v>1</v>
      </c>
      <c r="D410" s="166" t="s">
        <v>610</v>
      </c>
      <c r="E410" s="4"/>
      <c r="F410" s="3"/>
      <c r="G410" s="5"/>
      <c r="H410" s="6"/>
      <c r="I410" s="34">
        <v>0</v>
      </c>
      <c r="J410" s="78" t="str">
        <f>IFERROR(VLOOKUP(C410,[2]Sheet1!$D:$J,7,0),"")</f>
        <v/>
      </c>
      <c r="K410" s="80" t="s">
        <v>610</v>
      </c>
      <c r="L410" s="7">
        <v>0</v>
      </c>
      <c r="M410" s="8" t="s">
        <v>610</v>
      </c>
      <c r="N410" s="57" t="s">
        <v>610</v>
      </c>
      <c r="O410" s="9"/>
      <c r="P410" s="10"/>
      <c r="Q410" s="10"/>
      <c r="R410" s="10">
        <v>0</v>
      </c>
      <c r="S410" s="41">
        <v>0</v>
      </c>
      <c r="T410" s="190"/>
      <c r="U410" s="190"/>
      <c r="V410" s="190"/>
      <c r="W410" s="190"/>
      <c r="Y410" s="42"/>
      <c r="Z410" s="1"/>
      <c r="AA410" s="206" t="str">
        <f>IFERROR(H410*7.5/E410/7,"")</f>
        <v/>
      </c>
    </row>
    <row r="411" spans="1:27" hidden="1" ns3:dyDescent="0.3">
      <c r="A411" s="13"/>
      <c r="B411" s="11" t="e">
        <f>ROUNDUP(HLOOKUP(A411,'야채 계산기'!$2:$3,2,0)*1.03,0)</f>
        <v>#N/A</v>
      </c>
      <c r="C411" s="262" t="s">
        <v>290</v>
      </c>
      <c r="D411" s="166" t="str">
        <f>IFERROR((F411/E411),"")</f>
        <v/>
      </c>
      <c r="E411" s="4">
        <v>5</v>
      </c>
      <c r="F411" s="3" t="str">
        <f>IFERROR((L411-K411),"")</f>
        <v/>
      </c>
      <c r="G411" s="5">
        <f>G352</f>
        <v>6.5</v>
      </c>
      <c r="H411" s="6" t="e">
        <f>ROUNDUP(SUMPRODUCT(B412,C412)/2000,0)</f>
        <v>#N/A</v>
      </c>
      <c r="I411" s="34">
        <f>IFERROR((S411*E411),"")</f>
        <v>0</v>
      </c>
      <c r="J411" s="78" t="str">
        <f>IFERROR(VLOOKUP(C411,[2]Sheet1!$D:$J,7,0),"")</f>
        <v/>
      </c>
      <c r="K411" s="80" t="str">
        <f>IFERROR((I411+J411),"")</f>
        <v/>
      </c>
      <c r="L411" s="7" t="str">
        <f>IFERROR((G411*H411),"")</f>
        <v/>
      </c>
      <c r="M411" s="8" t="str">
        <f>IFERROR(K411-L411,"")</f>
        <v/>
      </c>
      <c r="N411" s="57" t="str">
        <f>IFERROR((K411/H411),"")</f>
        <v/>
      </c>
      <c r="O411" s="9"/>
      <c r="P411" s="10"/>
      <c r="Q411" s="10">
        <v>10003</v>
      </c>
      <c r="R411" s="10">
        <f>O411*P411*Q411</f>
        <v>0</v>
      </c>
      <c r="S411" s="41">
        <f t="shared" ref="S411:S417" si="638">SUM(Y411,T411:X411)</f>
        <v>0</v>
      </c>
      <c r="T411" s="190"/>
      <c r="U411" s="190"/>
      <c r="V411" s="190"/>
      <c r="W411" s="190"/>
      <c r="X411" s="190"/>
      <c r="Y411" s="42"/>
      <c r="Z411" s="1"/>
      <c r="AA411" s="206" t="str">
        <f t="shared" ref="AA411:AA417" si="639">IFERROR(H411*7.5/E411/7,"")</f>
        <v/>
      </c>
    </row>
    <row r="412" spans="1:27" hidden="1" ns3:dyDescent="0.3">
      <c r="A412" s="13" t="s">
        <v>829</v>
      </c>
      <c r="B412" s="11" t="e">
        <f>ROUNDUP(HLOOKUP(A412,'야채 계산기'!$2:$3,2,0)*1.03,0)</f>
        <v>#N/A</v>
      </c>
      <c r="C412" s="62">
        <v>20.45</v>
      </c>
      <c r="D412" s="166" t="str">
        <f>IFERROR((F412/E412),"")</f>
        <v/>
      </c>
      <c r="E412" s="4"/>
      <c r="F412" s="3"/>
      <c r="G412" s="5"/>
      <c r="H412" s="6"/>
      <c r="I412" s="34">
        <f>IFERROR((S412*E412),"")</f>
        <v>0</v>
      </c>
      <c r="J412" s="78" t="str">
        <f>IFERROR(VLOOKUP(C412,[2]Sheet1!$D:$J,7,0),"")</f>
        <v/>
      </c>
      <c r="K412" s="80" t="str">
        <f>IFERROR((I412+J412),"")</f>
        <v/>
      </c>
      <c r="L412" s="7">
        <f>IFERROR((G412*H412),"")</f>
        <v>0</v>
      </c>
      <c r="M412" s="8" t="str">
        <f>IFERROR(K412-L412,"")</f>
        <v/>
      </c>
      <c r="N412" s="57" t="str">
        <f>IFERROR((K412/H412),"")</f>
        <v/>
      </c>
      <c r="O412" s="9"/>
      <c r="P412" s="10"/>
      <c r="Q412" s="10"/>
      <c r="R412" s="10">
        <f>O412*P412*Q412</f>
        <v>0</v>
      </c>
      <c r="S412" s="41">
        <f t="shared" si="638"/>
        <v>0</v>
      </c>
      <c r="Y412" s="180"/>
      <c r="Z412" s="1"/>
      <c r="AA412" s="206" t="str">
        <f t="shared" si="639"/>
        <v/>
      </c>
    </row>
    <row r="413" spans="1:27" hidden="1" ns3:dyDescent="0.3">
      <c r="A413" s="13"/>
      <c r="B413" s="11" t="e">
        <f>ROUNDUP(HLOOKUP(A413,'야채 계산기'!$2:$3,2,0)*1.03,0)</f>
        <v>#N/A</v>
      </c>
      <c r="C413" s="262" t="s">
        <v>514</v>
      </c>
      <c r="D413" s="166" t="str">
        <f>IFERROR((F413/E413),"")</f>
        <v/>
      </c>
      <c r="E413" s="4">
        <v>20</v>
      </c>
      <c r="F413" s="3" t="str">
        <f>IFERROR((L413-K413),"")</f>
        <v/>
      </c>
      <c r="G413" s="5">
        <v>3.5</v>
      </c>
      <c r="H413" s="6" t="e">
        <f>ROUNDUP(SUMPRODUCT(B390:B390, C390:C390)/80,1)</f>
        <v>#VALUE!</v>
      </c>
      <c r="I413" s="34">
        <f>IFERROR((S413*E413),"")</f>
        <v>0</v>
      </c>
      <c r="J413" s="78" t="str">
        <f>IFERROR(VLOOKUP(C413,[2]Sheet1!$D:$J,7,0),"")</f>
        <v/>
      </c>
      <c r="K413" s="80" t="str">
        <f>IFERROR((I413+J413),"")</f>
        <v/>
      </c>
      <c r="L413" s="7" t="str">
        <f>IFERROR((G413*H413),"")</f>
        <v/>
      </c>
      <c r="M413" s="8" t="str">
        <f>IFERROR(K413-L413,"")</f>
        <v/>
      </c>
      <c r="N413" s="57" t="str">
        <f>IFERROR((K413/H413),"")</f>
        <v/>
      </c>
      <c r="O413" s="9"/>
      <c r="P413" s="10"/>
      <c r="Q413" s="10">
        <v>480</v>
      </c>
      <c r="R413" s="10">
        <f>O413*P413*Q413</f>
        <v>0</v>
      </c>
      <c r="S413" s="41">
        <f t="shared" si="638"/>
        <v>0</v>
      </c>
      <c r="T413" s="173"/>
      <c r="U413" s="173"/>
      <c r="V413" s="173"/>
      <c r="W413" s="173"/>
      <c r="X413" s="183"/>
      <c r="Y413" s="220"/>
      <c r="Z413" s="1"/>
      <c r="AA413" s="206" t="str">
        <f t="shared" si="639"/>
        <v/>
      </c>
    </row>
    <row r="414" spans="1:27" hidden="1" ns3:dyDescent="0.3">
      <c r="A414" s="13" t="s">
        <v>504</v>
      </c>
      <c r="B414" s="11" t="e">
        <f>ROUNDUP(HLOOKUP(A414,'야채 계산기'!$2:$3,2,0)*1.03,0)</f>
        <v>#N/A</v>
      </c>
      <c r="C414" s="164">
        <v>80</v>
      </c>
      <c r="D414" s="166" t="str">
        <f t="shared" ref="D414" si="640">IFERROR((F414/E414),"")</f>
        <v/>
      </c>
      <c r="E414" s="4"/>
      <c r="F414" s="3"/>
      <c r="G414" s="5"/>
      <c r="H414" s="6"/>
      <c r="I414" s="34">
        <f t="shared" ref="I414" si="641">IFERROR((S414*E414),"")</f>
        <v>0</v>
      </c>
      <c r="J414" s="78" t="str">
        <f>IFERROR(VLOOKUP(C414,[2]Sheet1!$D:$J,7,0),"")</f>
        <v/>
      </c>
      <c r="K414" s="80" t="str">
        <f t="shared" ref="K414" si="642">IFERROR((I414+J414),"")</f>
        <v/>
      </c>
      <c r="L414" s="7">
        <f t="shared" ref="L414" si="643">IFERROR((G414*H414),"")</f>
        <v>0</v>
      </c>
      <c r="M414" s="8" t="str">
        <f t="shared" ref="M414" si="644">IFERROR(K414-L414,"")</f>
        <v/>
      </c>
      <c r="N414" s="57" t="str">
        <f t="shared" ref="N414" si="645">IFERROR((K414/H414),"")</f>
        <v/>
      </c>
      <c r="O414" s="9"/>
      <c r="P414" s="10"/>
      <c r="Q414" s="10"/>
      <c r="R414" s="10">
        <f t="shared" ref="R414" si="646">O414*P414*Q414</f>
        <v>0</v>
      </c>
      <c r="S414" s="41">
        <f t="shared" si="638"/>
        <v>0</v>
      </c>
      <c r="Y414" s="42"/>
      <c r="Z414" s="1"/>
      <c r="AA414" s="206" t="str">
        <f t="shared" si="639"/>
        <v/>
      </c>
    </row>
    <row r="415" spans="1:27" hidden="1" ns3:dyDescent="0.3">
      <c r="A415" s="13" t="s">
        <v>557</v>
      </c>
      <c r="B415" s="11" t="e">
        <f>ROUNDUP(HLOOKUP(A415,'야채 계산기'!$2:$3,2,0)*1.03,0)</f>
        <v>#N/A</v>
      </c>
      <c r="C415" s="164">
        <v>80</v>
      </c>
      <c r="D415" s="166" t="str">
        <f>IFERROR((F415/E415),"")</f>
        <v/>
      </c>
      <c r="E415" s="4"/>
      <c r="F415" s="3"/>
      <c r="G415" s="5"/>
      <c r="H415" s="6"/>
      <c r="I415" s="34">
        <f>IFERROR((S415*E415),"")</f>
        <v>0</v>
      </c>
      <c r="J415" s="78" t="str">
        <f>IFERROR(VLOOKUP(C415,[2]Sheet1!$D:$J,7,0),"")</f>
        <v/>
      </c>
      <c r="K415" s="80" t="str">
        <f>IFERROR((I415+J415),"")</f>
        <v/>
      </c>
      <c r="L415" s="7">
        <f>IFERROR((G415*H415),"")</f>
        <v>0</v>
      </c>
      <c r="M415" s="8" t="str">
        <f>IFERROR(K415-L415,"")</f>
        <v/>
      </c>
      <c r="N415" s="57" t="str">
        <f>IFERROR((K415/H415),"")</f>
        <v/>
      </c>
      <c r="O415" s="9"/>
      <c r="P415" s="10"/>
      <c r="Q415" s="10"/>
      <c r="R415" s="10">
        <f>O415*P415*Q415</f>
        <v>0</v>
      </c>
      <c r="S415" s="41">
        <f t="shared" si="638"/>
        <v>0</v>
      </c>
      <c r="Y415" s="42"/>
      <c r="Z415" s="1"/>
      <c r="AA415" s="206" t="str">
        <f t="shared" si="639"/>
        <v/>
      </c>
    </row>
    <row r="416" spans="1:27" hidden="1" ns3:dyDescent="0.3">
      <c r="A416" s="13"/>
      <c r="B416" s="11" t="e">
        <f>ROUNDUP(HLOOKUP(A416,'야채 계산기'!$2:$3,2,0)*1.03,0)</f>
        <v>#N/A</v>
      </c>
      <c r="C416" s="262" t="s">
        <v>163</v>
      </c>
      <c r="D416" s="166" t="str">
        <f>IFERROR((F416/E416),"")</f>
        <v/>
      </c>
      <c r="E416" s="4">
        <v>5</v>
      </c>
      <c r="F416" s="3" t="str">
        <f>IFERROR((L416-K416),"")</f>
        <v/>
      </c>
      <c r="G416" s="5">
        <v>1</v>
      </c>
      <c r="H416" s="6" t="e">
        <f>ROUNDUP((B417*C417)/2000,0)</f>
        <v>#N/A</v>
      </c>
      <c r="I416" s="34">
        <f>IFERROR((S416*E416),"")</f>
        <v>0</v>
      </c>
      <c r="J416" s="78" t="str">
        <f>IFERROR(VLOOKUP(C416,[2]Sheet1!$D:$J,7,0),"")</f>
        <v/>
      </c>
      <c r="K416" s="80" t="str">
        <f>IFERROR((I416+J416),"")</f>
        <v/>
      </c>
      <c r="L416" s="7" t="str">
        <f>IFERROR((G416*H416),"")</f>
        <v/>
      </c>
      <c r="M416" s="8" t="str">
        <f>IFERROR(K416-L416,"")</f>
        <v/>
      </c>
      <c r="N416" s="57" t="str">
        <f>IFERROR((K416/H416),"")</f>
        <v/>
      </c>
      <c r="O416" s="9"/>
      <c r="P416" s="10"/>
      <c r="Q416" s="10">
        <v>12727</v>
      </c>
      <c r="R416" s="10">
        <f>O416*P416*Q416</f>
        <v>0</v>
      </c>
      <c r="S416" s="41">
        <f t="shared" si="638"/>
        <v>0</v>
      </c>
      <c r="T416" s="173"/>
      <c r="U416" s="173"/>
      <c r="V416" s="173"/>
      <c r="W416" s="173"/>
      <c r="X416" s="183"/>
      <c r="Y416" s="220"/>
      <c r="AA416" s="206" t="str">
        <f t="shared" si="639"/>
        <v/>
      </c>
    </row>
    <row r="417" spans="1:27" hidden="1" ns3:dyDescent="0.3">
      <c r="A417" s="13" t="s">
        <v>622</v>
      </c>
      <c r="B417" s="11" t="e">
        <f>ROUNDUP(HLOOKUP(A417,'야채 계산기'!$2:$3,2,0)*1.03,0)</f>
        <v>#N/A</v>
      </c>
      <c r="C417" s="164"/>
      <c r="D417" s="166" t="str">
        <f>IFERROR((F417/E417),"")</f>
        <v/>
      </c>
      <c r="E417" s="4"/>
      <c r="F417" s="3"/>
      <c r="G417" s="5"/>
      <c r="H417" s="6"/>
      <c r="I417" s="34">
        <f>IFERROR((S417*E417),"")</f>
        <v>0</v>
      </c>
      <c r="J417" s="78" t="str">
        <f>IFERROR(VLOOKUP(C417,[2]Sheet1!$D:$J,7,0),"")</f>
        <v/>
      </c>
      <c r="K417" s="80" t="str">
        <f>IFERROR((I417+J417),"")</f>
        <v/>
      </c>
      <c r="L417" s="7">
        <f>IFERROR((G417*H417),"")</f>
        <v>0</v>
      </c>
      <c r="M417" s="8" t="str">
        <f>IFERROR(K417-L417,"")</f>
        <v/>
      </c>
      <c r="N417" s="57" t="str">
        <f>IFERROR((K417/H417),"")</f>
        <v/>
      </c>
      <c r="O417" s="9"/>
      <c r="P417" s="10"/>
      <c r="Q417" s="10"/>
      <c r="R417" s="10">
        <f>O417*P417*Q417</f>
        <v>0</v>
      </c>
      <c r="S417" s="41">
        <f t="shared" si="638"/>
        <v>0</v>
      </c>
      <c r="T417" s="180"/>
      <c r="V417" s="180"/>
      <c r="Y417" s="42"/>
      <c r="AA417" s="206" t="str">
        <f t="shared" si="639"/>
        <v/>
      </c>
    </row>
    <row r="418" spans="1:27" ns3:dyDescent="0.3">
      <c r="A418" s="13"/>
      <c r="B418" s="11"/>
      <c r="C418" s="62"/>
      <c r="D418" s="166"/>
      <c r="E418" s="4"/>
      <c r="F418" s="3"/>
      <c r="G418" s="5"/>
      <c r="H418" s="6"/>
      <c r="I418" s="34">
        <f t="shared" ref="I418:I420" si="647">IFERROR((S418*E418),"")</f>
        <v>0</v>
      </c>
      <c r="J418" s="78" t="str">
        <f>IFERROR(VLOOKUP(C418,[2]Sheet1!$D:$J,7,0),"")</f>
        <v/>
      </c>
      <c r="K418" s="80" t="str">
        <f t="shared" ref="K418:K420" si="648">IFERROR((I418+J418),"")</f>
        <v/>
      </c>
      <c r="L418" s="7">
        <f t="shared" ref="L418:L420" si="649">IFERROR((G418*H418),"")</f>
        <v>0</v>
      </c>
      <c r="M418" s="8" t="str">
        <f t="shared" ref="M418:M420" si="650">IFERROR(K418-L418,"")</f>
        <v/>
      </c>
      <c r="N418" s="57"/>
      <c r="O418" s="9"/>
      <c r="P418" s="10"/>
      <c r="Q418" s="10"/>
      <c r="R418" s="10"/>
      <c r="S418" s="41">
        <f t="shared" si="622"/>
        <v>0</v>
      </c>
      <c r="T418" s="190"/>
      <c r="U418" s="190"/>
      <c r="V418" s="190"/>
      <c r="W418" s="190"/>
      <c r="Y418" s="42"/>
      <c r="Z418" s="1"/>
      <c r="AA418" s="206" t="str">
        <f t="shared" si="554"/>
        <v/>
      </c>
    </row>
    <row r="419" spans="1:27" ns3:dyDescent="0.3">
      <c r="A419" s="13"/>
      <c r="B419" s="11"/>
      <c r="C419" s="62"/>
      <c r="D419" s="166"/>
      <c r="E419" s="4"/>
      <c r="F419" s="3"/>
      <c r="G419" s="5"/>
      <c r="H419" s="6"/>
      <c r="I419" s="34">
        <f t="shared" ref="I419" si="651">IFERROR((S419*E419),"")</f>
        <v>0</v>
      </c>
      <c r="J419" s="78" t="str">
        <f>IFERROR(VLOOKUP(C419,[2]Sheet1!$D:$J,7,0),"")</f>
        <v/>
      </c>
      <c r="K419" s="80" t="str">
        <f t="shared" ref="K419" si="652">IFERROR((I419+J419),"")</f>
        <v/>
      </c>
      <c r="L419" s="7">
        <f t="shared" ref="L419" si="653">IFERROR((G419*H419),"")</f>
        <v>0</v>
      </c>
      <c r="M419" s="8" t="str">
        <f t="shared" ref="M419" si="654">IFERROR(K419-L419,"")</f>
        <v/>
      </c>
      <c r="N419" s="57"/>
      <c r="O419" s="9"/>
      <c r="P419" s="10"/>
      <c r="Q419" s="10"/>
      <c r="R419" s="10"/>
      <c r="S419" s="41">
        <f t="shared" si="622"/>
        <v>0</v>
      </c>
      <c r="T419" s="190"/>
      <c r="U419" s="190"/>
      <c r="V419" s="190"/>
      <c r="W419" s="190"/>
      <c r="Y419" s="42"/>
      <c r="Z419" s="1"/>
      <c r="AA419" s="206" t="str">
        <f t="shared" si="554"/>
        <v/>
      </c>
    </row>
    <row r="420" spans="1:27" ns3:dyDescent="0.3">
      <c r="A420" s="13"/>
      <c r="B420" s="11"/>
      <c r="C420" s="62"/>
      <c r="D420" s="166"/>
      <c r="E420" s="4"/>
      <c r="F420" s="3"/>
      <c r="G420" s="5"/>
      <c r="H420" s="6"/>
      <c r="I420" s="34">
        <f t="shared" si="647"/>
        <v>0</v>
      </c>
      <c r="J420" s="78" t="str">
        <f>IFERROR(VLOOKUP(C420,[2]Sheet1!$D:$J,7,0),"")</f>
        <v/>
      </c>
      <c r="K420" s="80" t="str">
        <f t="shared" si="648"/>
        <v/>
      </c>
      <c r="L420" s="7">
        <f t="shared" si="649"/>
        <v>0</v>
      </c>
      <c r="M420" s="8" t="str">
        <f t="shared" si="650"/>
        <v/>
      </c>
      <c r="N420" s="57"/>
      <c r="O420" s="9"/>
      <c r="P420" s="10"/>
      <c r="Q420" s="10"/>
      <c r="R420" s="10"/>
      <c r="S420" s="41">
        <f t="shared" si="622"/>
        <v>319</v>
      </c>
      <c r="T420" s="190">
        <f>SUM(T352:T419)</f>
        <v>101</v>
      </c>
      <c r="U420" s="190">
        <f>SUM(U352:U419)</f>
        <v>110</v>
      </c>
      <c r="V420" s="190">
        <f>SUM(V352:V419)</f>
        <v>94</v>
      </c>
      <c r="W420" s="190">
        <f>SUM(W352:W419)</f>
        <v>14</v>
      </c>
      <c r="X420" s="190"/>
      <c r="Y420" s="276"/>
      <c r="Z420" s="1"/>
      <c r="AA420" s="206" t="str">
        <f t="shared" si="554"/>
        <v/>
      </c>
    </row>
    <row r="421" spans="1:27" ht="16.5" customHeight="1" ns3:dyDescent="0.3">
      <c r="A421" s="210" t="s">
        <v>894</v>
      </c>
      <c r="B421" s="311" t="s">
        <v>313</v>
      </c>
      <c r="C421" s="224"/>
      <c r="D421" s="166" t="str">
        <f t="shared" ref="D421:D431" si="655">IFERROR((F421/E421),"")</f>
        <v/>
      </c>
      <c r="E421" s="4"/>
      <c r="F421" s="3"/>
      <c r="G421" s="5"/>
      <c r="H421" s="6"/>
      <c r="I421" s="34">
        <f t="shared" ref="I421" si="656">IFERROR((S421*E421),"")</f>
        <v>0</v>
      </c>
      <c r="J421" s="78" t="str">
        <f>IFERROR(VLOOKUP(C421,[2]Sheet1!$D:$J,7,0),"")</f>
        <v/>
      </c>
      <c r="K421" s="80" t="str">
        <f t="shared" ref="K421" si="657">IFERROR((I421+J421),"")</f>
        <v/>
      </c>
      <c r="L421" s="7">
        <f t="shared" ref="L421" si="658">IFERROR((G421*H421),"")</f>
        <v>0</v>
      </c>
      <c r="M421" s="8" t="str">
        <f t="shared" ref="M421" si="659">IFERROR(K421-L421,"")</f>
        <v/>
      </c>
      <c r="N421" s="57" t="str">
        <f t="shared" ref="N421:N441" si="660">IFERROR((K421/H421),"")</f>
        <v/>
      </c>
      <c r="O421" s="9"/>
      <c r="P421" s="10"/>
      <c r="Q421" s="10"/>
      <c r="R421" s="10">
        <f t="shared" ref="R421:R431" si="661">O421*P421*Q421</f>
        <v>0</v>
      </c>
      <c r="S421" s="41">
        <f t="shared" si="622"/>
        <v>0</v>
      </c>
      <c r="W421" s="190"/>
      <c r="X421" s="190"/>
      <c r="Y421" s="42"/>
      <c r="Z421" s="1"/>
      <c r="AA421" s="206" t="str">
        <f t="shared" si="554"/>
        <v/>
      </c>
    </row>
    <row r="422" spans="1:27" hidden="1" ns3:dyDescent="0.3">
      <c r="A422" s="61"/>
      <c r="B422" s="15"/>
      <c r="C422" s="262" t="s">
        <v>668</v>
      </c>
      <c r="D422" s="166" t="str">
        <f>IFERROR((F422/E422),"")</f>
        <v/>
      </c>
      <c r="E422" s="4">
        <v>1</v>
      </c>
      <c r="F422" s="3" t="str">
        <f>IFERROR((L422-K422),"")</f>
        <v/>
      </c>
      <c r="G422" s="5">
        <v>6</v>
      </c>
      <c r="H422" s="6">
        <f>ROUNDUP(SUMPRODUCT(B423:B423,C423:C423)/4000,1)</f>
        <v>0</v>
      </c>
      <c r="I422" s="34">
        <f>IFERROR((S422*E422),"")</f>
        <v>0</v>
      </c>
      <c r="J422" s="78" t="str">
        <f>IFERROR(VLOOKUP(C422,[2]Sheet1!$D:$J,7,0),"")</f>
        <v/>
      </c>
      <c r="K422" s="80" t="str">
        <f>IFERROR((I422+J422),"")</f>
        <v/>
      </c>
      <c r="L422" s="7">
        <f>IFERROR((G422*H422),"")</f>
        <v>0</v>
      </c>
      <c r="M422" s="8" t="str">
        <f>IFERROR(K422-L422,"")</f>
        <v/>
      </c>
      <c r="N422" s="57" t="str">
        <f>IFERROR((K422/H422),"")</f>
        <v/>
      </c>
      <c r="O422" s="9"/>
      <c r="P422" s="10"/>
      <c r="Q422" s="10">
        <v>30200</v>
      </c>
      <c r="R422" s="10">
        <f>O422*P422*Q422</f>
        <v>0</v>
      </c>
      <c r="S422" s="41">
        <f>SUM(Y422,T422:X422)</f>
        <v>0</v>
      </c>
      <c r="T422" s="173"/>
      <c r="U422" s="173"/>
      <c r="V422" s="173"/>
      <c r="W422" s="173"/>
      <c r="X422" s="173"/>
      <c r="Y422" s="220"/>
      <c r="Z422" s="1"/>
      <c r="AA422" s="206">
        <f>IFERROR(H422*7.5/E422/7,"")</f>
        <v>0</v>
      </c>
    </row>
    <row r="423" spans="1:27" hidden="1" ns3:dyDescent="0.3">
      <c r="A423" s="272" t="s">
        <v>667</v>
      </c>
      <c r="B423" s="15">
        <f>ROUNDUP(HLOOKUP(A423,'야채 계산기'!$2:$3,2,0)*1.03,0)</f>
        <v>0</v>
      </c>
      <c r="C423" s="164">
        <v>36.81</v>
      </c>
      <c r="D423" s="166" t="str">
        <f t="shared" ref="D423" si="662">IFERROR((F423/E423),"")</f>
        <v/>
      </c>
      <c r="E423" s="4"/>
      <c r="F423" s="17"/>
      <c r="G423" s="5"/>
      <c r="H423" s="6"/>
      <c r="I423" s="34">
        <f t="shared" ref="I423" si="663">IFERROR((S423*E423),"")</f>
        <v>0</v>
      </c>
      <c r="J423" s="78" t="str">
        <f>IFERROR(VLOOKUP(C423,[2]Sheet1!$D:$J,7,0),"")</f>
        <v/>
      </c>
      <c r="K423" s="80" t="str">
        <f t="shared" ref="K423" si="664">IFERROR((I423+J423),"")</f>
        <v/>
      </c>
      <c r="L423" s="7">
        <f t="shared" ref="L423" si="665">IFERROR((G423*H423),"")</f>
        <v>0</v>
      </c>
      <c r="M423" s="8" t="str">
        <f t="shared" ref="M423" si="666">IFERROR(K423-L423,"")</f>
        <v/>
      </c>
      <c r="N423" s="57"/>
      <c r="O423" s="9"/>
      <c r="P423" s="10"/>
      <c r="Q423" s="10"/>
      <c r="R423" s="10">
        <f t="shared" ref="R423" si="667">O423*P423*Q423</f>
        <v>0</v>
      </c>
      <c r="S423" s="41">
        <f>SUM(Y423,T423:X423)</f>
        <v>0</v>
      </c>
      <c r="Y423" s="42"/>
      <c r="Z423" s="1"/>
      <c r="AA423" s="206" t="str">
        <f>IFERROR(H423*7.5/E423/7,"")</f>
        <v/>
      </c>
    </row>
    <row r="424" spans="1:27" ns3:dyDescent="0.3">
      <c r="A424" s="59"/>
      <c r="B424" s="11"/>
      <c r="C424" s="164" t="s">
        <v>304</v>
      </c>
      <c r="D424" s="166">
        <f t="shared" si="655"/>
        <v>-20.5</v>
      </c>
      <c r="E424" s="4">
        <v>1</v>
      </c>
      <c r="F424" s="3">
        <f>IFERROR((L424-K424),"")</f>
        <v>-20.5</v>
      </c>
      <c r="G424" s="5">
        <v>4.5</v>
      </c>
      <c r="H424" s="6">
        <f>ROUNDUP(SUMPRODUCT(B425:B437,C425:C437)/10000,1)</f>
        <v>29</v>
      </c>
      <c r="I424" s="34">
        <f t="shared" ref="I424:I439" si="668">IFERROR((S424*E424),"")</f>
        <v>80</v>
      </c>
      <c r="J424" s="78">
        <f>IFERROR(VLOOKUP(C424,[2]Sheet1!$D:$J,7,0),"")</f>
        <v>71</v>
      </c>
      <c r="K424" s="80">
        <f t="shared" ref="K424:K439" si="669">IFERROR((I424+J424),"")</f>
        <v>151</v>
      </c>
      <c r="L424" s="7">
        <f t="shared" ref="L424:L439" si="670">IFERROR((G424*H424),"")</f>
        <v>130.5</v>
      </c>
      <c r="M424" s="8">
        <f t="shared" ref="M424:M439" si="671">IFERROR(K424-L424,"")</f>
        <v>20.5</v>
      </c>
      <c r="N424" s="57">
        <f t="shared" si="660"/>
        <v>5.2068965517241379</v>
      </c>
      <c r="O424" s="9"/>
      <c r="P424" s="10"/>
      <c r="Q424" s="10">
        <v>26880</v>
      </c>
      <c r="R424" s="10">
        <f t="shared" si="661"/>
        <v>0</v>
      </c>
      <c r="S424" s="41">
        <f t="shared" si="622"/>
        <v>80</v>
      </c>
      <c r="T424" s="173">
        <v>20</v>
      </c>
      <c r="U424" s="173">
        <v>30</v>
      </c>
      <c r="V424" s="173">
        <v>30</v>
      </c>
      <c r="W424" s="173"/>
      <c r="X424" s="173"/>
      <c r="Y424" s="220"/>
      <c r="Z424" s="1"/>
      <c r="AA424" s="206">
        <f t="shared" si="554"/>
        <v>31.071428571428573</v>
      </c>
    </row>
    <row r="425" spans="1:27" ns3:dyDescent="0.3">
      <c r="A425" s="59" t="s">
        <v>303</v>
      </c>
      <c r="B425" s="150">
        <f>ROUNDUP(HLOOKUP(A425,'야채 계산기'!$2:$3,2,0),0)</f>
        <v>3620</v>
      </c>
      <c r="C425" s="164">
        <v>8.98</v>
      </c>
      <c r="D425" s="166" t="str">
        <f t="shared" si="655"/>
        <v/>
      </c>
      <c r="E425" s="4"/>
      <c r="F425" s="3"/>
      <c r="G425" s="5"/>
      <c r="H425" s="6"/>
      <c r="I425" s="34">
        <f t="shared" si="668"/>
        <v>0</v>
      </c>
      <c r="J425" s="78" t="str">
        <f>IFERROR(VLOOKUP(C425,[2]Sheet1!$D:$J,7,0),"")</f>
        <v/>
      </c>
      <c r="K425" s="80" t="str">
        <f t="shared" si="669"/>
        <v/>
      </c>
      <c r="L425" s="7">
        <f t="shared" si="670"/>
        <v>0</v>
      </c>
      <c r="M425" s="8" t="str">
        <f t="shared" si="671"/>
        <v/>
      </c>
      <c r="N425" s="57" t="str">
        <f t="shared" si="660"/>
        <v/>
      </c>
      <c r="O425" s="9"/>
      <c r="P425" s="10"/>
      <c r="Q425" s="10"/>
      <c r="R425" s="10">
        <f t="shared" si="661"/>
        <v>0</v>
      </c>
      <c r="S425" s="41">
        <f t="shared" si="622"/>
        <v>0</v>
      </c>
      <c r="Y425" s="42"/>
      <c r="Z425" s="1"/>
      <c r="AA425" s="206" t="str">
        <f t="shared" si="554"/>
        <v/>
      </c>
    </row>
    <row r="426" spans="1:27" ns3:dyDescent="0.3">
      <c r="A426" s="59" t="s">
        <v>491</v>
      </c>
      <c r="B426" s="150">
        <f>ROUNDUP(HLOOKUP(A426,'야채 계산기'!$2:$3,2,0),0)</f>
        <v>4420</v>
      </c>
      <c r="C426" s="164">
        <v>5.39</v>
      </c>
      <c r="D426" s="166" t="str">
        <f t="shared" si="655"/>
        <v/>
      </c>
      <c r="E426" s="4"/>
      <c r="F426" s="3"/>
      <c r="G426" s="5"/>
      <c r="H426" s="6"/>
      <c r="I426" s="34">
        <f t="shared" si="668"/>
        <v>0</v>
      </c>
      <c r="J426" s="78" t="str">
        <f>IFERROR(VLOOKUP(C426,[2]Sheet1!$D:$J,7,0),"")</f>
        <v/>
      </c>
      <c r="K426" s="80" t="str">
        <f t="shared" si="669"/>
        <v/>
      </c>
      <c r="L426" s="7">
        <f t="shared" si="670"/>
        <v>0</v>
      </c>
      <c r="M426" s="8" t="str">
        <f t="shared" si="671"/>
        <v/>
      </c>
      <c r="N426" s="57" t="str">
        <f t="shared" si="660"/>
        <v/>
      </c>
      <c r="O426" s="9"/>
      <c r="P426" s="10"/>
      <c r="Q426" s="10"/>
      <c r="R426" s="10">
        <f t="shared" si="661"/>
        <v>0</v>
      </c>
      <c r="S426" s="41">
        <f t="shared" si="622"/>
        <v>0</v>
      </c>
      <c r="Y426" s="42"/>
      <c r="Z426" s="1"/>
      <c r="AA426" s="206" t="str">
        <f t="shared" si="554"/>
        <v/>
      </c>
    </row>
    <row r="427" spans="1:27" ns3:dyDescent="0.3">
      <c r="A427" s="59" t="s">
        <v>305</v>
      </c>
      <c r="B427" s="150">
        <f>ROUNDUP(HLOOKUP(A427,'야채 계산기'!$2:$3,2,0),0)</f>
        <v>4900</v>
      </c>
      <c r="C427" s="164">
        <v>9.56</v>
      </c>
      <c r="D427" s="166" t="str">
        <f t="shared" si="655"/>
        <v/>
      </c>
      <c r="E427" s="4"/>
      <c r="F427" s="3"/>
      <c r="G427" s="5"/>
      <c r="H427" s="6"/>
      <c r="I427" s="34">
        <f t="shared" si="668"/>
        <v>0</v>
      </c>
      <c r="J427" s="78" t="str">
        <f>IFERROR(VLOOKUP(C427,[2]Sheet1!$D:$J,7,0),"")</f>
        <v/>
      </c>
      <c r="K427" s="80" t="str">
        <f t="shared" si="669"/>
        <v/>
      </c>
      <c r="L427" s="7">
        <f t="shared" si="670"/>
        <v>0</v>
      </c>
      <c r="M427" s="8" t="str">
        <f t="shared" si="671"/>
        <v/>
      </c>
      <c r="N427" s="57" t="str">
        <f t="shared" si="660"/>
        <v/>
      </c>
      <c r="O427" s="9"/>
      <c r="P427" s="10"/>
      <c r="Q427" s="10"/>
      <c r="R427" s="10">
        <f t="shared" si="661"/>
        <v>0</v>
      </c>
      <c r="S427" s="41">
        <f t="shared" si="622"/>
        <v>0</v>
      </c>
      <c r="Y427" s="42"/>
      <c r="Z427" s="1"/>
      <c r="AA427" s="206" t="str">
        <f t="shared" si="554"/>
        <v/>
      </c>
    </row>
    <row r="428" spans="1:27" ns3:dyDescent="0.3">
      <c r="A428" s="59" t="s">
        <v>268</v>
      </c>
      <c r="B428" s="150">
        <f>ROUNDUP(HLOOKUP(A428,'야채 계산기'!$2:$3,2,0),0)</f>
        <v>1100</v>
      </c>
      <c r="C428" s="164">
        <v>11.34</v>
      </c>
      <c r="D428" s="166" t="str">
        <f t="shared" si="655"/>
        <v/>
      </c>
      <c r="E428" s="4"/>
      <c r="F428" s="3"/>
      <c r="G428" s="5"/>
      <c r="H428" s="6"/>
      <c r="I428" s="34">
        <f>IFERROR((S428*E428),"")</f>
        <v>0</v>
      </c>
      <c r="J428" s="78" t="str">
        <f>IFERROR(VLOOKUP(C428,[2]Sheet1!$D:$J,7,0),"")</f>
        <v/>
      </c>
      <c r="K428" s="80" t="str">
        <f>IFERROR((I428+J428),"")</f>
        <v/>
      </c>
      <c r="L428" s="7">
        <f>IFERROR((G428*H428),"")</f>
        <v>0</v>
      </c>
      <c r="M428" s="8" t="str">
        <f>IFERROR(K428-L428,"")</f>
        <v/>
      </c>
      <c r="N428" s="57" t="str">
        <f t="shared" si="660"/>
        <v/>
      </c>
      <c r="O428" s="9"/>
      <c r="P428" s="10"/>
      <c r="Q428" s="10"/>
      <c r="R428" s="10">
        <f t="shared" si="661"/>
        <v>0</v>
      </c>
      <c r="S428" s="41">
        <f t="shared" si="622"/>
        <v>0</v>
      </c>
      <c r="Y428" s="42"/>
      <c r="Z428" s="1"/>
      <c r="AA428" s="206" t="str">
        <f t="shared" ref="AA428:AA505" si="672">IFERROR(H428*7.5/E428/7,"")</f>
        <v/>
      </c>
    </row>
    <row r="429" spans="1:27" ns3:dyDescent="0.3">
      <c r="A429" s="59" t="s">
        <v>209</v>
      </c>
      <c r="B429" s="150">
        <f>ROUNDUP(HLOOKUP(A429,'야채 계산기'!$2:$3,2,0),0)</f>
        <v>104</v>
      </c>
      <c r="C429" s="62">
        <v>9.6999999999999993</v>
      </c>
      <c r="D429" s="166" t="str">
        <f t="shared" si="655"/>
        <v/>
      </c>
      <c r="E429" s="4"/>
      <c r="F429" s="3"/>
      <c r="G429" s="5"/>
      <c r="H429" s="6"/>
      <c r="I429" s="34">
        <f t="shared" si="668"/>
        <v>0</v>
      </c>
      <c r="J429" s="78" t="str">
        <f>IFERROR(VLOOKUP(C429,[2]Sheet1!$D:$J,7,0),"")</f>
        <v/>
      </c>
      <c r="K429" s="80" t="str">
        <f t="shared" si="669"/>
        <v/>
      </c>
      <c r="L429" s="7">
        <f t="shared" si="670"/>
        <v>0</v>
      </c>
      <c r="M429" s="8" t="str">
        <f t="shared" si="671"/>
        <v/>
      </c>
      <c r="N429" s="57" t="str">
        <f t="shared" si="660"/>
        <v/>
      </c>
      <c r="O429" s="9"/>
      <c r="P429" s="10"/>
      <c r="Q429" s="10"/>
      <c r="R429" s="10">
        <f t="shared" si="661"/>
        <v>0</v>
      </c>
      <c r="S429" s="41">
        <f t="shared" si="622"/>
        <v>0</v>
      </c>
      <c r="Y429" s="42"/>
      <c r="Z429" s="1"/>
      <c r="AA429" s="206" t="str">
        <f t="shared" si="672"/>
        <v/>
      </c>
    </row>
    <row r="430" spans="1:27" ns3:dyDescent="0.3">
      <c r="A430" s="59" t="s">
        <v>318</v>
      </c>
      <c r="B430" s="150">
        <f>ROUNDUP(HLOOKUP(A430,'야채 계산기'!$2:$3,2,0),0)</f>
        <v>6030</v>
      </c>
      <c r="C430" s="62">
        <v>12.62</v>
      </c>
      <c r="D430" s="166" t="str">
        <f t="shared" si="655"/>
        <v/>
      </c>
      <c r="E430" s="4"/>
      <c r="F430" s="3"/>
      <c r="G430" s="5"/>
      <c r="H430" s="6"/>
      <c r="I430" s="34">
        <f>IFERROR((S430*E430),"")</f>
        <v>0</v>
      </c>
      <c r="J430" s="78" t="str">
        <f>IFERROR(VLOOKUP(C430,[2]Sheet1!$D:$J,7,0),"")</f>
        <v/>
      </c>
      <c r="K430" s="80" t="str">
        <f>IFERROR((I430+J430),"")</f>
        <v/>
      </c>
      <c r="L430" s="7">
        <f>IFERROR((G430*H430),"")</f>
        <v>0</v>
      </c>
      <c r="M430" s="8" t="str">
        <f>IFERROR(K430-L430,"")</f>
        <v/>
      </c>
      <c r="N430" s="57" t="str">
        <f t="shared" si="660"/>
        <v/>
      </c>
      <c r="O430" s="9"/>
      <c r="P430" s="10"/>
      <c r="Q430" s="10"/>
      <c r="R430" s="10">
        <f t="shared" si="661"/>
        <v>0</v>
      </c>
      <c r="S430" s="41">
        <f t="shared" si="622"/>
        <v>0</v>
      </c>
      <c r="Y430" s="42"/>
      <c r="Z430" s="1"/>
      <c r="AA430" s="206" t="str">
        <f t="shared" si="672"/>
        <v/>
      </c>
    </row>
    <row r="431" spans="1:27" ns3:dyDescent="0.3">
      <c r="A431" s="11" t="s">
        <v>317</v>
      </c>
      <c r="B431" s="150">
        <f>ROUNDUP(HLOOKUP(A431,'야채 계산기'!$2:$3,2,0),0)</f>
        <v>170</v>
      </c>
      <c r="C431" s="62">
        <v>19.05</v>
      </c>
      <c r="D431" s="166" t="str">
        <f t="shared" si="655"/>
        <v/>
      </c>
      <c r="E431" s="4"/>
      <c r="F431" s="3"/>
      <c r="G431" s="5"/>
      <c r="H431" s="6"/>
      <c r="I431" s="34">
        <f>IFERROR((S431*E431),"")</f>
        <v>0</v>
      </c>
      <c r="J431" s="78" t="str">
        <f>IFERROR(VLOOKUP(C431,[2]Sheet1!$D:$J,7,0),"")</f>
        <v/>
      </c>
      <c r="K431" s="80" t="str">
        <f>IFERROR((I431+J431),"")</f>
        <v/>
      </c>
      <c r="L431" s="7">
        <f>IFERROR((G431*H431),"")</f>
        <v>0</v>
      </c>
      <c r="M431" s="8" t="str">
        <f>IFERROR(K431-L431,"")</f>
        <v/>
      </c>
      <c r="N431" s="57" t="str">
        <f t="shared" si="660"/>
        <v/>
      </c>
      <c r="O431" s="9"/>
      <c r="P431" s="10"/>
      <c r="Q431" s="10"/>
      <c r="R431" s="10">
        <f t="shared" si="661"/>
        <v>0</v>
      </c>
      <c r="S431" s="41">
        <f t="shared" si="622"/>
        <v>0</v>
      </c>
      <c r="Y431" s="42"/>
      <c r="Z431" s="1"/>
      <c r="AA431" s="206" t="str">
        <f t="shared" si="672"/>
        <v/>
      </c>
    </row>
    <row r="432" spans="1:27" ns3:dyDescent="0.3">
      <c r="A432" s="59" t="s">
        <v>830</v>
      </c>
      <c r="B432" s="150">
        <f>ROUNDUP(HLOOKUP(A432,'야채 계산기'!$2:$3,2,0),0)</f>
        <v>1340</v>
      </c>
      <c r="C432" s="62">
        <v>9.69</v>
      </c>
      <c r="D432" s="166" t="str">
        <f t="shared" ref="D432:D437" si="673">IFERROR((F432/E432),"")</f>
        <v/>
      </c>
      <c r="E432" s="4"/>
      <c r="F432" s="3"/>
      <c r="G432" s="5"/>
      <c r="H432" s="6"/>
      <c r="I432" s="34">
        <f t="shared" ref="I432:I437" si="674">IFERROR((S432*E432),"")</f>
        <v>0</v>
      </c>
      <c r="J432" s="78" t="str">
        <f>IFERROR(VLOOKUP(C432,[2]Sheet1!$D:$J,7,0),"")</f>
        <v/>
      </c>
      <c r="K432" s="80" t="str">
        <f t="shared" ref="K432:K437" si="675">IFERROR((I432+J432),"")</f>
        <v/>
      </c>
      <c r="L432" s="7">
        <f t="shared" ref="L432:L437" si="676">IFERROR((G432*H432),"")</f>
        <v>0</v>
      </c>
      <c r="M432" s="8" t="str">
        <f t="shared" ref="M432:M437" si="677">IFERROR(K432-L432,"")</f>
        <v/>
      </c>
      <c r="N432" s="57" t="str">
        <f t="shared" ref="N432:N437" si="678">IFERROR((K432/H432),"")</f>
        <v/>
      </c>
      <c r="O432" s="9"/>
      <c r="P432" s="10"/>
      <c r="Q432" s="10"/>
      <c r="R432" s="10">
        <f t="shared" ref="R432:R437" si="679">O432*P432*Q432</f>
        <v>0</v>
      </c>
      <c r="S432" s="41">
        <f t="shared" si="622"/>
        <v>0</v>
      </c>
      <c r="Y432" s="42"/>
      <c r="Z432" s="1"/>
      <c r="AA432" s="206" t="str">
        <f t="shared" si="672"/>
        <v/>
      </c>
    </row>
    <row r="433" spans="1:27" ns3:dyDescent="0.3">
      <c r="A433" s="59" t="s">
        <v>831</v>
      </c>
      <c r="B433" s="150">
        <f>ROUNDUP(HLOOKUP(A433,'야채 계산기'!$2:$3,2,0),0)</f>
        <v>1780</v>
      </c>
      <c r="C433" s="62">
        <v>22.17</v>
      </c>
      <c r="D433" s="166" t="str">
        <f t="shared" si="673"/>
        <v/>
      </c>
      <c r="E433" s="4"/>
      <c r="F433" s="3"/>
      <c r="G433" s="5"/>
      <c r="H433" s="6"/>
      <c r="I433" s="34">
        <f t="shared" si="674"/>
        <v>0</v>
      </c>
      <c r="J433" s="78" t="str">
        <f>IFERROR(VLOOKUP(C433,[2]Sheet1!$D:$J,7,0),"")</f>
        <v/>
      </c>
      <c r="K433" s="80" t="str">
        <f t="shared" si="675"/>
        <v/>
      </c>
      <c r="L433" s="7">
        <f t="shared" si="676"/>
        <v>0</v>
      </c>
      <c r="M433" s="8" t="str">
        <f t="shared" si="677"/>
        <v/>
      </c>
      <c r="N433" s="57" t="str">
        <f t="shared" si="678"/>
        <v/>
      </c>
      <c r="O433" s="9"/>
      <c r="P433" s="10"/>
      <c r="Q433" s="10"/>
      <c r="R433" s="10">
        <f t="shared" si="679"/>
        <v>0</v>
      </c>
      <c r="S433" s="41">
        <f t="shared" si="622"/>
        <v>0</v>
      </c>
      <c r="Y433" s="42"/>
      <c r="Z433" s="1"/>
      <c r="AA433" s="206" t="str">
        <f t="shared" si="672"/>
        <v/>
      </c>
    </row>
    <row r="434" spans="1:27" ns3:dyDescent="0.3">
      <c r="A434" s="59" t="s">
        <v>575</v>
      </c>
      <c r="B434" s="150">
        <f>ROUNDUP(HLOOKUP(A434,'야채 계산기'!$2:$3,2,0),0)</f>
        <v>1100</v>
      </c>
      <c r="C434" s="62">
        <v>5.39</v>
      </c>
      <c r="D434" s="166" t="str">
        <f t="shared" ref="D434:D436" si="680">IFERROR((F434/E434),"")</f>
        <v/>
      </c>
      <c r="E434" s="4"/>
      <c r="F434" s="3"/>
      <c r="G434" s="5"/>
      <c r="H434" s="6"/>
      <c r="I434" s="34">
        <f t="shared" ref="I434:I436" si="681">IFERROR((S434*E434),"")</f>
        <v>0</v>
      </c>
      <c r="J434" s="78" t="str">
        <f>IFERROR(VLOOKUP(C434,[2]Sheet1!$D:$J,7,0),"")</f>
        <v/>
      </c>
      <c r="K434" s="80" t="str">
        <f t="shared" ref="K434:K436" si="682">IFERROR((I434+J434),"")</f>
        <v/>
      </c>
      <c r="L434" s="7">
        <f t="shared" ref="L434:L436" si="683">IFERROR((G434*H434),"")</f>
        <v>0</v>
      </c>
      <c r="M434" s="8" t="str">
        <f t="shared" ref="M434:M436" si="684">IFERROR(K434-L434,"")</f>
        <v/>
      </c>
      <c r="N434" s="57" t="str">
        <f t="shared" ref="N434:N436" si="685">IFERROR((K434/H434),"")</f>
        <v/>
      </c>
      <c r="O434" s="9"/>
      <c r="P434" s="10"/>
      <c r="Q434" s="10"/>
      <c r="R434" s="10">
        <f t="shared" ref="R434:R436" si="686">O434*P434*Q434</f>
        <v>0</v>
      </c>
      <c r="S434" s="41">
        <f t="shared" si="622"/>
        <v>0</v>
      </c>
      <c r="Y434" s="42"/>
      <c r="Z434" s="1"/>
      <c r="AA434" s="206" t="str">
        <f t="shared" si="672"/>
        <v/>
      </c>
    </row>
    <row r="435" spans="1:27" ns3:dyDescent="0.3">
      <c r="A435" s="59" t="s">
        <v>832</v>
      </c>
      <c r="B435" s="150">
        <f>ROUNDUP(HLOOKUP(A435,'야채 계산기'!$2:$3,2,0),0)</f>
        <v>1820</v>
      </c>
      <c r="C435" s="62">
        <v>19.329999999999998</v>
      </c>
      <c r="D435" s="166" t="str">
        <f t="shared" si="680"/>
        <v/>
      </c>
      <c r="E435" s="4"/>
      <c r="F435" s="3"/>
      <c r="G435" s="5"/>
      <c r="H435" s="6"/>
      <c r="I435" s="34">
        <f t="shared" si="681"/>
        <v>0</v>
      </c>
      <c r="J435" s="78" t="str">
        <f>IFERROR(VLOOKUP(C435,[2]Sheet1!$D:$J,7,0),"")</f>
        <v/>
      </c>
      <c r="K435" s="80" t="str">
        <f t="shared" si="682"/>
        <v/>
      </c>
      <c r="L435" s="7">
        <f t="shared" si="683"/>
        <v>0</v>
      </c>
      <c r="M435" s="8" t="str">
        <f t="shared" si="684"/>
        <v/>
      </c>
      <c r="N435" s="57" t="str">
        <f t="shared" si="685"/>
        <v/>
      </c>
      <c r="O435" s="9"/>
      <c r="P435" s="10"/>
      <c r="Q435" s="10"/>
      <c r="R435" s="10">
        <f t="shared" si="686"/>
        <v>0</v>
      </c>
      <c r="S435" s="41">
        <f t="shared" si="622"/>
        <v>0</v>
      </c>
      <c r="Y435" s="42"/>
      <c r="Z435" s="1"/>
      <c r="AA435" s="206" t="str">
        <f t="shared" si="672"/>
        <v/>
      </c>
    </row>
    <row r="436" spans="1:27" ns3:dyDescent="0.3">
      <c r="A436" s="248" t="s">
        <v>914</v>
      </c>
      <c r="B436" s="150">
        <f>ROUNDUP(HLOOKUP(A436,'야채 계산기'!$2:$3,2,0),0)</f>
        <v>0</v>
      </c>
      <c r="C436" s="62">
        <v>10.47</v>
      </c>
      <c r="D436" s="166" t="str">
        <f t="shared" si="680"/>
        <v/>
      </c>
      <c r="E436" s="4"/>
      <c r="F436" s="3"/>
      <c r="G436" s="5"/>
      <c r="H436" s="6"/>
      <c r="I436" s="34">
        <f t="shared" si="681"/>
        <v>0</v>
      </c>
      <c r="J436" s="78" t="str">
        <f>IFERROR(VLOOKUP(C436,[2]Sheet1!$D:$J,7,0),"")</f>
        <v/>
      </c>
      <c r="K436" s="80" t="str">
        <f t="shared" si="682"/>
        <v/>
      </c>
      <c r="L436" s="7">
        <f t="shared" si="683"/>
        <v>0</v>
      </c>
      <c r="M436" s="8" t="str">
        <f t="shared" si="684"/>
        <v/>
      </c>
      <c r="N436" s="57" t="str">
        <f t="shared" si="685"/>
        <v/>
      </c>
      <c r="O436" s="9"/>
      <c r="P436" s="10"/>
      <c r="Q436" s="10"/>
      <c r="R436" s="10">
        <f t="shared" si="686"/>
        <v>0</v>
      </c>
      <c r="S436" s="41">
        <f t="shared" si="622"/>
        <v>0</v>
      </c>
      <c r="Y436" s="42"/>
      <c r="Z436" s="1"/>
      <c r="AA436" s="206" t="str">
        <f t="shared" si="672"/>
        <v/>
      </c>
    </row>
    <row r="437" spans="1:27" ns3:dyDescent="0.3">
      <c r="A437" s="248" t="s">
        <v>915</v>
      </c>
      <c r="B437" s="150">
        <f>ROUNDUP(HLOOKUP(A437,'야채 계산기'!$2:$3,2,0),0)</f>
        <v>0</v>
      </c>
      <c r="C437" s="62">
        <v>8.26</v>
      </c>
      <c r="D437" s="166" t="str">
        <f t="shared" si="673"/>
        <v/>
      </c>
      <c r="E437" s="4"/>
      <c r="F437" s="3"/>
      <c r="G437" s="5"/>
      <c r="H437" s="6"/>
      <c r="I437" s="34">
        <f t="shared" si="674"/>
        <v>0</v>
      </c>
      <c r="J437" s="78" t="str">
        <f>IFERROR(VLOOKUP(C437,[2]Sheet1!$D:$J,7,0),"")</f>
        <v/>
      </c>
      <c r="K437" s="80" t="str">
        <f t="shared" si="675"/>
        <v/>
      </c>
      <c r="L437" s="7">
        <f t="shared" si="676"/>
        <v>0</v>
      </c>
      <c r="M437" s="8" t="str">
        <f t="shared" si="677"/>
        <v/>
      </c>
      <c r="N437" s="57" t="str">
        <f t="shared" si="678"/>
        <v/>
      </c>
      <c r="O437" s="9"/>
      <c r="P437" s="10"/>
      <c r="Q437" s="10"/>
      <c r="R437" s="10">
        <f t="shared" si="679"/>
        <v>0</v>
      </c>
      <c r="S437" s="41">
        <f t="shared" ref="S437" si="687">SUM(Y437,T437:X437)</f>
        <v>0</v>
      </c>
      <c r="Y437" s="42"/>
      <c r="Z437" s="1"/>
      <c r="AA437" s="206" t="str">
        <f t="shared" ref="AA437" si="688">IFERROR(H437*7.5/E437/7,"")</f>
        <v/>
      </c>
    </row>
    <row r="438" spans="1:27" ns3:dyDescent="0.3">
      <c r="A438" s="59"/>
      <c r="B438" s="11"/>
      <c r="C438" s="164" t="s">
        <v>212</v>
      </c>
      <c r="D438" s="166">
        <f t="shared" ref="D438:D443" si="689">IFERROR((F438/E438),"")</f>
        <v>-1.0555555555555556</v>
      </c>
      <c r="E438" s="4">
        <v>9</v>
      </c>
      <c r="F438" s="3">
        <f>IFERROR((L438-K438),"")</f>
        <v>-9.5</v>
      </c>
      <c r="G438" s="5">
        <f>G424</f>
        <v>4.5</v>
      </c>
      <c r="H438" s="6">
        <f>ROUNDUP(SUMPRODUCT(B439:B440,C439:C440)/1358,1)</f>
        <v>3</v>
      </c>
      <c r="I438" s="34">
        <f t="shared" si="668"/>
        <v>0</v>
      </c>
      <c r="J438" s="78">
        <f>IFERROR(VLOOKUP(C438,[2]Sheet1!$D:$J,7,0),"")</f>
        <v>23</v>
      </c>
      <c r="K438" s="80">
        <f t="shared" si="669"/>
        <v>23</v>
      </c>
      <c r="L438" s="7">
        <f t="shared" si="670"/>
        <v>13.5</v>
      </c>
      <c r="M438" s="8">
        <f t="shared" si="671"/>
        <v>9.5</v>
      </c>
      <c r="N438" s="57">
        <f t="shared" si="660"/>
        <v>7.666666666666667</v>
      </c>
      <c r="O438" s="9"/>
      <c r="P438" s="10"/>
      <c r="Q438" s="10">
        <v>8199</v>
      </c>
      <c r="R438" s="10">
        <f t="shared" ref="R438:R443" si="690">O438*P438*Q438</f>
        <v>0</v>
      </c>
      <c r="S438" s="41">
        <f t="shared" si="622"/>
        <v>0</v>
      </c>
      <c r="T438" s="173"/>
      <c r="U438" s="173"/>
      <c r="V438" s="173"/>
      <c r="W438" s="173"/>
      <c r="X438" s="173"/>
      <c r="Y438" s="220"/>
      <c r="Z438" s="1"/>
      <c r="AA438" s="206">
        <f t="shared" si="672"/>
        <v>0.35714285714285715</v>
      </c>
    </row>
    <row r="439" spans="1:27" ns3:dyDescent="0.3">
      <c r="A439" s="59" t="s">
        <v>833</v>
      </c>
      <c r="B439" s="150">
        <f>ROUNDUP(HLOOKUP(A439,'야채 계산기'!$2:$3,2,0)*1.03,0)</f>
        <v>2266</v>
      </c>
      <c r="C439" s="62">
        <f>'[1]혜자)돌아온 명불허전(25.8.12)'!$B$9</f>
        <v>1.75</v>
      </c>
      <c r="D439" s="166" t="str">
        <f t="shared" si="689"/>
        <v/>
      </c>
      <c r="E439" s="4"/>
      <c r="F439" s="3"/>
      <c r="G439" s="5"/>
      <c r="H439" s="6"/>
      <c r="I439" s="34">
        <f t="shared" si="668"/>
        <v>0</v>
      </c>
      <c r="J439" s="78" t="str">
        <f>IFERROR(VLOOKUP(C439,[2]Sheet1!$D:$J,7,0),"")</f>
        <v/>
      </c>
      <c r="K439" s="80" t="str">
        <f t="shared" si="669"/>
        <v/>
      </c>
      <c r="L439" s="7">
        <f t="shared" si="670"/>
        <v>0</v>
      </c>
      <c r="M439" s="8" t="str">
        <f t="shared" si="671"/>
        <v/>
      </c>
      <c r="N439" s="57" t="str">
        <f t="shared" si="660"/>
        <v/>
      </c>
      <c r="O439" s="9"/>
      <c r="P439" s="10"/>
      <c r="Q439" s="10"/>
      <c r="R439" s="10">
        <f t="shared" si="690"/>
        <v>0</v>
      </c>
      <c r="S439" s="41">
        <f t="shared" si="622"/>
        <v>0</v>
      </c>
      <c r="Y439" s="42"/>
      <c r="Z439" s="1"/>
      <c r="AA439" s="206" t="str">
        <f t="shared" si="672"/>
        <v/>
      </c>
    </row>
    <row r="440" spans="1:27" ns3:dyDescent="0.3">
      <c r="A440" s="59" t="s">
        <v>834</v>
      </c>
      <c r="B440" s="150">
        <f>ROUNDUP(HLOOKUP(A440,'야채 계산기'!$2:$3,2,0)*1.03,0)</f>
        <v>0</v>
      </c>
      <c r="C440" s="62">
        <f>'[1]혜자)직화불고기&amp;오징어제육(25.9.16)'!$B$15</f>
        <v>2.73</v>
      </c>
      <c r="D440" s="166" t="str">
        <f t="shared" si="689"/>
        <v/>
      </c>
      <c r="E440" s="4"/>
      <c r="F440" s="3"/>
      <c r="G440" s="5"/>
      <c r="H440" s="6"/>
      <c r="I440" s="34">
        <f>IFERROR((S440*E440),"")</f>
        <v>0</v>
      </c>
      <c r="J440" s="78" t="str">
        <f>IFERROR(VLOOKUP(C440,[2]Sheet1!$D:$J,7,0),"")</f>
        <v/>
      </c>
      <c r="K440" s="80" t="str">
        <f t="shared" ref="K440:K443" si="691">IFERROR((I440+J440),"")</f>
        <v/>
      </c>
      <c r="L440" s="7">
        <f>IFERROR((G440*H440),"")</f>
        <v>0</v>
      </c>
      <c r="M440" s="8" t="str">
        <f>IFERROR(K440-L440,"")</f>
        <v/>
      </c>
      <c r="N440" s="57" t="str">
        <f t="shared" si="660"/>
        <v/>
      </c>
      <c r="O440" s="9"/>
      <c r="P440" s="10"/>
      <c r="Q440" s="10"/>
      <c r="R440" s="10">
        <f t="shared" si="690"/>
        <v>0</v>
      </c>
      <c r="S440" s="41">
        <f t="shared" ref="S440:S486" si="692">SUM(Y440,T440:X440)</f>
        <v>0</v>
      </c>
      <c r="Y440" s="42"/>
      <c r="Z440" s="1"/>
      <c r="AA440" s="206" t="str">
        <f t="shared" si="672"/>
        <v/>
      </c>
    </row>
    <row r="441" spans="1:27" ns3:dyDescent="0.3">
      <c r="A441" s="59"/>
      <c r="B441" s="11"/>
      <c r="C441" s="62" t="s">
        <v>207</v>
      </c>
      <c r="D441" s="166">
        <f t="shared" si="689"/>
        <v>-1.3500000000000003</v>
      </c>
      <c r="E441" s="4">
        <v>6</v>
      </c>
      <c r="F441" s="3">
        <f>IFERROR((L441-K441),"")</f>
        <v>-8.1000000000000014</v>
      </c>
      <c r="G441" s="5">
        <f>G438</f>
        <v>4.5</v>
      </c>
      <c r="H441" s="6">
        <f>ROUNDUP((B442*C442+B443*C443)/2000,1)</f>
        <v>6.1999999999999993</v>
      </c>
      <c r="I441" s="34">
        <f t="shared" ref="I441:I444" si="693">IFERROR((S441*E441),"")</f>
        <v>24</v>
      </c>
      <c r="J441" s="78">
        <f>IFERROR(VLOOKUP(C441,[2]Sheet1!$D:$J,7,0),"")</f>
        <v>12</v>
      </c>
      <c r="K441" s="80">
        <f t="shared" si="691"/>
        <v>36</v>
      </c>
      <c r="L441" s="7">
        <f t="shared" ref="L441:L444" si="694">IFERROR((G441*H441),"")</f>
        <v>27.9</v>
      </c>
      <c r="M441" s="8">
        <f t="shared" ref="M441:M444" si="695">IFERROR(K441-L441,"")</f>
        <v>8.1000000000000014</v>
      </c>
      <c r="N441" s="57">
        <f t="shared" si="660"/>
        <v>5.8064516129032269</v>
      </c>
      <c r="O441" s="9"/>
      <c r="P441" s="10"/>
      <c r="Q441" s="10">
        <v>7150</v>
      </c>
      <c r="R441" s="10">
        <f t="shared" si="690"/>
        <v>0</v>
      </c>
      <c r="S441" s="41">
        <f t="shared" si="692"/>
        <v>4</v>
      </c>
      <c r="T441" s="173">
        <v>2</v>
      </c>
      <c r="U441" s="173"/>
      <c r="V441" s="173">
        <v>2</v>
      </c>
      <c r="W441" s="173"/>
      <c r="X441" s="173"/>
      <c r="Y441" s="220"/>
      <c r="Z441" s="1"/>
      <c r="AA441" s="206">
        <f t="shared" si="672"/>
        <v>1.107142857142857</v>
      </c>
    </row>
    <row r="442" spans="1:27" ns3:dyDescent="0.3">
      <c r="A442" s="59" t="s">
        <v>835</v>
      </c>
      <c r="B442" s="15">
        <f>ROUNDUP(HLOOKUP(A442,'야채 계산기'!$2:$3,2,0)*1.03,0)</f>
        <v>2266</v>
      </c>
      <c r="C442" s="164">
        <f>'[1]혜자)돌아온 명불허전(25.8.12)'!$B$24</f>
        <v>5.15</v>
      </c>
      <c r="D442" s="166" t="str">
        <f t="shared" si="689"/>
        <v/>
      </c>
      <c r="E442" s="4"/>
      <c r="F442" s="17"/>
      <c r="G442" s="5"/>
      <c r="H442" s="6"/>
      <c r="I442" s="34">
        <f t="shared" si="693"/>
        <v>0</v>
      </c>
      <c r="J442" s="78" t="str">
        <f>IFERROR(VLOOKUP(C442,[2]Sheet1!$D:$J,7,0),"")</f>
        <v/>
      </c>
      <c r="K442" s="80" t="str">
        <f t="shared" si="691"/>
        <v/>
      </c>
      <c r="L442" s="7">
        <f t="shared" si="694"/>
        <v>0</v>
      </c>
      <c r="M442" s="8" t="str">
        <f t="shared" si="695"/>
        <v/>
      </c>
      <c r="N442" s="57"/>
      <c r="O442" s="9"/>
      <c r="P442" s="10"/>
      <c r="Q442" s="10"/>
      <c r="R442" s="10">
        <f t="shared" si="690"/>
        <v>0</v>
      </c>
      <c r="S442" s="41">
        <f t="shared" si="692"/>
        <v>0</v>
      </c>
      <c r="Y442" s="42"/>
      <c r="Z442" s="1"/>
      <c r="AA442" s="206" t="str">
        <f t="shared" si="672"/>
        <v/>
      </c>
    </row>
    <row r="443" spans="1:27" ns3:dyDescent="0.3">
      <c r="A443" s="59" t="s">
        <v>836</v>
      </c>
      <c r="B443" s="15">
        <f>ROUNDUP(HLOOKUP(A443,'야채 계산기'!$2:$3,2,0)*1.03,0)</f>
        <v>133</v>
      </c>
      <c r="C443" s="164">
        <f>'[1]슈퍼)착한1900핫도그-오리지널(25.09.02)'!$B$8</f>
        <v>5.0999999999999996</v>
      </c>
      <c r="D443" s="166" t="str">
        <f t="shared" si="689"/>
        <v/>
      </c>
      <c r="E443" s="4"/>
      <c r="F443" s="17"/>
      <c r="G443" s="5"/>
      <c r="H443" s="6"/>
      <c r="I443" s="34">
        <f t="shared" si="693"/>
        <v>0</v>
      </c>
      <c r="J443" s="78" t="str">
        <f>IFERROR(VLOOKUP(C443,[2]Sheet1!$D:$J,7,0),"")</f>
        <v/>
      </c>
      <c r="K443" s="80" t="str">
        <f t="shared" si="691"/>
        <v/>
      </c>
      <c r="L443" s="7">
        <f t="shared" si="694"/>
        <v>0</v>
      </c>
      <c r="M443" s="8" t="str">
        <f t="shared" si="695"/>
        <v/>
      </c>
      <c r="N443" s="57"/>
      <c r="O443" s="9"/>
      <c r="P443" s="10"/>
      <c r="Q443" s="10"/>
      <c r="R443" s="10">
        <f t="shared" si="690"/>
        <v>0</v>
      </c>
      <c r="S443" s="41">
        <f t="shared" si="692"/>
        <v>0</v>
      </c>
      <c r="Y443" s="42"/>
      <c r="Z443" s="1"/>
      <c r="AA443" s="206" t="str">
        <f t="shared" si="672"/>
        <v/>
      </c>
    </row>
    <row r="444" spans="1:27" ns3:dyDescent="0.3">
      <c r="A444" s="59"/>
      <c r="B444" s="11"/>
      <c r="C444" s="310" t="s">
        <v>690</v>
      </c>
      <c r="D444" s="166">
        <f>IFERROR((F444/E444),"")</f>
        <v>0.8666666666666667</v>
      </c>
      <c r="E444" s="4">
        <v>6</v>
      </c>
      <c r="F444" s="3">
        <f>IFERROR((L444-K444),"")</f>
        <v>5.2</v>
      </c>
      <c r="G444" s="5">
        <f>G424</f>
        <v>4.5</v>
      </c>
      <c r="H444" s="6">
        <f>ROUNDUP(SUMPRODUCT(B445:B447,C445:C447)/2400,1)</f>
        <v>1.6</v>
      </c>
      <c r="I444" s="34">
        <f t="shared" si="693"/>
        <v>0</v>
      </c>
      <c r="J444" s="78">
        <f>IFERROR(VLOOKUP(C444,[2]Sheet1!$D:$J,7,0),"")</f>
        <v>2</v>
      </c>
      <c r="K444" s="80">
        <f>IFERROR((I444+J444),"")</f>
        <v>2</v>
      </c>
      <c r="L444" s="7">
        <f t="shared" si="694"/>
        <v>7.2</v>
      </c>
      <c r="M444" s="8">
        <f t="shared" si="695"/>
        <v>-5.2</v>
      </c>
      <c r="N444" s="57">
        <f>IFERROR((K444/H444),"")</f>
        <v>1.25</v>
      </c>
      <c r="O444" s="9"/>
      <c r="P444" s="10"/>
      <c r="Q444" s="10">
        <v>10153</v>
      </c>
      <c r="R444" s="10">
        <f>O444*P444*Q444</f>
        <v>0</v>
      </c>
      <c r="S444" s="41">
        <f t="shared" si="692"/>
        <v>0</v>
      </c>
      <c r="T444" s="173"/>
      <c r="U444" s="173"/>
      <c r="V444" s="173"/>
      <c r="W444" s="173"/>
      <c r="X444" s="173"/>
      <c r="Y444" s="220"/>
      <c r="Z444" s="1"/>
      <c r="AA444" s="206">
        <f t="shared" si="672"/>
        <v>0.2857142857142857</v>
      </c>
    </row>
    <row r="445" spans="1:27" ns3:dyDescent="0.3">
      <c r="A445" s="59" t="s">
        <v>835</v>
      </c>
      <c r="B445" s="15">
        <f>ROUNDUP(HLOOKUP(A445,'야채 계산기'!$2:$3,2,0)*1.03,0)</f>
        <v>2266</v>
      </c>
      <c r="C445" s="164">
        <f>'[1]혜자)돌아온 명불허전(25.9.18)리뉴얼'!$B$17</f>
        <v>0.83</v>
      </c>
      <c r="D445" s="166" t="str">
        <f>IFERROR((F445/E445),"")</f>
        <v/>
      </c>
      <c r="E445" s="4"/>
      <c r="F445" s="17"/>
      <c r="G445" s="5"/>
      <c r="H445" s="6"/>
      <c r="I445" s="34">
        <f>IFERROR((S445*E445),"")</f>
        <v>0</v>
      </c>
      <c r="J445" s="78" t="str">
        <f>IFERROR(VLOOKUP(C445,[2]Sheet1!$D:$J,7,0),"")</f>
        <v/>
      </c>
      <c r="K445" s="80" t="str">
        <f>IFERROR((I445+J445),"")</f>
        <v/>
      </c>
      <c r="L445" s="7">
        <f>IFERROR((G445*H445),"")</f>
        <v>0</v>
      </c>
      <c r="M445" s="8" t="str">
        <f>IFERROR(K445-L445,"")</f>
        <v/>
      </c>
      <c r="N445" s="57"/>
      <c r="O445" s="9"/>
      <c r="P445" s="10"/>
      <c r="Q445" s="10"/>
      <c r="R445" s="10">
        <f>O445*P445*Q445</f>
        <v>0</v>
      </c>
      <c r="S445" s="41">
        <f t="shared" si="692"/>
        <v>0</v>
      </c>
      <c r="Y445" s="42"/>
      <c r="Z445" s="1"/>
      <c r="AA445" s="206" t="str">
        <f t="shared" si="672"/>
        <v/>
      </c>
    </row>
    <row r="446" spans="1:27" ns3:dyDescent="0.3">
      <c r="A446" s="59" t="s">
        <v>563</v>
      </c>
      <c r="B446" s="15">
        <f>ROUNDUP(HLOOKUP(A446,'야채 계산기'!$2:$3,2,0)*1.03,0)</f>
        <v>1834</v>
      </c>
      <c r="C446" s="164">
        <f>'[1]혜자)돌아온 명불허전(25.9.18)리뉴얼'!$B$17</f>
        <v>0.83</v>
      </c>
      <c r="D446" s="166" t="str">
        <f>IFERROR((F446/E446),"")</f>
        <v/>
      </c>
      <c r="E446" s="4"/>
      <c r="F446" s="17"/>
      <c r="G446" s="5"/>
      <c r="H446" s="6"/>
      <c r="I446" s="34">
        <f>IFERROR((S446*E446),"")</f>
        <v>0</v>
      </c>
      <c r="J446" s="78" t="str">
        <f>IFERROR(VLOOKUP(C446,[2]Sheet1!$D:$J,7,0),"")</f>
        <v/>
      </c>
      <c r="K446" s="80" t="str">
        <f>IFERROR((I446+J446),"")</f>
        <v/>
      </c>
      <c r="L446" s="7">
        <f>IFERROR((G446*H446),"")</f>
        <v>0</v>
      </c>
      <c r="M446" s="8" t="str">
        <f>IFERROR(K446-L446,"")</f>
        <v/>
      </c>
      <c r="N446" s="57"/>
      <c r="O446" s="9"/>
      <c r="P446" s="10"/>
      <c r="Q446" s="10"/>
      <c r="R446" s="10">
        <f>O446*P446*Q446</f>
        <v>0</v>
      </c>
      <c r="S446" s="41">
        <f t="shared" si="692"/>
        <v>0</v>
      </c>
      <c r="Y446" s="42"/>
      <c r="Z446" s="1"/>
      <c r="AA446" s="206" t="str">
        <f t="shared" si="672"/>
        <v/>
      </c>
    </row>
    <row r="447" spans="1:27" ns3:dyDescent="0.3">
      <c r="A447" s="59" t="s">
        <v>776</v>
      </c>
      <c r="B447" s="15">
        <f>ROUNDUP(HLOOKUP(A447,'야채 계산기'!$2:$3,2,0)*1.03,0)</f>
        <v>567</v>
      </c>
      <c r="C447" s="164">
        <v>0.54</v>
      </c>
      <c r="D447" s="166" t="str">
        <f>IFERROR((F447/E447),"")</f>
        <v/>
      </c>
      <c r="E447" s="4"/>
      <c r="F447" s="17"/>
      <c r="G447" s="5"/>
      <c r="H447" s="6"/>
      <c r="I447" s="34">
        <f>IFERROR((S447*E447),"")</f>
        <v>0</v>
      </c>
      <c r="J447" s="78" t="str">
        <f>IFERROR(VLOOKUP(C447,[2]Sheet1!$D:$J,7,0),"")</f>
        <v/>
      </c>
      <c r="K447" s="80" t="str">
        <f>IFERROR((I447+J447),"")</f>
        <v/>
      </c>
      <c r="L447" s="7">
        <f>IFERROR((G447*H447),"")</f>
        <v>0</v>
      </c>
      <c r="M447" s="8" t="str">
        <f>IFERROR(K447-L447,"")</f>
        <v/>
      </c>
      <c r="N447" s="57"/>
      <c r="O447" s="9"/>
      <c r="P447" s="10"/>
      <c r="Q447" s="10"/>
      <c r="R447" s="10">
        <f>O447*P447*Q447</f>
        <v>0</v>
      </c>
      <c r="S447" s="41">
        <f t="shared" si="692"/>
        <v>0</v>
      </c>
      <c r="Y447" s="42"/>
      <c r="Z447" s="1"/>
      <c r="AA447" s="206" t="str">
        <f t="shared" si="672"/>
        <v/>
      </c>
    </row>
    <row r="448" spans="1:27" hidden="1" ns3:dyDescent="0.3">
      <c r="A448" s="61"/>
      <c r="B448" s="11"/>
      <c r="C448" s="262" t="s">
        <v>196</v>
      </c>
      <c r="D448" s="166">
        <f>IFERROR((F448/E448),"")</f>
        <v>0</v>
      </c>
      <c r="E448" s="4">
        <v>12</v>
      </c>
      <c r="F448" s="3">
        <f>IFERROR((L448-K448),"")</f>
        <v>0</v>
      </c>
      <c r="G448" s="5">
        <f>G442</f>
        <v>0</v>
      </c>
      <c r="H448" s="6">
        <f>ROUNDUP(SUMPRODUCT(B449:B449,C449:C449)/1000,1)</f>
        <v>0</v>
      </c>
      <c r="I448" s="34">
        <f>IFERROR((S448*E448),"")</f>
        <v>0</v>
      </c>
      <c r="J448" s="78">
        <f>IFERROR(VLOOKUP(C448,[2]Sheet1!$D:$J,7,0),"")</f>
        <v>0</v>
      </c>
      <c r="K448" s="80">
        <f>IFERROR((I448+J448),"")</f>
        <v>0</v>
      </c>
      <c r="L448" s="7">
        <f>IFERROR((G448*H448),"")</f>
        <v>0</v>
      </c>
      <c r="M448" s="8">
        <f>IFERROR(K448-L448,"")</f>
        <v>0</v>
      </c>
      <c r="N448" s="57" t="str">
        <f>IFERROR((K448/H448),"")</f>
        <v/>
      </c>
      <c r="O448" s="9"/>
      <c r="P448" s="10"/>
      <c r="Q448" s="10"/>
      <c r="R448" s="10">
        <f>O448*P448*Q448</f>
        <v>0</v>
      </c>
      <c r="S448" s="41">
        <f t="shared" ref="S448:S457" si="696">SUM(Y448,T448:X448)</f>
        <v>0</v>
      </c>
      <c r="Y448" s="180"/>
      <c r="Z448" s="1"/>
      <c r="AA448" s="206">
        <f t="shared" ref="AA448:AA457" si="697">IFERROR(H448*7.5/E448/7,"")</f>
        <v>0</v>
      </c>
    </row>
    <row r="449" spans="1:27" hidden="1" ns3:dyDescent="0.3">
      <c r="A449" s="272" t="s">
        <v>276</v>
      </c>
      <c r="B449" s="15">
        <f>ROUNDUP(HLOOKUP(A449,'야채 계산기'!$2:$3,2,0)*1.03,0)</f>
        <v>0</v>
      </c>
      <c r="C449" s="164">
        <v>2.2799999999999998</v>
      </c>
      <c r="D449" s="166" t="str">
        <f t="shared" ref="D449" si="698">IFERROR((F449/E449),"")</f>
        <v/>
      </c>
      <c r="E449" s="4"/>
      <c r="F449" s="17"/>
      <c r="G449" s="5"/>
      <c r="H449" s="6"/>
      <c r="I449" s="34">
        <f t="shared" ref="I449" si="699">IFERROR((S449*E449),"")</f>
        <v>0</v>
      </c>
      <c r="J449" s="78" t="str">
        <f>IFERROR(VLOOKUP(C449,[2]Sheet1!$D:$J,7,0),"")</f>
        <v/>
      </c>
      <c r="K449" s="80" t="str">
        <f t="shared" ref="K449" si="700">IFERROR((I449+J449),"")</f>
        <v/>
      </c>
      <c r="L449" s="7">
        <f t="shared" ref="L449" si="701">IFERROR((G449*H449),"")</f>
        <v>0</v>
      </c>
      <c r="M449" s="8" t="str">
        <f t="shared" ref="M449" si="702">IFERROR(K449-L449,"")</f>
        <v/>
      </c>
      <c r="N449" s="57"/>
      <c r="O449" s="9"/>
      <c r="P449" s="10"/>
      <c r="Q449" s="10"/>
      <c r="R449" s="10">
        <f t="shared" ref="R449" si="703">O449*P449*Q449</f>
        <v>0</v>
      </c>
      <c r="S449" s="41">
        <f t="shared" si="696"/>
        <v>0</v>
      </c>
      <c r="Y449" s="42"/>
      <c r="Z449" s="1"/>
      <c r="AA449" s="206" t="str">
        <f t="shared" si="697"/>
        <v/>
      </c>
    </row>
    <row r="450" spans="1:27" ht="17.25" customHeight="1" ns3:dyDescent="0.3">
      <c r="A450" s="2"/>
      <c r="B450" s="2"/>
      <c r="C450" s="247" t="s">
        <v>876</v>
      </c>
      <c r="D450" s="166" t="str">
        <f>IFERROR((F450/E450),"")</f>
        <v/>
      </c>
      <c r="E450" s="4"/>
      <c r="F450" s="17"/>
      <c r="G450" s="5"/>
      <c r="H450" s="6">
        <v>15</v>
      </c>
      <c r="I450" s="34">
        <f>IFERROR((S450*E450),"")</f>
        <v>0</v>
      </c>
      <c r="J450" s="78">
        <f>IFERROR(VLOOKUP(C450,[2]Sheet1!$D:$J,7,0),"")</f>
        <v>6</v>
      </c>
      <c r="K450" s="80">
        <f>IFERROR((I450+J450),"")</f>
        <v>6</v>
      </c>
      <c r="L450" s="7">
        <f>IFERROR((G450*H450),"")</f>
        <v>0</v>
      </c>
      <c r="M450" s="8">
        <f>IFERROR(K450-L450,"")</f>
        <v>6</v>
      </c>
      <c r="N450" s="57"/>
      <c r="O450" s="9"/>
      <c r="P450" s="10"/>
      <c r="Q450" s="10"/>
      <c r="R450" s="10">
        <f>O450*P450*Q450</f>
        <v>0</v>
      </c>
      <c r="S450" s="41">
        <f>SUM(Y450,T450:X450)</f>
        <v>14</v>
      </c>
      <c r="T450" s="173">
        <v>4</v>
      </c>
      <c r="U450" s="173"/>
      <c r="V450" s="173">
        <v>4</v>
      </c>
      <c r="W450" s="193"/>
      <c r="X450" s="193">
        <v>6</v>
      </c>
      <c r="Y450" s="220"/>
      <c r="Z450" s="1"/>
      <c r="AA450" s="206" t="str">
        <f>IFERROR(H450*7.5/E450/7,"")</f>
        <v/>
      </c>
    </row>
    <row r="451" spans="1:27" ns3:dyDescent="0.3">
      <c r="A451" s="2"/>
      <c r="B451" s="15"/>
      <c r="C451" s="164"/>
      <c r="D451" s="166"/>
      <c r="E451" s="4"/>
      <c r="F451" s="17"/>
      <c r="G451" s="5"/>
      <c r="H451" s="6"/>
      <c r="I451" s="34"/>
      <c r="J451" s="78" t="str">
        <f>IFERROR(VLOOKUP(C451,[2]Sheet1!$D:$J,7,0),"")</f>
        <v/>
      </c>
      <c r="K451" s="80"/>
      <c r="L451" s="7"/>
      <c r="M451" s="8"/>
      <c r="N451" s="57"/>
      <c r="O451" s="9"/>
      <c r="P451" s="10"/>
      <c r="Q451" s="10"/>
      <c r="R451" s="10"/>
      <c r="Y451" s="42"/>
      <c r="Z451" s="1"/>
      <c r="AA451" s="206"/>
    </row>
    <row r="452" spans="1:27" ns3:dyDescent="0.3">
      <c r="A452" s="2"/>
      <c r="B452" s="15"/>
      <c r="C452" s="164"/>
      <c r="D452" s="166"/>
      <c r="E452" s="4"/>
      <c r="F452" s="17"/>
      <c r="G452" s="5"/>
      <c r="H452" s="6"/>
      <c r="I452" s="34"/>
      <c r="J452" s="78" t="str">
        <f>IFERROR(VLOOKUP(C452,[2]Sheet1!$D:$J,7,0),"")</f>
        <v/>
      </c>
      <c r="K452" s="80"/>
      <c r="L452" s="7"/>
      <c r="M452" s="8"/>
      <c r="N452" s="57"/>
      <c r="O452" s="9"/>
      <c r="P452" s="10"/>
      <c r="Q452" s="10"/>
      <c r="R452" s="10"/>
      <c r="Y452" s="42"/>
      <c r="Z452" s="1"/>
      <c r="AA452" s="206"/>
    </row>
    <row r="453" spans="1:27" ns3:dyDescent="0.3">
      <c r="A453" s="2"/>
      <c r="B453" s="15"/>
      <c r="C453" s="164"/>
      <c r="D453" s="166"/>
      <c r="E453" s="4"/>
      <c r="F453" s="17"/>
      <c r="G453" s="5"/>
      <c r="H453" s="6"/>
      <c r="I453" s="34"/>
      <c r="J453" s="78" t="str">
        <f>IFERROR(VLOOKUP(C453,[2]Sheet1!$D:$J,7,0),"")</f>
        <v/>
      </c>
      <c r="K453" s="80"/>
      <c r="L453" s="7"/>
      <c r="M453" s="8"/>
      <c r="N453" s="57"/>
      <c r="O453" s="9"/>
      <c r="P453" s="10"/>
      <c r="Q453" s="10"/>
      <c r="R453" s="10"/>
      <c r="Y453" s="42"/>
      <c r="Z453" s="1"/>
      <c r="AA453" s="206"/>
    </row>
    <row r="454" spans="1:27" ns3:dyDescent="0.3">
      <c r="A454" s="2"/>
      <c r="B454" s="15"/>
      <c r="C454" s="164"/>
      <c r="D454" s="166"/>
      <c r="E454" s="4"/>
      <c r="F454" s="17"/>
      <c r="G454" s="5"/>
      <c r="H454" s="6"/>
      <c r="I454" s="34"/>
      <c r="J454" s="78" t="str">
        <f>IFERROR(VLOOKUP(C454,[2]Sheet1!$D:$J,7,0),"")</f>
        <v/>
      </c>
      <c r="K454" s="80"/>
      <c r="L454" s="7"/>
      <c r="M454" s="8"/>
      <c r="N454" s="57"/>
      <c r="O454" s="9"/>
      <c r="P454" s="10"/>
      <c r="Q454" s="10"/>
      <c r="R454" s="10"/>
      <c r="Y454" s="42"/>
      <c r="Z454" s="1"/>
      <c r="AA454" s="206"/>
    </row>
    <row r="455" spans="1:27" ht="15.75" customHeight="1" ns3:dyDescent="0.3">
      <c r="A455" s="210" t="s">
        <v>895</v>
      </c>
      <c r="B455" s="311" t="s">
        <v>313</v>
      </c>
      <c r="C455" s="164"/>
      <c r="D455" s="166" t="str">
        <f t="shared" ref="D455:D457" si="704">IFERROR((F455/E455),"")</f>
        <v/>
      </c>
      <c r="E455" s="4"/>
      <c r="F455" s="17"/>
      <c r="G455" s="5"/>
      <c r="I455" s="34">
        <f t="shared" ref="I455:I457" si="705">IFERROR((S455*E455),"")</f>
        <v>0</v>
      </c>
      <c r="J455" s="78" t="str">
        <f>IFERROR(VLOOKUP(C455,[2]Sheet1!$D:$J,7,0),"")</f>
        <v/>
      </c>
      <c r="K455" s="80" t="str">
        <f t="shared" ref="K455:K457" si="706">IFERROR((I455+J455),"")</f>
        <v/>
      </c>
      <c r="L455" s="7">
        <f t="shared" ref="L455:L457" si="707">IFERROR((G455*H455),"")</f>
        <v>0</v>
      </c>
      <c r="M455" s="8" t="str">
        <f t="shared" ref="M455:M457" si="708">IFERROR(K455-L455,"")</f>
        <v/>
      </c>
      <c r="N455" s="57"/>
      <c r="O455" s="9"/>
      <c r="P455" s="10"/>
      <c r="Q455" s="10"/>
      <c r="R455" s="10">
        <f t="shared" ref="R455:R457" si="709">O455*P455*Q455</f>
        <v>0</v>
      </c>
      <c r="S455" s="41">
        <f t="shared" si="696"/>
        <v>0</v>
      </c>
      <c r="Y455" s="42"/>
      <c r="Z455" s="1"/>
      <c r="AA455" s="206" t="str">
        <f t="shared" si="697"/>
        <v/>
      </c>
    </row>
    <row r="456" spans="1:27" ns3:dyDescent="0.3">
      <c r="A456" s="59"/>
      <c r="B456" s="11"/>
      <c r="C456" s="247" t="s">
        <v>918</v>
      </c>
      <c r="D456" s="166">
        <f t="shared" si="704"/>
        <v>-8</v>
      </c>
      <c r="E456" s="4">
        <v>32</v>
      </c>
      <c r="F456" s="3">
        <f>IFERROR((L456-K456),"")</f>
        <v>-256</v>
      </c>
      <c r="G456" s="5">
        <v>6</v>
      </c>
      <c r="H456" s="6">
        <f>ROUNDUP((B457*C457)/100,1)</f>
        <v>0</v>
      </c>
      <c r="I456" s="34">
        <f t="shared" si="705"/>
        <v>192</v>
      </c>
      <c r="J456" s="78">
        <f>IFERROR(VLOOKUP(C456,[2]Sheet1!$D:$J,7,0),"")</f>
        <v>64</v>
      </c>
      <c r="K456" s="80">
        <f t="shared" si="706"/>
        <v>256</v>
      </c>
      <c r="L456" s="7">
        <f t="shared" si="707"/>
        <v>0</v>
      </c>
      <c r="M456" s="8">
        <f t="shared" si="708"/>
        <v>256</v>
      </c>
      <c r="N456" s="57" t="str">
        <f t="shared" ref="N456:N457" si="710">IFERROR((K456/H456),"")</f>
        <v/>
      </c>
      <c r="O456" s="9"/>
      <c r="P456" s="10"/>
      <c r="Q456" s="10">
        <v>11000</v>
      </c>
      <c r="R456" s="10">
        <f t="shared" si="709"/>
        <v>0</v>
      </c>
      <c r="S456" s="41">
        <f t="shared" si="696"/>
        <v>6</v>
      </c>
      <c r="T456" s="173">
        <v>2</v>
      </c>
      <c r="U456" s="173">
        <v>4</v>
      </c>
      <c r="V456" s="173"/>
      <c r="W456" s="173"/>
      <c r="X456" s="173"/>
      <c r="Y456" s="220"/>
      <c r="Z456" s="1"/>
      <c r="AA456" s="206">
        <f t="shared" si="697"/>
        <v>0</v>
      </c>
    </row>
    <row r="457" spans="1:27" ns3:dyDescent="0.3">
      <c r="A457" s="248" t="s">
        <v>891</v>
      </c>
      <c r="B457" s="11">
        <f>ROUNDUP(HLOOKUP(A457,'야채 계산기'!$2:$3,2,0)*1.03,0)</f>
        <v>0</v>
      </c>
      <c r="C457" s="164">
        <v>1</v>
      </c>
      <c r="D457" s="166" t="str">
        <f t="shared" si="704"/>
        <v/>
      </c>
      <c r="E457" s="4"/>
      <c r="F457" s="3"/>
      <c r="G457" s="55"/>
      <c r="H457" s="6"/>
      <c r="I457" s="34">
        <f t="shared" si="705"/>
        <v>0</v>
      </c>
      <c r="J457" s="78" t="str">
        <f>IFERROR(VLOOKUP(C457,[2]Sheet1!$D:$J,7,0),"")</f>
        <v/>
      </c>
      <c r="K457" s="80" t="str">
        <f t="shared" si="706"/>
        <v/>
      </c>
      <c r="L457" s="7">
        <f t="shared" si="707"/>
        <v>0</v>
      </c>
      <c r="M457" s="8" t="str">
        <f t="shared" si="708"/>
        <v/>
      </c>
      <c r="N457" s="57" t="str">
        <f t="shared" si="710"/>
        <v/>
      </c>
      <c r="O457" s="9"/>
      <c r="P457" s="10"/>
      <c r="Q457" s="10"/>
      <c r="R457" s="10">
        <f t="shared" si="709"/>
        <v>0</v>
      </c>
      <c r="S457" s="41">
        <f t="shared" si="696"/>
        <v>0</v>
      </c>
      <c r="Y457" s="42"/>
      <c r="Z457" s="1"/>
      <c r="AA457" s="206" t="str">
        <f t="shared" si="697"/>
        <v/>
      </c>
    </row>
    <row r="458" spans="1:27" ht="17.25" customHeight="1" ns3:dyDescent="0.3">
      <c r="A458" s="2"/>
      <c r="B458" s="2"/>
      <c r="C458" s="164"/>
      <c r="D458" s="166" t="str">
        <f>IFERROR((F458/E458),"")</f>
        <v/>
      </c>
      <c r="E458" s="4"/>
      <c r="F458" s="17"/>
      <c r="G458" s="5"/>
      <c r="H458" s="6"/>
      <c r="I458" s="34">
        <f>IFERROR((S458*E458),"")</f>
        <v>0</v>
      </c>
      <c r="J458" s="78" t="str">
        <f>IFERROR(VLOOKUP(C458,[2]Sheet1!$D:$J,7,0),"")</f>
        <v/>
      </c>
      <c r="K458" s="80"/>
      <c r="L458" s="7">
        <f>IFERROR((G458*H458),"")</f>
        <v>0</v>
      </c>
      <c r="M458" s="8"/>
      <c r="N458" s="57"/>
      <c r="O458" s="9"/>
      <c r="P458" s="10"/>
      <c r="Q458" s="10"/>
      <c r="R458" s="10">
        <f>O458*P458*Q458</f>
        <v>0</v>
      </c>
      <c r="S458" s="41">
        <f t="shared" si="692"/>
        <v>0</v>
      </c>
      <c r="W458" s="190"/>
      <c r="Y458" s="42"/>
      <c r="Z458" s="1"/>
      <c r="AA458" s="206" t="str">
        <f t="shared" si="672"/>
        <v/>
      </c>
    </row>
    <row r="459" spans="1:27" ns3:dyDescent="0.3">
      <c r="A459" s="2"/>
      <c r="B459" s="2"/>
      <c r="C459" s="164"/>
      <c r="D459" s="166" t="str">
        <f>IFERROR((F459/E459),"")</f>
        <v/>
      </c>
      <c r="E459" s="4"/>
      <c r="F459" s="17"/>
      <c r="G459" s="5"/>
      <c r="H459" s="6"/>
      <c r="I459" s="34">
        <f>IFERROR((S459*E459),"")</f>
        <v>0</v>
      </c>
      <c r="J459" s="78" t="str">
        <f>IFERROR(VLOOKUP(C459,[2]Sheet1!$D:$J,7,0),"")</f>
        <v/>
      </c>
      <c r="K459" s="80" t="str">
        <f>IFERROR((I459+J459),"")</f>
        <v/>
      </c>
      <c r="L459" s="7">
        <f>IFERROR((G459*H459),"")</f>
        <v>0</v>
      </c>
      <c r="M459" s="8" t="str">
        <f>IFERROR(K459-L459,"")</f>
        <v/>
      </c>
      <c r="N459" s="57"/>
      <c r="O459" s="9"/>
      <c r="P459" s="10"/>
      <c r="Q459" s="10"/>
      <c r="R459" s="10">
        <f>O459*P459*Q459</f>
        <v>0</v>
      </c>
      <c r="S459" s="41">
        <f t="shared" si="692"/>
        <v>0</v>
      </c>
      <c r="W459" s="190"/>
      <c r="Y459" s="42"/>
      <c r="Z459" s="1"/>
      <c r="AA459" s="206" t="str">
        <f t="shared" si="672"/>
        <v/>
      </c>
    </row>
    <row r="460" spans="1:27" ns3:dyDescent="0.3">
      <c r="A460" s="96" t="s">
        <v>86</v>
      </c>
      <c r="B460" s="58" t="s">
        <v>87</v>
      </c>
      <c r="C460" s="164"/>
      <c r="D460" s="166"/>
      <c r="E460" s="4"/>
      <c r="F460" s="3"/>
      <c r="G460" s="5"/>
      <c r="H460" s="6"/>
      <c r="I460" s="34">
        <f t="shared" ref="I460:I469" si="711">IFERROR((S460*E460),"")</f>
        <v>0</v>
      </c>
      <c r="J460" s="78" t="str">
        <f>IFERROR(VLOOKUP(C460,[2]Sheet1!$D:$J,7,0),"")</f>
        <v/>
      </c>
      <c r="K460" s="80" t="str">
        <f t="shared" ref="K460:K469" si="712">IFERROR((I460+J460),"")</f>
        <v/>
      </c>
      <c r="L460" s="7">
        <f t="shared" ref="L460:L469" si="713">IFERROR((G460*H460),"")</f>
        <v>0</v>
      </c>
      <c r="M460" s="8" t="str">
        <f t="shared" ref="M460:M469" si="714">IFERROR(K460-L460,"")</f>
        <v/>
      </c>
      <c r="N460" s="57"/>
      <c r="O460" s="48"/>
      <c r="P460" s="49"/>
      <c r="Q460" s="49"/>
      <c r="R460" s="49"/>
      <c r="S460" s="41">
        <f t="shared" si="692"/>
        <v>0</v>
      </c>
      <c r="Y460" s="42"/>
      <c r="Z460" s="1"/>
      <c r="AA460" s="206" t="str">
        <f t="shared" si="672"/>
        <v/>
      </c>
    </row>
    <row r="461" spans="1:27" ns3:dyDescent="0.3">
      <c r="A461" s="59"/>
      <c r="B461" s="11"/>
      <c r="C461" s="164" t="s">
        <v>88</v>
      </c>
      <c r="D461" s="166">
        <f t="shared" ref="D461:D462" si="715">IFERROR((F461/E461),"")</f>
        <v>-4.6000000000000005</v>
      </c>
      <c r="E461" s="4">
        <v>6</v>
      </c>
      <c r="F461" s="3">
        <f>IFERROR((L461-K461),"")</f>
        <v>-27.6</v>
      </c>
      <c r="G461" s="5">
        <v>4.5</v>
      </c>
      <c r="H461" s="6">
        <f>ROUNDUP(SUMPRODUCT(B462:B467, C462:C467)/2000,1)</f>
        <v>7.1999999999999993</v>
      </c>
      <c r="I461" s="34">
        <f t="shared" si="711"/>
        <v>12</v>
      </c>
      <c r="J461" s="78">
        <f>IFERROR(VLOOKUP(C461,[2]Sheet1!$D:$J,7,0),"")</f>
        <v>48</v>
      </c>
      <c r="K461" s="80">
        <f t="shared" si="712"/>
        <v>60</v>
      </c>
      <c r="L461" s="7">
        <f t="shared" si="713"/>
        <v>32.4</v>
      </c>
      <c r="M461" s="8">
        <f t="shared" si="714"/>
        <v>27.6</v>
      </c>
      <c r="N461" s="57">
        <f t="shared" ref="N461:N465" si="716">IFERROR((K461/H461),"")</f>
        <v>8.3333333333333339</v>
      </c>
      <c r="O461" s="9"/>
      <c r="P461" s="10"/>
      <c r="Q461" s="10">
        <v>6508</v>
      </c>
      <c r="R461" s="10">
        <f>O461*P461*Q461</f>
        <v>0</v>
      </c>
      <c r="S461" s="41">
        <f t="shared" si="692"/>
        <v>2</v>
      </c>
      <c r="T461" s="173">
        <v>2</v>
      </c>
      <c r="U461" s="173"/>
      <c r="V461" s="173"/>
      <c r="W461" s="173"/>
      <c r="X461" s="173"/>
      <c r="Y461" s="220"/>
      <c r="Z461" s="1"/>
      <c r="AA461" s="206">
        <f t="shared" si="672"/>
        <v>1.2857142857142854</v>
      </c>
    </row>
    <row r="462" spans="1:27" ns3:dyDescent="0.3">
      <c r="A462" s="11" t="s">
        <v>78</v>
      </c>
      <c r="B462" s="11">
        <f>ROUNDUP(HLOOKUP(A462,'야채 계산기'!$2:$3,2,0),0)</f>
        <v>3150</v>
      </c>
      <c r="C462" s="164">
        <v>0.14000000000000001</v>
      </c>
      <c r="D462" s="166" t="str">
        <f t="shared" si="715"/>
        <v/>
      </c>
      <c r="E462" s="4"/>
      <c r="F462" s="3"/>
      <c r="G462" s="5"/>
      <c r="H462" s="6"/>
      <c r="I462" s="34">
        <f t="shared" si="711"/>
        <v>0</v>
      </c>
      <c r="J462" s="78" t="str">
        <f>IFERROR(VLOOKUP(C462,[2]Sheet1!$D:$J,7,0),"")</f>
        <v/>
      </c>
      <c r="K462" s="80" t="str">
        <f t="shared" si="712"/>
        <v/>
      </c>
      <c r="L462" s="7">
        <f t="shared" si="713"/>
        <v>0</v>
      </c>
      <c r="M462" s="8" t="str">
        <f t="shared" si="714"/>
        <v/>
      </c>
      <c r="N462" s="57" t="str">
        <f t="shared" si="716"/>
        <v/>
      </c>
      <c r="O462" s="9"/>
      <c r="P462" s="10"/>
      <c r="Q462" s="10"/>
      <c r="R462" s="10">
        <f>O462*P462*Q462</f>
        <v>0</v>
      </c>
      <c r="S462" s="41">
        <f t="shared" si="692"/>
        <v>0</v>
      </c>
      <c r="X462" s="243"/>
      <c r="Y462" s="42"/>
      <c r="Z462" s="1"/>
      <c r="AA462" s="206" t="str">
        <f t="shared" si="672"/>
        <v/>
      </c>
    </row>
    <row r="463" spans="1:27" ns3:dyDescent="0.3">
      <c r="A463" s="59" t="s">
        <v>302</v>
      </c>
      <c r="B463" s="11">
        <f>ROUNDUP(HLOOKUP(A463,'야채 계산기'!$2:$3,2,0),0)</f>
        <v>6030</v>
      </c>
      <c r="C463" s="164">
        <v>1.67</v>
      </c>
      <c r="D463" s="166" t="str">
        <f t="shared" ref="D463:D465" si="717">IFERROR((F463/E463),"")</f>
        <v/>
      </c>
      <c r="E463" s="4"/>
      <c r="F463" s="3"/>
      <c r="G463" s="5"/>
      <c r="H463" s="6"/>
      <c r="I463" s="34">
        <f t="shared" ref="I463" si="718">IFERROR((S463*E463),"")</f>
        <v>0</v>
      </c>
      <c r="J463" s="78" t="str">
        <f>IFERROR(VLOOKUP(C463,[2]Sheet1!$D:$J,7,0),"")</f>
        <v/>
      </c>
      <c r="K463" s="80" t="str">
        <f t="shared" ref="K463" si="719">IFERROR((I463+J463),"")</f>
        <v/>
      </c>
      <c r="L463" s="7">
        <f t="shared" ref="L463" si="720">IFERROR((G463*H463),"")</f>
        <v>0</v>
      </c>
      <c r="M463" s="8" t="str">
        <f t="shared" ref="M463" si="721">IFERROR(K463-L463,"")</f>
        <v/>
      </c>
      <c r="N463" s="57" t="str">
        <f t="shared" ref="N463" si="722">IFERROR((K463/H463),"")</f>
        <v/>
      </c>
      <c r="O463" s="9"/>
      <c r="P463" s="10"/>
      <c r="Q463" s="10"/>
      <c r="R463" s="10">
        <f>O463*P463*Q463</f>
        <v>0</v>
      </c>
      <c r="S463" s="41">
        <f t="shared" si="692"/>
        <v>0</v>
      </c>
      <c r="Y463" s="42"/>
      <c r="Z463" s="1"/>
      <c r="AA463" s="206" t="str">
        <f t="shared" si="672"/>
        <v/>
      </c>
    </row>
    <row r="464" spans="1:27" ns3:dyDescent="0.3">
      <c r="A464" s="59" t="s">
        <v>624</v>
      </c>
      <c r="B464" s="11">
        <f>ROUNDUP(HLOOKUP(A464,'야채 계산기'!$2:$3,2,0),0)</f>
        <v>1170</v>
      </c>
      <c r="C464" s="164">
        <v>0.44</v>
      </c>
      <c r="D464" s="166" t="str">
        <f t="shared" si="717"/>
        <v/>
      </c>
      <c r="E464" s="4"/>
      <c r="F464" s="3"/>
      <c r="G464" s="5"/>
      <c r="H464" s="6"/>
      <c r="I464" s="34">
        <f t="shared" si="711"/>
        <v>0</v>
      </c>
      <c r="J464" s="78" t="str">
        <f>IFERROR(VLOOKUP(C464,[2]Sheet1!$D:$J,7,0),"")</f>
        <v/>
      </c>
      <c r="K464" s="80" t="str">
        <f t="shared" si="712"/>
        <v/>
      </c>
      <c r="L464" s="7">
        <f t="shared" si="713"/>
        <v>0</v>
      </c>
      <c r="M464" s="8" t="str">
        <f t="shared" si="714"/>
        <v/>
      </c>
      <c r="N464" s="57" t="str">
        <f t="shared" si="716"/>
        <v/>
      </c>
      <c r="O464" s="9"/>
      <c r="P464" s="10"/>
      <c r="Q464" s="10"/>
      <c r="R464" s="10">
        <f>O464*P464*Q464</f>
        <v>0</v>
      </c>
      <c r="S464" s="41">
        <f t="shared" si="692"/>
        <v>0</v>
      </c>
      <c r="Y464" s="42"/>
      <c r="Z464" s="1"/>
      <c r="AA464" s="206" t="str">
        <f t="shared" si="672"/>
        <v/>
      </c>
    </row>
    <row r="465" spans="1:27" ns3:dyDescent="0.3">
      <c r="A465" s="11" t="s">
        <v>189</v>
      </c>
      <c r="B465" s="11">
        <f>ROUNDUP(HLOOKUP(A465,'야채 계산기'!$2:$3,2,0),0)</f>
        <v>140</v>
      </c>
      <c r="C465" s="2">
        <v>0.4</v>
      </c>
      <c r="D465" s="166" t="str">
        <f t="shared" si="717"/>
        <v/>
      </c>
      <c r="E465" s="4"/>
      <c r="F465" s="3"/>
      <c r="G465" s="5"/>
      <c r="H465" s="6"/>
      <c r="I465" s="34">
        <f t="shared" si="711"/>
        <v>0</v>
      </c>
      <c r="J465" s="78" t="str">
        <f>IFERROR(VLOOKUP(C465,[2]Sheet1!$D:$J,7,0),"")</f>
        <v/>
      </c>
      <c r="K465" s="80" t="str">
        <f t="shared" si="712"/>
        <v/>
      </c>
      <c r="L465" s="7">
        <f t="shared" si="713"/>
        <v>0</v>
      </c>
      <c r="M465" s="8" t="str">
        <f t="shared" si="714"/>
        <v/>
      </c>
      <c r="N465" s="57" t="str">
        <f t="shared" si="716"/>
        <v/>
      </c>
      <c r="O465" s="48"/>
      <c r="P465" s="49"/>
      <c r="Q465" s="49"/>
      <c r="R465" s="49"/>
      <c r="S465" s="41">
        <f t="shared" si="692"/>
        <v>0</v>
      </c>
      <c r="Y465" s="42"/>
      <c r="Z465" s="1"/>
      <c r="AA465" s="206" t="str">
        <f t="shared" si="672"/>
        <v/>
      </c>
    </row>
    <row r="466" spans="1:27" ns3:dyDescent="0.3">
      <c r="A466" s="60" t="s">
        <v>563</v>
      </c>
      <c r="B466" s="11">
        <f>ROUNDUP(HLOOKUP(A466,'야채 계산기'!$2:$3,2,0),0)</f>
        <v>1780</v>
      </c>
      <c r="C466" s="164">
        <v>0.86</v>
      </c>
      <c r="D466" s="166"/>
      <c r="E466" s="4"/>
      <c r="F466" s="3"/>
      <c r="G466" s="5"/>
      <c r="H466" s="6"/>
      <c r="I466" s="34">
        <f t="shared" ref="I466:I467" si="723">IFERROR((S466*E466),"")</f>
        <v>0</v>
      </c>
      <c r="J466" s="78" t="str">
        <f>IFERROR(VLOOKUP(C466,[2]Sheet1!$D:$J,7,0),"")</f>
        <v/>
      </c>
      <c r="K466" s="80" t="str">
        <f t="shared" ref="K466:K467" si="724">IFERROR((I466+J466),"")</f>
        <v/>
      </c>
      <c r="L466" s="7">
        <f t="shared" ref="L466:L467" si="725">IFERROR((G466*H466),"")</f>
        <v>0</v>
      </c>
      <c r="M466" s="8" t="str">
        <f t="shared" ref="M466:M467" si="726">IFERROR(K466-L466,"")</f>
        <v/>
      </c>
      <c r="N466" s="57"/>
      <c r="O466" s="9"/>
      <c r="P466" s="10"/>
      <c r="Q466" s="10"/>
      <c r="R466" s="10"/>
      <c r="S466" s="41">
        <f t="shared" si="692"/>
        <v>0</v>
      </c>
      <c r="X466" s="1" t="s">
        <v>889</v>
      </c>
      <c r="Y466" s="42"/>
      <c r="Z466" s="1"/>
      <c r="AA466" s="206" t="str">
        <f t="shared" si="672"/>
        <v/>
      </c>
    </row>
    <row r="467" spans="1:27" ns3:dyDescent="0.3">
      <c r="A467" s="60" t="s">
        <v>575</v>
      </c>
      <c r="B467" s="11">
        <f>ROUNDUP(HLOOKUP(A467,'야채 계산기'!$2:$3,2,0),0)</f>
        <v>1100</v>
      </c>
      <c r="C467" s="164">
        <v>1.62</v>
      </c>
      <c r="D467" s="166"/>
      <c r="E467" s="4"/>
      <c r="F467" s="3"/>
      <c r="G467" s="5"/>
      <c r="H467" s="6"/>
      <c r="I467" s="34">
        <f t="shared" si="723"/>
        <v>0</v>
      </c>
      <c r="J467" s="78" t="str">
        <f>IFERROR(VLOOKUP(C467,[2]Sheet1!$D:$J,7,0),"")</f>
        <v/>
      </c>
      <c r="K467" s="80" t="str">
        <f t="shared" si="724"/>
        <v/>
      </c>
      <c r="L467" s="7">
        <f t="shared" si="725"/>
        <v>0</v>
      </c>
      <c r="M467" s="8" t="str">
        <f t="shared" si="726"/>
        <v/>
      </c>
      <c r="N467" s="57"/>
      <c r="O467" s="9"/>
      <c r="P467" s="10"/>
      <c r="Q467" s="10"/>
      <c r="R467" s="10"/>
      <c r="S467" s="41">
        <f t="shared" ref="S467" si="727">SUM(Y467,T467:X467)</f>
        <v>0</v>
      </c>
      <c r="Y467" s="42"/>
      <c r="Z467" s="1"/>
      <c r="AA467" s="206" t="str">
        <f t="shared" ref="AA467" si="728">IFERROR(H467*7.5/E467/7,"")</f>
        <v/>
      </c>
    </row>
    <row r="468" spans="1:27" ns3:dyDescent="0.3">
      <c r="A468" s="60"/>
      <c r="B468" s="11"/>
      <c r="C468" s="164"/>
      <c r="D468" s="166"/>
      <c r="E468" s="4"/>
      <c r="F468" s="3"/>
      <c r="G468" s="5"/>
      <c r="H468" s="6"/>
      <c r="I468" s="34">
        <f t="shared" si="711"/>
        <v>0</v>
      </c>
      <c r="J468" s="78" t="str">
        <f>IFERROR(VLOOKUP(C468,[2]Sheet1!$D:$J,7,0),"")</f>
        <v/>
      </c>
      <c r="K468" s="80" t="str">
        <f t="shared" si="712"/>
        <v/>
      </c>
      <c r="L468" s="7">
        <f t="shared" si="713"/>
        <v>0</v>
      </c>
      <c r="M468" s="8" t="str">
        <f t="shared" si="714"/>
        <v/>
      </c>
      <c r="N468" s="57"/>
      <c r="O468" s="9"/>
      <c r="P468" s="10"/>
      <c r="Q468" s="10"/>
      <c r="R468" s="10"/>
      <c r="S468" s="41">
        <f t="shared" si="692"/>
        <v>0</v>
      </c>
      <c r="Y468" s="42"/>
      <c r="Z468" s="1"/>
      <c r="AA468" s="206" t="str">
        <f t="shared" si="672"/>
        <v/>
      </c>
    </row>
    <row r="469" spans="1:27" ht="15.75" customHeight="1" ns3:dyDescent="0.3">
      <c r="A469" s="96" t="s">
        <v>89</v>
      </c>
      <c r="B469" s="58" t="s">
        <v>87</v>
      </c>
      <c r="C469" s="164" t="s">
        <v>74</v>
      </c>
      <c r="D469" s="166" t="str">
        <f t="shared" ref="D469:D482" si="729">IFERROR((F469/E469),"")</f>
        <v/>
      </c>
      <c r="E469" s="4"/>
      <c r="F469" s="17"/>
      <c r="G469" s="5"/>
      <c r="I469" s="34">
        <f t="shared" si="711"/>
        <v>0</v>
      </c>
      <c r="J469" s="78" t="str">
        <f>IFERROR(VLOOKUP(C469,[2]Sheet1!$D:$J,7,0),"")</f>
        <v/>
      </c>
      <c r="K469" s="80" t="str">
        <f t="shared" si="712"/>
        <v/>
      </c>
      <c r="L469" s="7">
        <f t="shared" si="713"/>
        <v>0</v>
      </c>
      <c r="M469" s="8" t="str">
        <f t="shared" si="714"/>
        <v/>
      </c>
      <c r="N469" s="57"/>
      <c r="O469" s="9"/>
      <c r="P469" s="10"/>
      <c r="Q469" s="10"/>
      <c r="R469" s="10">
        <f t="shared" ref="R469:R483" si="730">O469*P469*Q469</f>
        <v>0</v>
      </c>
      <c r="S469" s="41">
        <f t="shared" si="692"/>
        <v>0</v>
      </c>
      <c r="Y469" s="42"/>
      <c r="Z469" s="1"/>
      <c r="AA469" s="206" t="str">
        <f t="shared" si="672"/>
        <v/>
      </c>
    </row>
    <row r="470" spans="1:27" ns3:dyDescent="0.3">
      <c r="A470" s="59"/>
      <c r="B470" s="11"/>
      <c r="C470" s="164" t="s">
        <v>837</v>
      </c>
      <c r="D470" s="166">
        <f t="shared" ref="D470:D471" si="731">IFERROR((F470/E470),"")</f>
        <v>-3.3</v>
      </c>
      <c r="E470" s="4">
        <v>10</v>
      </c>
      <c r="F470" s="3">
        <f>IFERROR((L470-K470),"")</f>
        <v>-33</v>
      </c>
      <c r="G470" s="5">
        <v>4.5</v>
      </c>
      <c r="H470" s="6">
        <f>ROUNDUP((B471*C471)/1000,1)</f>
        <v>6</v>
      </c>
      <c r="I470" s="34">
        <f t="shared" ref="I470:I471" si="732">IFERROR((S470*E470),"")</f>
        <v>20</v>
      </c>
      <c r="J470" s="78">
        <f>IFERROR(VLOOKUP(C470,[2]Sheet1!$D:$J,7,0),"")</f>
        <v>40</v>
      </c>
      <c r="K470" s="80">
        <f t="shared" ref="K470:K471" si="733">IFERROR((I470+J470),"")</f>
        <v>60</v>
      </c>
      <c r="L470" s="7">
        <f t="shared" ref="L470:L471" si="734">IFERROR((G470*H470),"")</f>
        <v>27</v>
      </c>
      <c r="M470" s="8">
        <f t="shared" ref="M470:M471" si="735">IFERROR(K470-L470,"")</f>
        <v>33</v>
      </c>
      <c r="N470" s="57">
        <f t="shared" ref="N470:N471" si="736">IFERROR((K470/H470),"")</f>
        <v>10</v>
      </c>
      <c r="O470" s="9"/>
      <c r="P470" s="10"/>
      <c r="Q470" s="10">
        <v>8449</v>
      </c>
      <c r="R470" s="10">
        <f t="shared" ref="R470:R471" si="737">O470*P470*Q470</f>
        <v>0</v>
      </c>
      <c r="S470" s="41">
        <f t="shared" ref="S470:S471" si="738">SUM(Y470,T470:X470)</f>
        <v>2</v>
      </c>
      <c r="T470" s="173">
        <v>2</v>
      </c>
      <c r="U470" s="173"/>
      <c r="V470" s="173"/>
      <c r="W470" s="173"/>
      <c r="X470" s="173"/>
      <c r="Y470" s="220"/>
      <c r="Z470" s="1"/>
      <c r="AA470" s="206">
        <f t="shared" ref="AA470:AA471" si="739">IFERROR(H470*7.5/E470/7,"")</f>
        <v>0.6428571428571429</v>
      </c>
    </row>
    <row r="471" spans="1:27" ns3:dyDescent="0.3">
      <c r="A471" s="273" t="s">
        <v>722</v>
      </c>
      <c r="B471" s="11">
        <f>ROUNDUP(HLOOKUP(A471,'야채 계산기'!$2:$3,2,0)*1.03,0)</f>
        <v>1679</v>
      </c>
      <c r="C471" s="164">
        <v>3.53</v>
      </c>
      <c r="D471" s="166" t="str">
        <f t="shared" si="731"/>
        <v/>
      </c>
      <c r="E471" s="4"/>
      <c r="F471" s="3"/>
      <c r="G471" s="55"/>
      <c r="H471" s="6"/>
      <c r="I471" s="34">
        <f t="shared" si="732"/>
        <v>0</v>
      </c>
      <c r="J471" s="78" t="str">
        <f>IFERROR(VLOOKUP(C471,[2]Sheet1!$D:$J,7,0),"")</f>
        <v/>
      </c>
      <c r="K471" s="80" t="str">
        <f t="shared" si="733"/>
        <v/>
      </c>
      <c r="L471" s="7">
        <f t="shared" si="734"/>
        <v>0</v>
      </c>
      <c r="M471" s="8" t="str">
        <f t="shared" si="735"/>
        <v/>
      </c>
      <c r="N471" s="57" t="str">
        <f t="shared" si="736"/>
        <v/>
      </c>
      <c r="O471" s="9"/>
      <c r="P471" s="10"/>
      <c r="Q471" s="10"/>
      <c r="R471" s="10">
        <f t="shared" si="737"/>
        <v>0</v>
      </c>
      <c r="S471" s="41">
        <f t="shared" si="738"/>
        <v>0</v>
      </c>
      <c r="Y471" s="42"/>
      <c r="Z471" s="1"/>
      <c r="AA471" s="206" t="str">
        <f t="shared" si="739"/>
        <v/>
      </c>
    </row>
    <row r="472" spans="1:27" hidden="1" ns3:dyDescent="0.3">
      <c r="A472" s="59"/>
      <c r="B472" s="11"/>
      <c r="C472" s="164" t="s">
        <v>838</v>
      </c>
      <c r="D472" s="166" t="str">
        <f t="shared" si="729"/>
        <v/>
      </c>
      <c r="E472" s="4">
        <v>10</v>
      </c>
      <c r="F472" s="3" t="str">
        <f>IFERROR((L472-K472),"")</f>
        <v/>
      </c>
      <c r="G472" s="5">
        <f>G470</f>
        <v>4.5</v>
      </c>
      <c r="H472" s="6" t="e">
        <f>ROUNDUP((B473*C473)/1000,1)</f>
        <v>#N/A</v>
      </c>
      <c r="I472" s="34">
        <f t="shared" ref="I472:I482" si="740">IFERROR((S472*E472),"")</f>
        <v>0</v>
      </c>
      <c r="J472" s="78" t="str">
        <f>IFERROR(VLOOKUP(C472,[2]Sheet1!$D:$J,7,0),"")</f>
        <v/>
      </c>
      <c r="K472" s="80" t="str">
        <f t="shared" ref="K472:K482" si="741">IFERROR((I472+J472),"")</f>
        <v/>
      </c>
      <c r="L472" s="7" t="str">
        <f t="shared" ref="L472:L482" si="742">IFERROR((G472*H472),"")</f>
        <v/>
      </c>
      <c r="M472" s="8" t="str">
        <f t="shared" ref="M472:M482" si="743">IFERROR(K472-L472,"")</f>
        <v/>
      </c>
      <c r="N472" s="57" t="str">
        <f t="shared" ref="N472:N482" si="744">IFERROR((K472/H472),"")</f>
        <v/>
      </c>
      <c r="O472" s="9"/>
      <c r="P472" s="10"/>
      <c r="Q472" s="10">
        <v>7800</v>
      </c>
      <c r="R472" s="10">
        <f t="shared" ref="R472:R482" si="745">O472*P472*Q472</f>
        <v>0</v>
      </c>
      <c r="S472" s="41">
        <f t="shared" si="692"/>
        <v>0</v>
      </c>
      <c r="T472" s="173"/>
      <c r="U472" s="173"/>
      <c r="V472" s="173"/>
      <c r="W472" s="173"/>
      <c r="X472" s="173"/>
      <c r="Y472" s="220"/>
      <c r="Z472" s="1"/>
      <c r="AA472" s="206" t="str">
        <f t="shared" si="672"/>
        <v/>
      </c>
    </row>
    <row r="473" spans="1:27" hidden="1" ns3:dyDescent="0.3">
      <c r="A473" s="273" t="s">
        <v>597</v>
      </c>
      <c r="B473" s="11" t="e">
        <f>ROUNDUP(HLOOKUP(A473,'야채 계산기'!$2:$3,2,0)*1.03,0)</f>
        <v>#N/A</v>
      </c>
      <c r="C473" s="164">
        <v>10.31</v>
      </c>
      <c r="D473" s="166" t="str">
        <f t="shared" si="729"/>
        <v/>
      </c>
      <c r="E473" s="4"/>
      <c r="F473" s="3"/>
      <c r="G473" s="55"/>
      <c r="H473" s="6"/>
      <c r="I473" s="34">
        <f t="shared" si="740"/>
        <v>0</v>
      </c>
      <c r="J473" s="78" t="str">
        <f>IFERROR(VLOOKUP(C473,[2]Sheet1!$D:$J,7,0),"")</f>
        <v/>
      </c>
      <c r="K473" s="80" t="str">
        <f t="shared" si="741"/>
        <v/>
      </c>
      <c r="L473" s="7">
        <f t="shared" si="742"/>
        <v>0</v>
      </c>
      <c r="M473" s="8" t="str">
        <f t="shared" si="743"/>
        <v/>
      </c>
      <c r="N473" s="57" t="str">
        <f t="shared" si="744"/>
        <v/>
      </c>
      <c r="O473" s="9"/>
      <c r="P473" s="10"/>
      <c r="Q473" s="10"/>
      <c r="R473" s="10">
        <f t="shared" si="745"/>
        <v>0</v>
      </c>
      <c r="S473" s="41">
        <f t="shared" si="692"/>
        <v>0</v>
      </c>
      <c r="Y473" s="42"/>
      <c r="Z473" s="1"/>
      <c r="AA473" s="206" t="str">
        <f t="shared" si="672"/>
        <v/>
      </c>
    </row>
    <row r="474" spans="1:27" ns3:dyDescent="0.3">
      <c r="A474" s="60"/>
      <c r="B474" s="11"/>
      <c r="C474" s="164" t="s">
        <v>839</v>
      </c>
      <c r="D474" s="166">
        <f>IFERROR((F474/E474),"")</f>
        <v>-0.8666666666666667</v>
      </c>
      <c r="E474" s="4">
        <v>15</v>
      </c>
      <c r="F474" s="3">
        <f>IFERROR((L474-K474),"")</f>
        <v>-13</v>
      </c>
      <c r="G474" s="5">
        <f>G470</f>
        <v>4.5</v>
      </c>
      <c r="H474" s="6">
        <f>ROUNDUP((B475*C475)/1000,1)</f>
        <v>6</v>
      </c>
      <c r="I474" s="34">
        <f>IFERROR((S474*E474),"")</f>
        <v>30</v>
      </c>
      <c r="J474" s="78">
        <f>IFERROR(VLOOKUP(C474,[2]Sheet1!$D:$J,7,0),"")</f>
        <v>10</v>
      </c>
      <c r="K474" s="80">
        <f>IFERROR((I474+J474),"")</f>
        <v>40</v>
      </c>
      <c r="L474" s="7">
        <f>IFERROR((G474*H474),"")</f>
        <v>27</v>
      </c>
      <c r="M474" s="8">
        <f>IFERROR(K474-L474,"")</f>
        <v>13</v>
      </c>
      <c r="N474" s="57">
        <f>IFERROR((K474/H474),"")</f>
        <v>6.666666666666667</v>
      </c>
      <c r="O474" s="9"/>
      <c r="P474" s="10"/>
      <c r="Q474" s="10">
        <v>6333</v>
      </c>
      <c r="R474" s="10">
        <f>O474*P474*Q474</f>
        <v>0</v>
      </c>
      <c r="S474" s="41">
        <f t="shared" ref="S474:S475" si="746">SUM(Y474,T474:X474)</f>
        <v>2</v>
      </c>
      <c r="T474" s="173">
        <v>1</v>
      </c>
      <c r="U474" s="173"/>
      <c r="V474" s="173">
        <v>1</v>
      </c>
      <c r="W474" s="173"/>
      <c r="X474" s="173"/>
      <c r="Y474" s="220"/>
      <c r="Z474" s="1"/>
      <c r="AA474" s="206">
        <f t="shared" ref="AA474:AA475" si="747">IFERROR(H474*7.5/E474/7,"")</f>
        <v>0.42857142857142855</v>
      </c>
    </row>
    <row r="475" spans="1:27" ns3:dyDescent="0.3">
      <c r="A475" s="60" t="s">
        <v>820</v>
      </c>
      <c r="B475" s="11">
        <f>ROUNDUP(HLOOKUP(A475,'야채 계산기'!$2:$3,2,0)*1.03,0)</f>
        <v>567</v>
      </c>
      <c r="C475" s="164">
        <v>10.41</v>
      </c>
      <c r="D475" s="166" t="str">
        <f>IFERROR((F475/E475),"")</f>
        <v/>
      </c>
      <c r="E475" s="4"/>
      <c r="F475" s="3"/>
      <c r="G475" s="55"/>
      <c r="H475" s="6"/>
      <c r="I475" s="34">
        <f>IFERROR((S475*E475),"")</f>
        <v>0</v>
      </c>
      <c r="J475" s="78" t="str">
        <f>IFERROR(VLOOKUP(C475,[2]Sheet1!$D:$J,7,0),"")</f>
        <v/>
      </c>
      <c r="K475" s="80" t="str">
        <f>IFERROR((I475+J475),"")</f>
        <v/>
      </c>
      <c r="L475" s="7">
        <f>IFERROR((G475*H475),"")</f>
        <v>0</v>
      </c>
      <c r="M475" s="8" t="str">
        <f>IFERROR(K475-L475,"")</f>
        <v/>
      </c>
      <c r="N475" s="57" t="str">
        <f>IFERROR((K475/H475),"")</f>
        <v/>
      </c>
      <c r="O475" s="9"/>
      <c r="P475" s="10"/>
      <c r="Q475" s="10"/>
      <c r="R475" s="10">
        <f>O475*P475*Q475</f>
        <v>0</v>
      </c>
      <c r="S475" s="41">
        <f t="shared" si="746"/>
        <v>0</v>
      </c>
      <c r="Y475" s="42"/>
      <c r="Z475" s="1"/>
      <c r="AA475" s="206" t="str">
        <f t="shared" si="747"/>
        <v/>
      </c>
    </row>
    <row r="476" spans="1:27" ns3:dyDescent="0.3">
      <c r="A476" s="60"/>
      <c r="B476" s="11"/>
      <c r="C476" s="164" t="s">
        <v>840</v>
      </c>
      <c r="D476" s="166">
        <f t="shared" ref="D476:D477" si="748">IFERROR((F476/E476),"")</f>
        <v>-0.2</v>
      </c>
      <c r="E476" s="4">
        <v>15</v>
      </c>
      <c r="F476" s="3">
        <f>IFERROR((L476-K476),"")</f>
        <v>-3</v>
      </c>
      <c r="G476" s="5">
        <f>G470</f>
        <v>4.5</v>
      </c>
      <c r="H476" s="6">
        <f>ROUNDUP((B477*C477)/1000,1)</f>
        <v>6</v>
      </c>
      <c r="I476" s="34">
        <f t="shared" ref="I476:I477" si="749">IFERROR((S476*E476),"")</f>
        <v>30</v>
      </c>
      <c r="J476" s="78">
        <f>IFERROR(VLOOKUP(C476,[2]Sheet1!$D:$J,7,0),"")</f>
        <v>0</v>
      </c>
      <c r="K476" s="80">
        <f t="shared" ref="K476:K477" si="750">IFERROR((I476+J476),"")</f>
        <v>30</v>
      </c>
      <c r="L476" s="7">
        <f t="shared" ref="L476:L477" si="751">IFERROR((G476*H476),"")</f>
        <v>27</v>
      </c>
      <c r="M476" s="8">
        <f t="shared" ref="M476:M477" si="752">IFERROR(K476-L476,"")</f>
        <v>3</v>
      </c>
      <c r="N476" s="57">
        <f t="shared" ref="N476:N477" si="753">IFERROR((K476/H476),"")</f>
        <v>5</v>
      </c>
      <c r="O476" s="9"/>
      <c r="P476" s="10"/>
      <c r="Q476" s="10">
        <v>3133</v>
      </c>
      <c r="R476" s="10">
        <f t="shared" ref="R476:R477" si="754">O476*P476*Q476</f>
        <v>0</v>
      </c>
      <c r="S476" s="41">
        <f>SUM(Y476,T476:X476)</f>
        <v>2</v>
      </c>
      <c r="T476" s="173">
        <v>1</v>
      </c>
      <c r="U476" s="173"/>
      <c r="V476" s="173">
        <v>1</v>
      </c>
      <c r="W476" s="173"/>
      <c r="X476" s="173"/>
      <c r="Y476" s="220"/>
      <c r="Z476" s="1"/>
      <c r="AA476" s="206">
        <f>IFERROR(H476*7.5/E476/7,"")</f>
        <v>0.42857142857142855</v>
      </c>
    </row>
    <row r="477" spans="1:27" ns3:dyDescent="0.3">
      <c r="A477" s="60" t="s">
        <v>776</v>
      </c>
      <c r="B477" s="11">
        <f>ROUNDUP(HLOOKUP(A477,'야채 계산기'!$2:$3,2,0)*1.03,0)</f>
        <v>567</v>
      </c>
      <c r="C477" s="164">
        <v>10.41</v>
      </c>
      <c r="D477" s="166" t="str">
        <f t="shared" si="748"/>
        <v/>
      </c>
      <c r="E477" s="4"/>
      <c r="F477" s="3"/>
      <c r="G477" s="55"/>
      <c r="H477" s="6"/>
      <c r="I477" s="34">
        <f t="shared" si="749"/>
        <v>0</v>
      </c>
      <c r="J477" s="78" t="str">
        <f>IFERROR(VLOOKUP(C477,[2]Sheet1!$D:$J,7,0),"")</f>
        <v/>
      </c>
      <c r="K477" s="80" t="str">
        <f t="shared" si="750"/>
        <v/>
      </c>
      <c r="L477" s="7">
        <f t="shared" si="751"/>
        <v>0</v>
      </c>
      <c r="M477" s="8" t="str">
        <f t="shared" si="752"/>
        <v/>
      </c>
      <c r="N477" s="57" t="str">
        <f t="shared" si="753"/>
        <v/>
      </c>
      <c r="O477" s="9"/>
      <c r="P477" s="10"/>
      <c r="Q477" s="10"/>
      <c r="R477" s="10">
        <f t="shared" si="754"/>
        <v>0</v>
      </c>
      <c r="S477" s="41">
        <f>SUM(Y477,T477:X477)</f>
        <v>0</v>
      </c>
      <c r="Y477" s="42"/>
      <c r="Z477" s="1"/>
      <c r="AA477" s="206" t="str">
        <f>IFERROR(H477*7.5/E477/7,"")</f>
        <v/>
      </c>
    </row>
    <row r="478" spans="1:27" ns3:dyDescent="0.3">
      <c r="A478" s="60"/>
      <c r="B478" s="11"/>
      <c r="C478" s="164" t="s">
        <v>692</v>
      </c>
      <c r="D478" s="166">
        <f t="shared" si="729"/>
        <v>-2.9</v>
      </c>
      <c r="E478" s="4">
        <v>10</v>
      </c>
      <c r="F478" s="3">
        <f>IFERROR((L478-K478),"")</f>
        <v>-29</v>
      </c>
      <c r="G478" s="5">
        <f>G472</f>
        <v>4.5</v>
      </c>
      <c r="H478" s="6">
        <f>ROUNDUP(SUMPRODUCT(B479:B479,C479:C479)/1000,1)</f>
        <v>6</v>
      </c>
      <c r="I478" s="34">
        <f t="shared" si="740"/>
        <v>20</v>
      </c>
      <c r="J478" s="78">
        <f>IFERROR(VLOOKUP(C478,[2]Sheet1!$D:$J,7,0),"")</f>
        <v>36</v>
      </c>
      <c r="K478" s="80">
        <f t="shared" si="741"/>
        <v>56</v>
      </c>
      <c r="L478" s="7">
        <f t="shared" si="742"/>
        <v>27</v>
      </c>
      <c r="M478" s="8">
        <f t="shared" si="743"/>
        <v>29</v>
      </c>
      <c r="N478" s="57">
        <f t="shared" si="744"/>
        <v>9.3333333333333339</v>
      </c>
      <c r="O478" s="9"/>
      <c r="P478" s="10"/>
      <c r="Q478" s="10">
        <v>7100</v>
      </c>
      <c r="R478" s="10">
        <f t="shared" si="745"/>
        <v>0</v>
      </c>
      <c r="S478" s="41">
        <f>SUM(Y478,T478:X478)</f>
        <v>2</v>
      </c>
      <c r="T478" s="173">
        <v>2</v>
      </c>
      <c r="U478" s="173"/>
      <c r="V478" s="173"/>
      <c r="W478" s="173"/>
      <c r="X478" s="173"/>
      <c r="Y478" s="220"/>
      <c r="Z478" s="1"/>
      <c r="AA478" s="206">
        <f>IFERROR(H478*7.5/E478/7,"")</f>
        <v>0.6428571428571429</v>
      </c>
    </row>
    <row r="479" spans="1:27" ns3:dyDescent="0.3">
      <c r="A479" s="273" t="s">
        <v>722</v>
      </c>
      <c r="B479" s="11">
        <f>ROUNDUP(HLOOKUP(A479,'야채 계산기'!$2:$3,2,0)*1.03,0)</f>
        <v>1679</v>
      </c>
      <c r="C479" s="164">
        <v>3.53</v>
      </c>
      <c r="D479" s="166" t="str">
        <f t="shared" si="729"/>
        <v/>
      </c>
      <c r="E479" s="4"/>
      <c r="F479" s="3"/>
      <c r="G479" s="55"/>
      <c r="H479" s="6"/>
      <c r="I479" s="34">
        <f t="shared" si="740"/>
        <v>0</v>
      </c>
      <c r="J479" s="78" t="str">
        <f>IFERROR(VLOOKUP(C479,[2]Sheet1!$D:$J,7,0),"")</f>
        <v/>
      </c>
      <c r="K479" s="80" t="str">
        <f t="shared" si="741"/>
        <v/>
      </c>
      <c r="L479" s="7">
        <f t="shared" si="742"/>
        <v>0</v>
      </c>
      <c r="M479" s="8" t="str">
        <f t="shared" si="743"/>
        <v/>
      </c>
      <c r="N479" s="57" t="str">
        <f t="shared" si="744"/>
        <v/>
      </c>
      <c r="O479" s="9"/>
      <c r="P479" s="10"/>
      <c r="Q479" s="10"/>
      <c r="R479" s="10">
        <f t="shared" si="745"/>
        <v>0</v>
      </c>
      <c r="S479" s="41">
        <f>SUM(Y479,T479:X479)</f>
        <v>0</v>
      </c>
      <c r="Y479" s="42"/>
      <c r="Z479" s="1"/>
      <c r="AA479" s="206" t="str">
        <f>IFERROR(H479*7.5/E479/7,"")</f>
        <v/>
      </c>
    </row>
    <row r="480" spans="1:27" ns3:dyDescent="0.3">
      <c r="A480" s="60"/>
      <c r="B480" s="11"/>
      <c r="C480" s="164" t="s">
        <v>841</v>
      </c>
      <c r="D480" s="166">
        <f t="shared" si="729"/>
        <v>-1.8000000000000007</v>
      </c>
      <c r="E480" s="4">
        <v>2</v>
      </c>
      <c r="F480" s="3">
        <f>IFERROR((L480-K480),"")</f>
        <v>-3.6000000000000014</v>
      </c>
      <c r="G480" s="5">
        <f>G470</f>
        <v>4.5</v>
      </c>
      <c r="H480" s="6">
        <f>ROUNDUP(SUMPRODUCT(B481:B482,C481:C482)/10000,1)</f>
        <v>9.1999999999999993</v>
      </c>
      <c r="I480" s="34">
        <f t="shared" si="740"/>
        <v>32</v>
      </c>
      <c r="J480" s="78">
        <f>IFERROR(VLOOKUP(C480,[2]Sheet1!$D:$J,7,0),"")</f>
        <v>13</v>
      </c>
      <c r="K480" s="80">
        <f t="shared" si="741"/>
        <v>45</v>
      </c>
      <c r="L480" s="7">
        <f t="shared" si="742"/>
        <v>41.4</v>
      </c>
      <c r="M480" s="8">
        <f t="shared" si="743"/>
        <v>3.6000000000000014</v>
      </c>
      <c r="N480" s="57">
        <f t="shared" si="744"/>
        <v>4.8913043478260869</v>
      </c>
      <c r="O480" s="9"/>
      <c r="P480" s="10"/>
      <c r="Q480" s="10">
        <v>31000</v>
      </c>
      <c r="R480" s="10">
        <f t="shared" si="745"/>
        <v>0</v>
      </c>
      <c r="S480" s="41">
        <f t="shared" si="692"/>
        <v>16</v>
      </c>
      <c r="T480" s="173">
        <v>6</v>
      </c>
      <c r="U480" s="173">
        <v>6</v>
      </c>
      <c r="V480" s="173">
        <v>4</v>
      </c>
      <c r="W480" s="173"/>
      <c r="X480" s="173"/>
      <c r="Y480" s="220"/>
      <c r="Z480" s="1"/>
      <c r="AA480" s="206">
        <f t="shared" si="672"/>
        <v>4.9285714285714288</v>
      </c>
    </row>
    <row r="481" spans="1:27" ns3:dyDescent="0.3">
      <c r="A481" s="60" t="s">
        <v>843</v>
      </c>
      <c r="B481" s="11">
        <f>ROUNDUP(HLOOKUP(A481,'야채 계산기'!$2:$3,2,0)*1.03,0)</f>
        <v>1834</v>
      </c>
      <c r="C481" s="164">
        <v>31.58</v>
      </c>
      <c r="D481" s="166" t="str">
        <f t="shared" ref="D481" si="755">IFERROR((F481/E481),"")</f>
        <v/>
      </c>
      <c r="E481" s="4"/>
      <c r="F481" s="3"/>
      <c r="G481" s="55"/>
      <c r="H481" s="6"/>
      <c r="I481" s="34">
        <f t="shared" ref="I481" si="756">IFERROR((S481*E481),"")</f>
        <v>0</v>
      </c>
      <c r="J481" s="78" t="str">
        <f>IFERROR(VLOOKUP(C481,[2]Sheet1!$D:$J,7,0),"")</f>
        <v/>
      </c>
      <c r="K481" s="80" t="str">
        <f t="shared" ref="K481" si="757">IFERROR((I481+J481),"")</f>
        <v/>
      </c>
      <c r="L481" s="7">
        <f t="shared" ref="L481" si="758">IFERROR((G481*H481),"")</f>
        <v>0</v>
      </c>
      <c r="M481" s="8" t="str">
        <f t="shared" ref="M481" si="759">IFERROR(K481-L481,"")</f>
        <v/>
      </c>
      <c r="N481" s="57" t="str">
        <f t="shared" ref="N481" si="760">IFERROR((K481/H481),"")</f>
        <v/>
      </c>
      <c r="O481" s="9"/>
      <c r="P481" s="10"/>
      <c r="Q481" s="10"/>
      <c r="R481" s="10">
        <f t="shared" ref="R481" si="761">O481*P481*Q481</f>
        <v>0</v>
      </c>
      <c r="S481" s="41">
        <f t="shared" ref="S481" si="762">SUM(Y481,T481:X481)</f>
        <v>0</v>
      </c>
      <c r="Y481" s="42"/>
      <c r="Z481" s="1"/>
      <c r="AA481" s="206" t="str">
        <f t="shared" ref="AA481" si="763">IFERROR(H481*7.5/E481/7,"")</f>
        <v/>
      </c>
    </row>
    <row r="482" spans="1:27" ns3:dyDescent="0.3">
      <c r="A482" s="60" t="s">
        <v>888</v>
      </c>
      <c r="B482" s="11">
        <f>ROUNDUP(HLOOKUP(A482,'야채 계산기'!$2:$3,2,0)*1.03,0)</f>
        <v>1875</v>
      </c>
      <c r="C482" s="164">
        <v>17.91</v>
      </c>
      <c r="D482" s="166" t="str">
        <f t="shared" si="729"/>
        <v/>
      </c>
      <c r="E482" s="4"/>
      <c r="F482" s="3"/>
      <c r="G482" s="55"/>
      <c r="H482" s="6"/>
      <c r="I482" s="34">
        <f t="shared" si="740"/>
        <v>0</v>
      </c>
      <c r="J482" s="78" t="str">
        <f>IFERROR(VLOOKUP(C482,[2]Sheet1!$D:$J,7,0),"")</f>
        <v/>
      </c>
      <c r="K482" s="80" t="str">
        <f t="shared" si="741"/>
        <v/>
      </c>
      <c r="L482" s="7">
        <f t="shared" si="742"/>
        <v>0</v>
      </c>
      <c r="M482" s="8" t="str">
        <f t="shared" si="743"/>
        <v/>
      </c>
      <c r="N482" s="57" t="str">
        <f t="shared" si="744"/>
        <v/>
      </c>
      <c r="O482" s="9"/>
      <c r="P482" s="10"/>
      <c r="Q482" s="10"/>
      <c r="R482" s="10">
        <f t="shared" si="745"/>
        <v>0</v>
      </c>
      <c r="S482" s="41">
        <f t="shared" si="692"/>
        <v>0</v>
      </c>
      <c r="Y482" s="42"/>
      <c r="Z482" s="1"/>
      <c r="AA482" s="206" t="str">
        <f t="shared" si="672"/>
        <v/>
      </c>
    </row>
    <row r="483" spans="1:27" ns3:dyDescent="0.3">
      <c r="A483" s="60"/>
      <c r="B483" s="11"/>
      <c r="C483" s="164" t="s">
        <v>842</v>
      </c>
      <c r="D483" s="166">
        <f t="shared" ref="D483:D487" si="764">IFERROR((F483/E483),"")</f>
        <v>-25.849999999999994</v>
      </c>
      <c r="E483" s="4">
        <v>3</v>
      </c>
      <c r="F483" s="3">
        <f>IFERROR((L483-K483),"")</f>
        <v>-77.549999999999983</v>
      </c>
      <c r="G483" s="5">
        <f>G472</f>
        <v>4.5</v>
      </c>
      <c r="H483" s="6">
        <f>ROUNDUP(SUMPRODUCT(B484:B488,C484:C488)/5000,1)</f>
        <v>36.1</v>
      </c>
      <c r="I483" s="34">
        <f t="shared" ref="I483:I496" si="765">IFERROR((S483*E483),"")</f>
        <v>180</v>
      </c>
      <c r="J483" s="78">
        <f>IFERROR(VLOOKUP(C483,[2]Sheet1!$D:$J,7,0),"")</f>
        <v>60</v>
      </c>
      <c r="K483" s="80">
        <f t="shared" ref="K483:K500" si="766">IFERROR((I483+J483),"")</f>
        <v>240</v>
      </c>
      <c r="L483" s="7">
        <f t="shared" ref="L483:L496" si="767">IFERROR((G483*H483),"")</f>
        <v>162.45000000000002</v>
      </c>
      <c r="M483" s="8">
        <f t="shared" ref="M483:M496" si="768">IFERROR(K483-L483,"")</f>
        <v>77.549999999999983</v>
      </c>
      <c r="N483" s="57">
        <f t="shared" ref="N483:N495" si="769">IFERROR((K483/H483),"")</f>
        <v>6.6481994459833791</v>
      </c>
      <c r="O483" s="9"/>
      <c r="P483" s="10"/>
      <c r="Q483" s="10">
        <v>19700</v>
      </c>
      <c r="R483" s="10">
        <f t="shared" si="730"/>
        <v>0</v>
      </c>
      <c r="S483" s="41">
        <f>SUM(Y483,T483:X483)</f>
        <v>60</v>
      </c>
      <c r="T483" s="173">
        <v>20</v>
      </c>
      <c r="U483" s="173">
        <v>20</v>
      </c>
      <c r="V483" s="173">
        <v>20</v>
      </c>
      <c r="W483" s="173"/>
      <c r="X483" s="173"/>
      <c r="Y483" s="220"/>
      <c r="Z483" s="1"/>
      <c r="AA483" s="206">
        <f t="shared" si="672"/>
        <v>12.892857142857142</v>
      </c>
    </row>
    <row r="484" spans="1:27" ns3:dyDescent="0.3">
      <c r="A484" s="60" t="s">
        <v>844</v>
      </c>
      <c r="B484" s="11">
        <f>ROUNDUP(HLOOKUP(A484,'야채 계산기'!$2:$3,2,0)*1.03,0)</f>
        <v>1113</v>
      </c>
      <c r="C484" s="164">
        <f>'[1]뭘좋아할지몰라다넣어봤어(26.08.11)'!$B$11</f>
        <v>24.29</v>
      </c>
      <c r="D484" s="166" t="str">
        <f t="shared" si="764"/>
        <v/>
      </c>
      <c r="E484" s="4"/>
      <c r="F484" s="3"/>
      <c r="G484" s="5"/>
      <c r="H484" s="6"/>
      <c r="I484" s="34">
        <f t="shared" si="765"/>
        <v>0</v>
      </c>
      <c r="J484" s="78" t="str">
        <f>IFERROR(VLOOKUP(C484,[2]Sheet1!$D:$J,7,0),"")</f>
        <v/>
      </c>
      <c r="K484" s="80" t="str">
        <f t="shared" si="766"/>
        <v/>
      </c>
      <c r="L484" s="7">
        <f t="shared" si="767"/>
        <v>0</v>
      </c>
      <c r="M484" s="8" t="str">
        <f t="shared" si="768"/>
        <v/>
      </c>
      <c r="N484" s="57" t="str">
        <f t="shared" si="769"/>
        <v/>
      </c>
      <c r="O484" s="9"/>
      <c r="P484" s="10"/>
      <c r="Q484" s="10"/>
      <c r="R484" s="10">
        <f t="shared" ref="R484:R500" si="770">O484*P484*Q484</f>
        <v>0</v>
      </c>
      <c r="S484" s="41">
        <f t="shared" si="692"/>
        <v>0</v>
      </c>
      <c r="Y484" s="42"/>
      <c r="Z484" s="1"/>
      <c r="AA484" s="206" t="str">
        <f t="shared" si="672"/>
        <v/>
      </c>
    </row>
    <row r="485" spans="1:27" ns3:dyDescent="0.3">
      <c r="A485" s="16" t="s">
        <v>494</v>
      </c>
      <c r="B485" s="11">
        <f>ROUNDUP(HLOOKUP(A485,'야채 계산기'!$2:$3,2,0)*1.03,0)</f>
        <v>660</v>
      </c>
      <c r="C485" s="164">
        <v>24.34</v>
      </c>
      <c r="D485" s="166" t="str">
        <f t="shared" si="764"/>
        <v/>
      </c>
      <c r="E485" s="4"/>
      <c r="F485" s="3"/>
      <c r="G485" s="5"/>
      <c r="H485" s="6"/>
      <c r="I485" s="34">
        <f t="shared" si="765"/>
        <v>0</v>
      </c>
      <c r="J485" s="78" t="str">
        <f>IFERROR(VLOOKUP(C485,[2]Sheet1!$D:$J,7,0),"")</f>
        <v/>
      </c>
      <c r="K485" s="80" t="str">
        <f t="shared" si="766"/>
        <v/>
      </c>
      <c r="L485" s="7">
        <f t="shared" si="767"/>
        <v>0</v>
      </c>
      <c r="M485" s="8" t="str">
        <f t="shared" si="768"/>
        <v/>
      </c>
      <c r="N485" s="57" t="str">
        <f t="shared" si="769"/>
        <v/>
      </c>
      <c r="O485" s="9"/>
      <c r="P485" s="10"/>
      <c r="Q485" s="10"/>
      <c r="R485" s="10">
        <f t="shared" si="770"/>
        <v>0</v>
      </c>
      <c r="S485" s="41">
        <f t="shared" si="692"/>
        <v>0</v>
      </c>
      <c r="Y485" s="42"/>
      <c r="Z485" s="1"/>
      <c r="AA485" s="206" t="str">
        <f t="shared" si="672"/>
        <v/>
      </c>
    </row>
    <row r="486" spans="1:27" ns3:dyDescent="0.3">
      <c r="A486" s="16" t="s">
        <v>760</v>
      </c>
      <c r="B486" s="11">
        <f>ROUNDUP(HLOOKUP(A486,'야채 계산기'!$2:$3,2,0)*1.03,0)</f>
        <v>2266</v>
      </c>
      <c r="C486" s="62">
        <f>'[1]혜자)돌아온 명불허전(25.8.12)'!$B$25</f>
        <v>30.42</v>
      </c>
      <c r="D486" s="166" t="str">
        <f t="shared" si="764"/>
        <v/>
      </c>
      <c r="E486" s="4"/>
      <c r="F486" s="3"/>
      <c r="G486" s="5"/>
      <c r="H486" s="6"/>
      <c r="I486" s="34">
        <f t="shared" si="765"/>
        <v>0</v>
      </c>
      <c r="J486" s="78" t="str">
        <f>IFERROR(VLOOKUP(C486,[2]Sheet1!$D:$J,7,0),"")</f>
        <v/>
      </c>
      <c r="K486" s="80" t="str">
        <f t="shared" si="766"/>
        <v/>
      </c>
      <c r="L486" s="7">
        <f t="shared" si="767"/>
        <v>0</v>
      </c>
      <c r="M486" s="8" t="str">
        <f t="shared" si="768"/>
        <v/>
      </c>
      <c r="N486" s="57" t="str">
        <f t="shared" si="769"/>
        <v/>
      </c>
      <c r="O486" s="9"/>
      <c r="P486" s="10"/>
      <c r="Q486" s="10"/>
      <c r="R486" s="10">
        <f t="shared" si="770"/>
        <v>0</v>
      </c>
      <c r="S486" s="41">
        <f t="shared" si="692"/>
        <v>0</v>
      </c>
      <c r="Y486" s="42"/>
      <c r="Z486" s="1"/>
      <c r="AA486" s="206" t="str">
        <f t="shared" si="672"/>
        <v/>
      </c>
    </row>
    <row r="487" spans="1:27" ns3:dyDescent="0.3">
      <c r="A487" s="16" t="s">
        <v>624</v>
      </c>
      <c r="B487" s="11">
        <f>ROUNDUP(HLOOKUP(A487,'야채 계산기'!$2:$3,2,0)*1.03,0)</f>
        <v>1206</v>
      </c>
      <c r="C487" s="62">
        <v>30.42</v>
      </c>
      <c r="D487" s="166" t="str">
        <f t="shared" si="764"/>
        <v/>
      </c>
      <c r="E487" s="4"/>
      <c r="F487" s="3"/>
      <c r="G487" s="5"/>
      <c r="H487" s="6"/>
      <c r="I487" s="34">
        <f t="shared" si="765"/>
        <v>0</v>
      </c>
      <c r="J487" s="78" t="str">
        <f>IFERROR(VLOOKUP(C487,[2]Sheet1!$D:$J,7,0),"")</f>
        <v/>
      </c>
      <c r="K487" s="80" t="str">
        <f t="shared" si="766"/>
        <v/>
      </c>
      <c r="L487" s="7">
        <f t="shared" si="767"/>
        <v>0</v>
      </c>
      <c r="M487" s="8" t="str">
        <f t="shared" si="768"/>
        <v/>
      </c>
      <c r="N487" s="57" t="str">
        <f t="shared" si="769"/>
        <v/>
      </c>
      <c r="O487" s="9"/>
      <c r="P487" s="10"/>
      <c r="Q487" s="10"/>
      <c r="R487" s="10">
        <f t="shared" si="770"/>
        <v>0</v>
      </c>
      <c r="S487" s="41">
        <f t="shared" ref="S487:S516" si="771">SUM(Y487,T487:X487)</f>
        <v>0</v>
      </c>
      <c r="Y487" s="42"/>
      <c r="Z487" s="1"/>
      <c r="AA487" s="206" t="str">
        <f t="shared" si="672"/>
        <v/>
      </c>
    </row>
    <row r="488" spans="1:27" ns3:dyDescent="0.3">
      <c r="A488" s="16" t="s">
        <v>711</v>
      </c>
      <c r="B488" s="11">
        <f>ROUNDUP(HLOOKUP(A488,'야채 계산기'!$2:$3,2,0)*1.03,0)</f>
        <v>1731</v>
      </c>
      <c r="C488" s="62">
        <v>18.25</v>
      </c>
      <c r="D488" s="166" t="str">
        <f t="shared" ref="D488:D490" si="772">IFERROR((F488/E488),"")</f>
        <v/>
      </c>
      <c r="E488" s="4"/>
      <c r="F488" s="3"/>
      <c r="G488" s="55"/>
      <c r="H488" s="6"/>
      <c r="I488" s="34">
        <f t="shared" ref="I488:I490" si="773">IFERROR((S488*E488),"")</f>
        <v>0</v>
      </c>
      <c r="J488" s="78" t="str">
        <f>IFERROR(VLOOKUP(C488,[2]Sheet1!$D:$J,7,0),"")</f>
        <v/>
      </c>
      <c r="K488" s="80" t="str">
        <f t="shared" ref="K488:K490" si="774">IFERROR((I488+J488),"")</f>
        <v/>
      </c>
      <c r="L488" s="7">
        <f t="shared" ref="L488:L490" si="775">IFERROR((G488*H488),"")</f>
        <v>0</v>
      </c>
      <c r="M488" s="8" t="str">
        <f t="shared" ref="M488:M490" si="776">IFERROR(K488-L488,"")</f>
        <v/>
      </c>
      <c r="N488" s="57" t="str">
        <f t="shared" ref="N488:N490" si="777">IFERROR((K488/H488),"")</f>
        <v/>
      </c>
      <c r="O488" s="9"/>
      <c r="P488" s="10"/>
      <c r="Q488" s="10"/>
      <c r="R488" s="10">
        <f t="shared" ref="R488:R490" si="778">O488*P488*Q488</f>
        <v>0</v>
      </c>
      <c r="S488" s="41">
        <f t="shared" si="771"/>
        <v>0</v>
      </c>
      <c r="Y488" s="42"/>
      <c r="Z488" s="1"/>
      <c r="AA488" s="206" t="str">
        <f t="shared" si="672"/>
        <v/>
      </c>
    </row>
    <row r="489" spans="1:27" ns3:dyDescent="0.3">
      <c r="A489" s="16"/>
      <c r="B489" s="11"/>
      <c r="C489" s="164" t="s">
        <v>845</v>
      </c>
      <c r="D489" s="166">
        <f t="shared" si="772"/>
        <v>-1.986666666666667</v>
      </c>
      <c r="E489" s="4">
        <v>15</v>
      </c>
      <c r="F489" s="3">
        <f>IFERROR((L489-K489),"")</f>
        <v>-29.800000000000004</v>
      </c>
      <c r="G489" s="5">
        <f>G472</f>
        <v>4.5</v>
      </c>
      <c r="H489" s="6">
        <f>ROUNDUP((B490*C490)/1000,1)</f>
        <v>7.6</v>
      </c>
      <c r="I489" s="34">
        <f t="shared" si="773"/>
        <v>30</v>
      </c>
      <c r="J489" s="78">
        <f>IFERROR(VLOOKUP(C489,[2]Sheet1!$D:$J,7,0),"")</f>
        <v>34</v>
      </c>
      <c r="K489" s="80">
        <f t="shared" si="774"/>
        <v>64</v>
      </c>
      <c r="L489" s="7">
        <f t="shared" si="775"/>
        <v>34.199999999999996</v>
      </c>
      <c r="M489" s="8">
        <f t="shared" si="776"/>
        <v>29.800000000000004</v>
      </c>
      <c r="N489" s="57">
        <f t="shared" si="777"/>
        <v>8.4210526315789469</v>
      </c>
      <c r="O489" s="9"/>
      <c r="P489" s="10"/>
      <c r="Q489" s="10">
        <v>6300</v>
      </c>
      <c r="R489" s="10">
        <f t="shared" si="778"/>
        <v>0</v>
      </c>
      <c r="S489" s="41">
        <f t="shared" ref="S489:S492" si="779">SUM(Y489,T489:X489)</f>
        <v>2</v>
      </c>
      <c r="T489" s="173">
        <v>2</v>
      </c>
      <c r="U489" s="173"/>
      <c r="V489" s="173"/>
      <c r="W489" s="173"/>
      <c r="X489" s="173"/>
      <c r="Y489" s="220"/>
      <c r="Z489" s="1"/>
      <c r="AA489" s="206">
        <f t="shared" ref="AA489:AA492" si="780">IFERROR(H489*7.5/E489/7,"")</f>
        <v>0.54285714285714282</v>
      </c>
    </row>
    <row r="490" spans="1:27" ns3:dyDescent="0.3">
      <c r="A490" s="16" t="s">
        <v>785</v>
      </c>
      <c r="B490" s="11">
        <f>ROUNDUP(HLOOKUP(A490,'야채 계산기'!$2:$3,2,0)*1.03,0)</f>
        <v>567</v>
      </c>
      <c r="C490" s="62">
        <v>13.4</v>
      </c>
      <c r="D490" s="166" t="str">
        <f t="shared" si="772"/>
        <v/>
      </c>
      <c r="E490" s="4"/>
      <c r="F490" s="3"/>
      <c r="G490" s="55"/>
      <c r="H490" s="6"/>
      <c r="I490" s="34">
        <f t="shared" si="773"/>
        <v>0</v>
      </c>
      <c r="J490" s="78" t="str">
        <f>IFERROR(VLOOKUP(C490,[2]Sheet1!$D:$J,7,0),"")</f>
        <v/>
      </c>
      <c r="K490" s="80" t="str">
        <f t="shared" si="774"/>
        <v/>
      </c>
      <c r="L490" s="7">
        <f t="shared" si="775"/>
        <v>0</v>
      </c>
      <c r="M490" s="8" t="str">
        <f t="shared" si="776"/>
        <v/>
      </c>
      <c r="N490" s="57" t="str">
        <f t="shared" si="777"/>
        <v/>
      </c>
      <c r="O490" s="9"/>
      <c r="P490" s="10"/>
      <c r="Q490" s="10"/>
      <c r="R490" s="10">
        <f t="shared" si="778"/>
        <v>0</v>
      </c>
      <c r="S490" s="41">
        <f t="shared" si="779"/>
        <v>0</v>
      </c>
      <c r="Y490" s="42"/>
      <c r="Z490" s="1"/>
      <c r="AA490" s="206" t="str">
        <f t="shared" si="780"/>
        <v/>
      </c>
    </row>
    <row r="491" spans="1:27" ns3:dyDescent="0.3">
      <c r="A491" s="16"/>
      <c r="B491" s="11"/>
      <c r="C491" s="62" t="s">
        <v>653</v>
      </c>
      <c r="D491" s="166">
        <f t="shared" ref="D491:D492" si="781">IFERROR((F491/E491),"")</f>
        <v>-0.15333333333333218</v>
      </c>
      <c r="E491" s="4">
        <v>15</v>
      </c>
      <c r="F491" s="3">
        <f>IFERROR((L491-K491),"")</f>
        <v>-2.2999999999999829</v>
      </c>
      <c r="G491" s="5">
        <f>G489</f>
        <v>4.5</v>
      </c>
      <c r="H491" s="6">
        <f>ROUNDUP((B492*C492)/1000,1)</f>
        <v>30.6</v>
      </c>
      <c r="I491" s="34">
        <f t="shared" ref="I491:I492" si="782">IFERROR((S491*E491),"")</f>
        <v>90</v>
      </c>
      <c r="J491" s="78">
        <f>IFERROR(VLOOKUP(C491,[2]Sheet1!$D:$J,7,0),"")</f>
        <v>50</v>
      </c>
      <c r="K491" s="80">
        <f t="shared" ref="K491:K492" si="783">IFERROR((I491+J491),"")</f>
        <v>140</v>
      </c>
      <c r="L491" s="7">
        <f t="shared" ref="L491:L492" si="784">IFERROR((G491*H491),"")</f>
        <v>137.70000000000002</v>
      </c>
      <c r="M491" s="8">
        <f t="shared" ref="M491:M492" si="785">IFERROR(K491-L491,"")</f>
        <v>2.2999999999999829</v>
      </c>
      <c r="N491" s="57">
        <f t="shared" ref="N491:N492" si="786">IFERROR((K491/H491),"")</f>
        <v>4.5751633986928102</v>
      </c>
      <c r="O491" s="9"/>
      <c r="P491" s="10"/>
      <c r="Q491" s="10">
        <v>10300</v>
      </c>
      <c r="R491" s="10">
        <f t="shared" ref="R491:R492" si="787">O491*P491*Q491</f>
        <v>0</v>
      </c>
      <c r="S491" s="41">
        <f t="shared" si="779"/>
        <v>6</v>
      </c>
      <c r="T491" s="173">
        <v>2</v>
      </c>
      <c r="U491" s="173">
        <v>2</v>
      </c>
      <c r="V491" s="173">
        <v>2</v>
      </c>
      <c r="W491" s="173"/>
      <c r="X491" s="173"/>
      <c r="Y491" s="220"/>
      <c r="Z491" s="1"/>
      <c r="AA491" s="206">
        <f t="shared" si="780"/>
        <v>2.1857142857142859</v>
      </c>
    </row>
    <row r="492" spans="1:27" ns3:dyDescent="0.3">
      <c r="A492" s="16" t="s">
        <v>649</v>
      </c>
      <c r="B492" s="11">
        <f>ROUNDUP(HLOOKUP(A492,'야채 계산기'!$2:$3,2,0)*1.03,0)</f>
        <v>742</v>
      </c>
      <c r="C492" s="62">
        <f>'[1]플름)진미채치즈김밥(26.08.25)'!$B$10</f>
        <v>41.23</v>
      </c>
      <c r="D492" s="166" t="str">
        <f t="shared" si="781"/>
        <v/>
      </c>
      <c r="E492" s="4"/>
      <c r="F492" s="3"/>
      <c r="G492" s="55"/>
      <c r="H492" s="6"/>
      <c r="I492" s="34">
        <f t="shared" si="782"/>
        <v>0</v>
      </c>
      <c r="J492" s="78" t="str">
        <f>IFERROR(VLOOKUP(C492,[2]Sheet1!$D:$J,7,0),"")</f>
        <v/>
      </c>
      <c r="K492" s="80" t="str">
        <f t="shared" si="783"/>
        <v/>
      </c>
      <c r="L492" s="7">
        <f t="shared" si="784"/>
        <v>0</v>
      </c>
      <c r="M492" s="8" t="str">
        <f t="shared" si="785"/>
        <v/>
      </c>
      <c r="N492" s="57" t="str">
        <f t="shared" si="786"/>
        <v/>
      </c>
      <c r="O492" s="9"/>
      <c r="P492" s="10"/>
      <c r="Q492" s="10"/>
      <c r="R492" s="10">
        <f t="shared" si="787"/>
        <v>0</v>
      </c>
      <c r="S492" s="41">
        <f t="shared" si="779"/>
        <v>0</v>
      </c>
      <c r="Y492" s="42"/>
      <c r="Z492" s="1"/>
      <c r="AA492" s="206" t="str">
        <f t="shared" si="780"/>
        <v/>
      </c>
    </row>
    <row r="493" spans="1:27" ns3:dyDescent="0.3">
      <c r="A493" s="16"/>
      <c r="B493" s="11"/>
      <c r="C493" s="62"/>
      <c r="D493" s="166" t="str">
        <f t="shared" ref="D493" si="788">IFERROR((F493/E493),"")</f>
        <v/>
      </c>
      <c r="E493" s="4"/>
      <c r="F493" s="3"/>
      <c r="G493" s="55"/>
      <c r="H493" s="6"/>
      <c r="I493" s="34">
        <f t="shared" ref="I493" si="789">IFERROR((S493*E493),"")</f>
        <v>0</v>
      </c>
      <c r="J493" s="78" t="str">
        <f>IFERROR(VLOOKUP(C493,[2]Sheet1!$D:$J,7,0),"")</f>
        <v/>
      </c>
      <c r="K493" s="80" t="str">
        <f t="shared" ref="K493" si="790">IFERROR((I493+J493),"")</f>
        <v/>
      </c>
      <c r="L493" s="7">
        <f t="shared" ref="L493" si="791">IFERROR((G493*H493),"")</f>
        <v>0</v>
      </c>
      <c r="M493" s="8" t="str">
        <f t="shared" ref="M493" si="792">IFERROR(K493-L493,"")</f>
        <v/>
      </c>
      <c r="N493" s="57" t="str">
        <f t="shared" ref="N493" si="793">IFERROR((K493/H493),"")</f>
        <v/>
      </c>
      <c r="O493" s="9"/>
      <c r="P493" s="10"/>
      <c r="Q493" s="10"/>
      <c r="R493" s="10">
        <f t="shared" ref="R493" si="794">O493*P493*Q493</f>
        <v>0</v>
      </c>
      <c r="S493" s="41">
        <f t="shared" si="771"/>
        <v>0</v>
      </c>
      <c r="Y493" s="42"/>
      <c r="Z493" s="1"/>
      <c r="AA493" s="206" t="str">
        <f t="shared" si="672"/>
        <v/>
      </c>
    </row>
    <row r="494" spans="1:27" ns3:dyDescent="0.3">
      <c r="A494" s="16"/>
      <c r="B494" s="11"/>
      <c r="C494" s="62"/>
      <c r="D494" s="166" t="str">
        <f t="shared" ref="D494" si="795">IFERROR((F494/E494),"")</f>
        <v/>
      </c>
      <c r="E494" s="4"/>
      <c r="F494" s="3"/>
      <c r="G494" s="55"/>
      <c r="H494" s="6"/>
      <c r="I494" s="34">
        <f t="shared" ref="I494" si="796">IFERROR((S494*E494),"")</f>
        <v>0</v>
      </c>
      <c r="J494" s="78" t="str">
        <f>IFERROR(VLOOKUP(C494,[2]Sheet1!$D:$J,7,0),"")</f>
        <v/>
      </c>
      <c r="K494" s="80" t="str">
        <f t="shared" ref="K494" si="797">IFERROR((I494+J494),"")</f>
        <v/>
      </c>
      <c r="L494" s="7">
        <f t="shared" ref="L494" si="798">IFERROR((G494*H494),"")</f>
        <v>0</v>
      </c>
      <c r="M494" s="8" t="str">
        <f t="shared" ref="M494" si="799">IFERROR(K494-L494,"")</f>
        <v/>
      </c>
      <c r="N494" s="57" t="str">
        <f t="shared" ref="N494" si="800">IFERROR((K494/H494),"")</f>
        <v/>
      </c>
      <c r="O494" s="9"/>
      <c r="P494" s="10"/>
      <c r="Q494" s="10"/>
      <c r="R494" s="10">
        <f t="shared" ref="R494" si="801">O494*P494*Q494</f>
        <v>0</v>
      </c>
      <c r="S494" s="41">
        <f t="shared" si="771"/>
        <v>0</v>
      </c>
      <c r="Y494" s="42"/>
      <c r="Z494" s="1"/>
      <c r="AA494" s="206" t="str">
        <f t="shared" si="672"/>
        <v/>
      </c>
    </row>
    <row r="495" spans="1:27" ns3:dyDescent="0.3">
      <c r="A495" s="11"/>
      <c r="B495" s="11"/>
      <c r="C495" s="62"/>
      <c r="D495" s="166" t="str">
        <f t="shared" ref="D495:D500" si="802">IFERROR((F495/E495),"")</f>
        <v/>
      </c>
      <c r="E495" s="4"/>
      <c r="F495" s="3"/>
      <c r="G495" s="55"/>
      <c r="H495" s="6"/>
      <c r="I495" s="34">
        <f t="shared" si="765"/>
        <v>0</v>
      </c>
      <c r="J495" s="78" t="str">
        <f>IFERROR(VLOOKUP(C495,[2]Sheet1!$D:$J,7,0),"")</f>
        <v/>
      </c>
      <c r="K495" s="80" t="str">
        <f t="shared" si="766"/>
        <v/>
      </c>
      <c r="L495" s="7">
        <f t="shared" si="767"/>
        <v>0</v>
      </c>
      <c r="M495" s="8" t="str">
        <f t="shared" si="768"/>
        <v/>
      </c>
      <c r="N495" s="57" t="str">
        <f t="shared" si="769"/>
        <v/>
      </c>
      <c r="O495" s="9"/>
      <c r="P495" s="10"/>
      <c r="Q495" s="10"/>
      <c r="R495" s="10">
        <f t="shared" si="770"/>
        <v>0</v>
      </c>
      <c r="S495" s="41">
        <f t="shared" si="771"/>
        <v>0</v>
      </c>
      <c r="Y495" s="42"/>
      <c r="Z495" s="1"/>
      <c r="AA495" s="206" t="str">
        <f t="shared" si="672"/>
        <v/>
      </c>
    </row>
    <row r="496" spans="1:27" ht="15.75" customHeight="1" ns3:dyDescent="0.3">
      <c r="A496" s="96" t="s">
        <v>223</v>
      </c>
      <c r="B496" s="184" t="s">
        <v>32</v>
      </c>
      <c r="C496" s="154" t="s">
        <v>74</v>
      </c>
      <c r="D496" s="166" t="str">
        <f t="shared" si="802"/>
        <v/>
      </c>
      <c r="E496" s="4"/>
      <c r="F496" s="17"/>
      <c r="G496" s="5"/>
      <c r="I496" s="34">
        <f t="shared" si="765"/>
        <v>0</v>
      </c>
      <c r="J496" s="78" t="str">
        <f>IFERROR(VLOOKUP(C496,[2]Sheet1!$D:$J,7,0),"")</f>
        <v/>
      </c>
      <c r="K496" s="80" t="str">
        <f t="shared" si="766"/>
        <v/>
      </c>
      <c r="L496" s="7">
        <f t="shared" si="767"/>
        <v>0</v>
      </c>
      <c r="M496" s="8" t="str">
        <f t="shared" si="768"/>
        <v/>
      </c>
      <c r="N496" s="57"/>
      <c r="O496" s="9"/>
      <c r="P496" s="10"/>
      <c r="Q496" s="10"/>
      <c r="R496" s="10">
        <f t="shared" si="770"/>
        <v>0</v>
      </c>
      <c r="S496" s="41">
        <f t="shared" si="771"/>
        <v>0</v>
      </c>
      <c r="Y496" s="42"/>
      <c r="Z496" s="1"/>
      <c r="AA496" s="206" t="str">
        <f t="shared" si="672"/>
        <v/>
      </c>
    </row>
    <row r="497" spans="1:27" ns3:dyDescent="0.3">
      <c r="A497" s="59"/>
      <c r="B497" s="11"/>
      <c r="C497" s="62" t="s">
        <v>225</v>
      </c>
      <c r="D497" s="166">
        <f t="shared" si="802"/>
        <v>-1.8999999999999986</v>
      </c>
      <c r="E497" s="4">
        <v>6</v>
      </c>
      <c r="F497" s="3">
        <f>IFERROR((L497-K497),"")</f>
        <v>-11.399999999999991</v>
      </c>
      <c r="G497" s="5">
        <f>G478</f>
        <v>4.5</v>
      </c>
      <c r="H497" s="6">
        <f>ROUNDUP((B498*C498)/1000,1)</f>
        <v>26.8</v>
      </c>
      <c r="I497" s="34">
        <f t="shared" ref="I497:I500" si="803">IFERROR((S497*E497),"")</f>
        <v>84</v>
      </c>
      <c r="J497" s="78">
        <f>IFERROR(VLOOKUP(C497,[2]Sheet1!$D:$J,7,0),"")</f>
        <v>48</v>
      </c>
      <c r="K497" s="80">
        <f t="shared" si="766"/>
        <v>132</v>
      </c>
      <c r="L497" s="7">
        <f t="shared" ref="L497:L500" si="804">IFERROR((G497*H497),"")</f>
        <v>120.60000000000001</v>
      </c>
      <c r="M497" s="8">
        <f t="shared" ref="M497:M500" si="805">IFERROR(K497-L497,"")</f>
        <v>11.399999999999991</v>
      </c>
      <c r="N497" s="57">
        <f t="shared" ref="N497:N500" si="806">IFERROR((K497/H497),"")</f>
        <v>4.9253731343283578</v>
      </c>
      <c r="O497" s="9"/>
      <c r="P497" s="10"/>
      <c r="Q497" s="10">
        <v>8190</v>
      </c>
      <c r="R497" s="10">
        <f t="shared" si="770"/>
        <v>0</v>
      </c>
      <c r="S497" s="41">
        <f t="shared" si="771"/>
        <v>14</v>
      </c>
      <c r="T497" s="173">
        <v>6</v>
      </c>
      <c r="U497" s="173">
        <v>4</v>
      </c>
      <c r="V497" s="173">
        <v>4</v>
      </c>
      <c r="W497" s="173"/>
      <c r="X497" s="173"/>
      <c r="Y497" s="220"/>
      <c r="Z497" s="1"/>
      <c r="AA497" s="206">
        <f t="shared" si="672"/>
        <v>4.7857142857142856</v>
      </c>
    </row>
    <row r="498" spans="1:27" ns3:dyDescent="0.3">
      <c r="A498" s="248" t="s">
        <v>709</v>
      </c>
      <c r="B498" s="11">
        <f>ROUNDUP(HLOOKUP(A498,'야채 계산기'!$2:$3,2,0)*1.03,0)</f>
        <v>1731</v>
      </c>
      <c r="C498" s="62">
        <v>15.46</v>
      </c>
      <c r="D498" s="166" t="str">
        <f t="shared" si="802"/>
        <v/>
      </c>
      <c r="E498" s="4"/>
      <c r="F498" s="3"/>
      <c r="G498" s="55"/>
      <c r="H498" s="6"/>
      <c r="I498" s="34">
        <f t="shared" si="803"/>
        <v>0</v>
      </c>
      <c r="J498" s="78" t="str">
        <f>IFERROR(VLOOKUP(C498,[2]Sheet1!$D:$J,7,0),"")</f>
        <v/>
      </c>
      <c r="K498" s="80" t="str">
        <f t="shared" si="766"/>
        <v/>
      </c>
      <c r="L498" s="7">
        <f t="shared" si="804"/>
        <v>0</v>
      </c>
      <c r="M498" s="8" t="str">
        <f t="shared" si="805"/>
        <v/>
      </c>
      <c r="N498" s="57" t="str">
        <f t="shared" si="806"/>
        <v/>
      </c>
      <c r="O498" s="9"/>
      <c r="P498" s="10"/>
      <c r="Q498" s="10"/>
      <c r="R498" s="10">
        <f t="shared" si="770"/>
        <v>0</v>
      </c>
      <c r="S498" s="41">
        <f t="shared" si="771"/>
        <v>0</v>
      </c>
      <c r="Y498" s="42"/>
      <c r="Z498" s="1"/>
      <c r="AA498" s="206" t="str">
        <f t="shared" si="672"/>
        <v/>
      </c>
    </row>
    <row r="499" spans="1:27" hidden="1" ns3:dyDescent="0.3">
      <c r="A499" s="59"/>
      <c r="B499" s="11" t="e">
        <f>ROUNDUP(HLOOKUP(A499,'야채 계산기'!$2:$3,2,0)*1.03,0)</f>
        <v>#N/A</v>
      </c>
      <c r="C499" s="62" t="s">
        <v>224</v>
      </c>
      <c r="D499" s="166" t="str">
        <f t="shared" si="802"/>
        <v/>
      </c>
      <c r="E499" s="4">
        <v>6</v>
      </c>
      <c r="F499" s="3" t="str">
        <f>IFERROR((L499-K499),"")</f>
        <v/>
      </c>
      <c r="G499" s="5">
        <v>1.5</v>
      </c>
      <c r="H499" s="6" t="e">
        <f>ROUNDUP(SUMPRODUCT(B500,C500)/1000,1)</f>
        <v>#N/A</v>
      </c>
      <c r="I499" s="34">
        <f t="shared" si="803"/>
        <v>0</v>
      </c>
      <c r="J499" s="78">
        <f>IFERROR(VLOOKUP(C499,[2]Sheet1!$D:$J,7,0),"")</f>
        <v>0</v>
      </c>
      <c r="K499" s="80">
        <f t="shared" si="766"/>
        <v>0</v>
      </c>
      <c r="L499" s="7" t="str">
        <f t="shared" si="804"/>
        <v/>
      </c>
      <c r="M499" s="8" t="str">
        <f t="shared" si="805"/>
        <v/>
      </c>
      <c r="N499" s="57" t="str">
        <f t="shared" si="806"/>
        <v/>
      </c>
      <c r="O499" s="9"/>
      <c r="P499" s="10"/>
      <c r="Q499" s="10"/>
      <c r="R499" s="10">
        <f t="shared" si="770"/>
        <v>0</v>
      </c>
      <c r="S499" s="41">
        <f t="shared" si="771"/>
        <v>0</v>
      </c>
      <c r="T499" s="173"/>
      <c r="U499" s="173"/>
      <c r="V499" s="173"/>
      <c r="W499" s="183"/>
      <c r="X499" s="183"/>
      <c r="Y499" s="220"/>
      <c r="Z499" s="1"/>
      <c r="AA499" s="206" t="str">
        <f t="shared" si="672"/>
        <v/>
      </c>
    </row>
    <row r="500" spans="1:27" hidden="1" ns3:dyDescent="0.3">
      <c r="A500" s="235" t="s">
        <v>569</v>
      </c>
      <c r="B500" s="11" t="e">
        <f>ROUNDUP(HLOOKUP(A500,'야채 계산기'!$2:$3,2,0)*1.03,0)</f>
        <v>#N/A</v>
      </c>
      <c r="C500" s="62">
        <f>'[1]혜자)갈비양념제육도시락(25.9.30)'!$B$12</f>
        <v>15.46</v>
      </c>
      <c r="D500" s="166" t="str">
        <f t="shared" si="802"/>
        <v/>
      </c>
      <c r="E500" s="4"/>
      <c r="F500" s="3"/>
      <c r="G500" s="55"/>
      <c r="H500" s="6"/>
      <c r="I500" s="34">
        <f t="shared" si="803"/>
        <v>0</v>
      </c>
      <c r="J500" s="78" t="str">
        <f>IFERROR(VLOOKUP(C500,[2]Sheet1!$D:$J,7,0),"")</f>
        <v/>
      </c>
      <c r="K500" s="80" t="str">
        <f t="shared" si="766"/>
        <v/>
      </c>
      <c r="L500" s="7">
        <f t="shared" si="804"/>
        <v>0</v>
      </c>
      <c r="M500" s="8" t="str">
        <f t="shared" si="805"/>
        <v/>
      </c>
      <c r="N500" s="57" t="str">
        <f t="shared" si="806"/>
        <v/>
      </c>
      <c r="O500" s="9"/>
      <c r="P500" s="10"/>
      <c r="Q500" s="10"/>
      <c r="R500" s="10">
        <f t="shared" si="770"/>
        <v>0</v>
      </c>
      <c r="S500" s="41">
        <f t="shared" si="771"/>
        <v>0</v>
      </c>
      <c r="Y500" s="42"/>
      <c r="Z500" s="1"/>
      <c r="AA500" s="206" t="str">
        <f t="shared" si="672"/>
        <v/>
      </c>
    </row>
    <row r="501" spans="1:27" ns3:dyDescent="0.3">
      <c r="A501" s="11"/>
      <c r="B501" s="11"/>
      <c r="C501" s="62"/>
      <c r="D501" s="166" t="str">
        <f t="shared" ref="D501:D505" si="807">IFERROR((F501/E501),"")</f>
        <v/>
      </c>
      <c r="E501" s="4"/>
      <c r="F501" s="3"/>
      <c r="G501" s="55"/>
      <c r="H501" s="6"/>
      <c r="I501" s="34">
        <f t="shared" ref="I501:I527" si="808">IFERROR((S501*E501),"")</f>
        <v>0</v>
      </c>
      <c r="J501" s="78" t="str">
        <f>IFERROR(VLOOKUP(C501,[2]Sheet1!$D:$J,7,0),"")</f>
        <v/>
      </c>
      <c r="K501" s="80" t="str">
        <f>IFERROR((I501+J501),"")</f>
        <v/>
      </c>
      <c r="L501" s="7">
        <f t="shared" ref="L501" si="809">IFERROR((G501*H501),"")</f>
        <v>0</v>
      </c>
      <c r="M501" s="8" t="str">
        <f t="shared" ref="M501" si="810">IFERROR(K501-L501,"")</f>
        <v/>
      </c>
      <c r="N501" s="57" t="str">
        <f t="shared" ref="N501:N505" si="811">IFERROR((K501/H501),"")</f>
        <v/>
      </c>
      <c r="O501" s="9"/>
      <c r="P501" s="10"/>
      <c r="Q501" s="10"/>
      <c r="R501" s="10">
        <f t="shared" ref="R501:R507" si="812">O501*P501*Q501</f>
        <v>0</v>
      </c>
      <c r="S501" s="41">
        <f t="shared" si="771"/>
        <v>0</v>
      </c>
      <c r="Y501" s="42"/>
      <c r="Z501" s="1"/>
      <c r="AA501" s="206" t="str">
        <f t="shared" si="672"/>
        <v/>
      </c>
    </row>
    <row r="502" spans="1:27" ns3:dyDescent="0.3">
      <c r="A502" s="11"/>
      <c r="B502" s="11"/>
      <c r="C502" s="62">
        <v>8</v>
      </c>
      <c r="D502" s="166" t="str">
        <f t="shared" si="807"/>
        <v/>
      </c>
      <c r="E502" s="4"/>
      <c r="F502" s="3"/>
      <c r="G502" s="55"/>
      <c r="H502" s="6"/>
      <c r="I502" s="34">
        <f t="shared" si="808"/>
        <v>0</v>
      </c>
      <c r="J502" s="78" t="str">
        <f>IFERROR(VLOOKUP(C502,[2]Sheet1!$D:$J,7,0),"")</f>
        <v/>
      </c>
      <c r="K502" s="80" t="str">
        <f>IFERROR((I502+J502),"")</f>
        <v/>
      </c>
      <c r="L502" s="7">
        <f t="shared" ref="L502:L528" si="813">IFERROR((G502*H502),"")</f>
        <v>0</v>
      </c>
      <c r="M502" s="8" t="str">
        <f t="shared" ref="M502:M528" si="814">IFERROR(K502-L502,"")</f>
        <v/>
      </c>
      <c r="N502" s="57" t="str">
        <f t="shared" si="811"/>
        <v/>
      </c>
      <c r="O502" s="9"/>
      <c r="P502" s="10"/>
      <c r="Q502" s="10"/>
      <c r="R502" s="10">
        <f t="shared" si="812"/>
        <v>0</v>
      </c>
      <c r="S502" s="41">
        <f t="shared" si="771"/>
        <v>0</v>
      </c>
      <c r="Y502" s="42"/>
      <c r="Z502" s="1"/>
      <c r="AA502" s="206" t="str">
        <f t="shared" si="672"/>
        <v/>
      </c>
    </row>
    <row r="503" spans="1:27" ns3:dyDescent="0.3">
      <c r="A503" s="96" t="s">
        <v>240</v>
      </c>
      <c r="B503" s="184" t="s">
        <v>87</v>
      </c>
      <c r="C503" s="152" t="s">
        <v>90</v>
      </c>
      <c r="D503" s="166" t="str">
        <f t="shared" si="807"/>
        <v/>
      </c>
      <c r="E503" s="4"/>
      <c r="F503" s="17"/>
      <c r="G503" s="5"/>
      <c r="H503" s="6"/>
      <c r="I503" s="34">
        <f t="shared" si="808"/>
        <v>0</v>
      </c>
      <c r="J503" s="78" t="str">
        <f>IFERROR(VLOOKUP(C503,[2]Sheet1!$D:$J,7,0),"")</f>
        <v/>
      </c>
      <c r="K503" s="80" t="str">
        <f>IFERROR((I503+J503),"")</f>
        <v/>
      </c>
      <c r="L503" s="7">
        <f t="shared" si="813"/>
        <v>0</v>
      </c>
      <c r="M503" s="8" t="str">
        <f t="shared" si="814"/>
        <v/>
      </c>
      <c r="N503" s="57" t="str">
        <f t="shared" si="811"/>
        <v/>
      </c>
      <c r="O503" s="9"/>
      <c r="P503" s="10"/>
      <c r="Q503" s="10"/>
      <c r="R503" s="10">
        <f t="shared" si="812"/>
        <v>0</v>
      </c>
      <c r="S503" s="41">
        <f t="shared" si="771"/>
        <v>0</v>
      </c>
      <c r="Y503" s="42"/>
      <c r="Z503" s="1"/>
      <c r="AA503" s="206" t="str">
        <f t="shared" si="672"/>
        <v/>
      </c>
    </row>
    <row r="504" spans="1:27" ht="17.25" customHeight="1" ns3:dyDescent="0.3">
      <c r="A504" s="186" t="s">
        <v>254</v>
      </c>
      <c r="B504" s="11"/>
      <c r="C504" s="144" t="s">
        <v>204</v>
      </c>
      <c r="D504" s="166">
        <f t="shared" si="807"/>
        <v>1.9922499999999985</v>
      </c>
      <c r="E504" s="4">
        <v>6</v>
      </c>
      <c r="F504" s="3">
        <f>IFERROR((L504-K504),"")</f>
        <v>11.953499999999991</v>
      </c>
      <c r="G504" s="5">
        <f>G478</f>
        <v>4.5</v>
      </c>
      <c r="H504" s="39">
        <f>ROUNDUP(SUMPRODUCT(B505:B505,C505:C505)/3000,1)*0.87</f>
        <v>37.323</v>
      </c>
      <c r="I504" s="34">
        <f t="shared" si="808"/>
        <v>120</v>
      </c>
      <c r="J504" s="78">
        <f>IFERROR(VLOOKUP(C504,[2]Sheet1!$D:$J,7,0),"")</f>
        <v>36</v>
      </c>
      <c r="K504" s="80">
        <f t="shared" ref="K504:K528" si="815">IFERROR((I504+J504),"")</f>
        <v>156</v>
      </c>
      <c r="L504" s="7">
        <f t="shared" si="813"/>
        <v>167.95349999999999</v>
      </c>
      <c r="M504" s="8">
        <f t="shared" si="814"/>
        <v>-11.953499999999991</v>
      </c>
      <c r="N504" s="57">
        <f t="shared" si="811"/>
        <v>4.179728317659352</v>
      </c>
      <c r="O504" s="9"/>
      <c r="P504" s="10"/>
      <c r="Q504" s="10">
        <v>18600</v>
      </c>
      <c r="R504" s="10">
        <f t="shared" si="812"/>
        <v>0</v>
      </c>
      <c r="S504" s="41">
        <f t="shared" si="771"/>
        <v>20</v>
      </c>
      <c r="T504" s="173">
        <v>6</v>
      </c>
      <c r="U504" s="173">
        <v>6</v>
      </c>
      <c r="V504" s="173">
        <v>8</v>
      </c>
      <c r="W504" s="173"/>
      <c r="X504" s="173"/>
      <c r="Y504" s="221"/>
      <c r="Z504" s="1"/>
      <c r="AA504" s="206">
        <f t="shared" si="672"/>
        <v>6.6648214285714289</v>
      </c>
    </row>
    <row r="505" spans="1:27" ns3:dyDescent="0.3">
      <c r="A505" s="292" t="s">
        <v>757</v>
      </c>
      <c r="B505" s="11">
        <f>ROUNDUP(HLOOKUP(A505,'야채 계산기'!$2:$3,2,0)*1.03,0)</f>
        <v>2266</v>
      </c>
      <c r="C505" s="62">
        <f>'[1]혜자)돌아온 명불허전(25.8.12)'!$B$8</f>
        <v>56.74</v>
      </c>
      <c r="D505" s="166" t="str">
        <f t="shared" si="807"/>
        <v/>
      </c>
      <c r="E505" s="4"/>
      <c r="F505" s="3"/>
      <c r="G505" s="5"/>
      <c r="H505" s="6"/>
      <c r="I505" s="34">
        <f>IFERROR((S505*E505),"")</f>
        <v>0</v>
      </c>
      <c r="J505" s="78" t="str">
        <f>IFERROR(VLOOKUP(C505,[2]Sheet1!$D:$J,7,0),"")</f>
        <v/>
      </c>
      <c r="K505" s="80" t="str">
        <f>IFERROR((I505+J505),"")</f>
        <v/>
      </c>
      <c r="L505" s="7">
        <f>IFERROR((G505*H505),"")</f>
        <v>0</v>
      </c>
      <c r="M505" s="8" t="str">
        <f>IFERROR(K505-L505,"")</f>
        <v/>
      </c>
      <c r="N505" s="57" t="str">
        <f t="shared" si="811"/>
        <v/>
      </c>
      <c r="O505" s="9"/>
      <c r="P505" s="10"/>
      <c r="Q505" s="10"/>
      <c r="R505" s="10">
        <f t="shared" si="812"/>
        <v>0</v>
      </c>
      <c r="S505" s="41">
        <f t="shared" si="771"/>
        <v>0</v>
      </c>
      <c r="Y505" s="42"/>
      <c r="Z505" s="1"/>
      <c r="AA505" s="206" t="str">
        <f t="shared" si="672"/>
        <v/>
      </c>
    </row>
    <row r="506" spans="1:27" ns3:dyDescent="0.3">
      <c r="A506" s="2"/>
      <c r="B506" s="11"/>
      <c r="C506" s="62"/>
      <c r="D506" s="166" t="str">
        <f t="shared" ref="D506:D507" si="816">IFERROR((F506/E506),"")</f>
        <v/>
      </c>
      <c r="E506" s="4"/>
      <c r="F506" s="17"/>
      <c r="G506" s="5"/>
      <c r="H506" s="6"/>
      <c r="I506" s="34">
        <f t="shared" si="808"/>
        <v>0</v>
      </c>
      <c r="J506" s="78" t="str">
        <f>IFERROR(VLOOKUP(C506,[2]Sheet1!$D:$J,7,0),"")</f>
        <v/>
      </c>
      <c r="K506" s="80" t="str">
        <f t="shared" ref="K506:K507" si="817">IFERROR((I506+J506),"")</f>
        <v/>
      </c>
      <c r="L506" s="7">
        <f t="shared" si="813"/>
        <v>0</v>
      </c>
      <c r="M506" s="8" t="str">
        <f t="shared" si="814"/>
        <v/>
      </c>
      <c r="N506" s="57"/>
      <c r="O506" s="9"/>
      <c r="P506" s="10"/>
      <c r="Q506" s="10"/>
      <c r="R506" s="10">
        <f t="shared" si="812"/>
        <v>0</v>
      </c>
      <c r="S506" s="41">
        <f t="shared" si="771"/>
        <v>0</v>
      </c>
      <c r="Y506" s="42"/>
      <c r="Z506" s="1"/>
      <c r="AA506" s="206" t="str">
        <f t="shared" ref="AA506:AA536" si="818">IFERROR(H506*7.5/E506/7,"")</f>
        <v/>
      </c>
    </row>
    <row r="507" spans="1:27" ns3:dyDescent="0.3">
      <c r="A507" s="2"/>
      <c r="B507" s="11"/>
      <c r="C507" s="164"/>
      <c r="D507" s="166" t="str">
        <f t="shared" si="816"/>
        <v/>
      </c>
      <c r="E507" s="4"/>
      <c r="F507" s="17"/>
      <c r="G507" s="5"/>
      <c r="H507" s="6"/>
      <c r="I507" s="34">
        <f t="shared" si="808"/>
        <v>0</v>
      </c>
      <c r="J507" s="78" t="str">
        <f>IFERROR(VLOOKUP(C507,[2]Sheet1!$D:$J,7,0),"")</f>
        <v/>
      </c>
      <c r="K507" s="80" t="str">
        <f t="shared" si="817"/>
        <v/>
      </c>
      <c r="L507" s="7">
        <f t="shared" si="813"/>
        <v>0</v>
      </c>
      <c r="M507" s="8" t="str">
        <f t="shared" si="814"/>
        <v/>
      </c>
      <c r="N507" s="57"/>
      <c r="O507" s="9"/>
      <c r="P507" s="10"/>
      <c r="Q507" s="10"/>
      <c r="R507" s="10">
        <f t="shared" si="812"/>
        <v>0</v>
      </c>
      <c r="S507" s="41">
        <f t="shared" si="771"/>
        <v>0</v>
      </c>
      <c r="Y507" s="42"/>
      <c r="Z507" s="1"/>
      <c r="AA507" s="206" t="str">
        <f t="shared" si="818"/>
        <v/>
      </c>
    </row>
    <row r="508" spans="1:27" ns3:dyDescent="0.3">
      <c r="A508" s="96" t="s">
        <v>91</v>
      </c>
      <c r="B508" s="184" t="s">
        <v>32</v>
      </c>
      <c r="C508" s="197" t="s">
        <v>74</v>
      </c>
      <c r="D508" s="166" t="str">
        <f t="shared" ref="D508" si="819">IFERROR((F508/E508),"")</f>
        <v/>
      </c>
      <c r="E508" s="4"/>
      <c r="F508" s="17"/>
      <c r="G508" s="5"/>
      <c r="H508" s="6"/>
      <c r="I508" s="34">
        <f t="shared" si="808"/>
        <v>0</v>
      </c>
      <c r="J508" s="78" t="str">
        <f>IFERROR(VLOOKUP(C508,[2]Sheet1!$D:$J,7,0),"")</f>
        <v/>
      </c>
      <c r="K508" s="80" t="str">
        <f t="shared" si="815"/>
        <v/>
      </c>
      <c r="L508" s="7">
        <f t="shared" si="813"/>
        <v>0</v>
      </c>
      <c r="M508" s="8" t="str">
        <f t="shared" si="814"/>
        <v/>
      </c>
      <c r="N508" s="57" t="str">
        <f>IFERROR((K508/H508),"")</f>
        <v/>
      </c>
      <c r="O508" s="9"/>
      <c r="P508" s="10"/>
      <c r="Q508" s="10"/>
      <c r="R508" s="10">
        <f t="shared" ref="R508:R515" si="820">O508*P508*Q508</f>
        <v>0</v>
      </c>
      <c r="S508" s="41">
        <f t="shared" si="771"/>
        <v>0</v>
      </c>
      <c r="Y508" s="42"/>
      <c r="Z508" s="1"/>
      <c r="AA508" s="206" t="str">
        <f t="shared" si="818"/>
        <v/>
      </c>
    </row>
    <row r="509" spans="1:27" hidden="1" ns3:dyDescent="0.3">
      <c r="A509" s="270" t="s">
        <v>633</v>
      </c>
      <c r="B509" s="271"/>
      <c r="C509" s="262" t="s">
        <v>630</v>
      </c>
      <c r="D509" s="166" t="str">
        <f>IFERROR((F509/E509),"")</f>
        <v/>
      </c>
      <c r="E509" s="4">
        <v>8</v>
      </c>
      <c r="F509" s="3" t="str">
        <f>IFERROR((L509-K509),"")</f>
        <v/>
      </c>
      <c r="G509" s="5">
        <v>6.5</v>
      </c>
      <c r="H509" s="6" t="e">
        <f>ROUNDUP(SUMPRODUCT(B510,C510)/1250,1)</f>
        <v>#N/A</v>
      </c>
      <c r="I509" s="34">
        <f>IFERROR((S509*E509),"")</f>
        <v>0</v>
      </c>
      <c r="J509" s="78" t="str">
        <f>IFERROR(VLOOKUP(C509,[2]Sheet1!$D:$J,7,0),"")</f>
        <v/>
      </c>
      <c r="K509" s="80" t="str">
        <f t="shared" ref="K509" si="821">IFERROR((I509+J509),"")</f>
        <v/>
      </c>
      <c r="L509" s="7" t="str">
        <f>IFERROR((G509*H509),"")</f>
        <v/>
      </c>
      <c r="M509" s="8" t="str">
        <f>IFERROR(K509-L509,"")</f>
        <v/>
      </c>
      <c r="N509" s="57" t="str">
        <f>IFERROR((K509/H509),"")</f>
        <v/>
      </c>
      <c r="O509" s="9"/>
      <c r="P509" s="10"/>
      <c r="Q509" s="10"/>
      <c r="R509" s="10">
        <f>O509*P509*Q509</f>
        <v>0</v>
      </c>
      <c r="S509" s="41">
        <f>SUM(Y509,T509:X509)</f>
        <v>0</v>
      </c>
      <c r="T509" s="173"/>
      <c r="U509" s="173"/>
      <c r="V509" s="173"/>
      <c r="W509" s="173"/>
      <c r="X509" s="277"/>
      <c r="Y509" s="283"/>
      <c r="Z509" s="1"/>
      <c r="AA509" s="206" t="str">
        <f t="shared" ref="AA509:AA510" si="822">IFERROR(H509*7.5/E509/7,"")</f>
        <v/>
      </c>
    </row>
    <row r="510" spans="1:27" hidden="1" ns3:dyDescent="0.3">
      <c r="A510" s="272" t="s">
        <v>629</v>
      </c>
      <c r="B510" s="11" t="e">
        <f>ROUNDUP(HLOOKUP(A510,'야채 계산기'!$2:$3,2,0),0)</f>
        <v>#N/A</v>
      </c>
      <c r="C510" s="62">
        <v>154.09</v>
      </c>
      <c r="D510" s="166" t="str">
        <f>IFERROR((F510/E510),"")</f>
        <v/>
      </c>
      <c r="E510" s="4"/>
      <c r="F510" s="3"/>
      <c r="G510" s="5"/>
      <c r="H510" s="6"/>
      <c r="I510" s="34">
        <f>IFERROR((S510*E510),"")</f>
        <v>0</v>
      </c>
      <c r="J510" s="78" t="str">
        <f>IFERROR(VLOOKUP(C510,[2]Sheet1!$D:$J,7,0),"")</f>
        <v/>
      </c>
      <c r="K510" s="80" t="str">
        <f>IFERROR((I510+J510),"")</f>
        <v/>
      </c>
      <c r="L510" s="7">
        <f>IFERROR((G510*H510),"")</f>
        <v>0</v>
      </c>
      <c r="M510" s="8" t="str">
        <f>IFERROR(K510-L510,"")</f>
        <v/>
      </c>
      <c r="N510" s="57" t="str">
        <f t="shared" ref="N510" si="823">IFERROR((K510/H510),"")</f>
        <v/>
      </c>
      <c r="O510" s="9"/>
      <c r="P510" s="10"/>
      <c r="Q510" s="10"/>
      <c r="R510" s="10">
        <f>O510*P510*Q510</f>
        <v>0</v>
      </c>
      <c r="S510" s="41">
        <f>SUM(Y510,T510:X510)</f>
        <v>0</v>
      </c>
      <c r="Y510" s="42"/>
      <c r="Z510" s="1"/>
      <c r="AA510" s="206" t="str">
        <f t="shared" si="822"/>
        <v/>
      </c>
    </row>
    <row r="511" spans="1:27" hidden="1" ns3:dyDescent="0.3">
      <c r="A511" s="16"/>
      <c r="B511" s="11"/>
      <c r="C511" s="62" t="s">
        <v>618</v>
      </c>
      <c r="D511" s="166" t="str">
        <f t="shared" ref="D511:D512" si="824">IFERROR((F511/E511),"")</f>
        <v/>
      </c>
      <c r="E511" s="4">
        <v>4</v>
      </c>
      <c r="F511" s="3" t="str">
        <f>IFERROR((L511-K511),"")</f>
        <v/>
      </c>
      <c r="G511" s="5">
        <v>4.5</v>
      </c>
      <c r="H511" s="6" t="e">
        <f>ROUNDUP(SUMPRODUCT(B512,C512)/2500,1)</f>
        <v>#N/A</v>
      </c>
      <c r="I511" s="34">
        <f t="shared" ref="I511:I512" si="825">IFERROR((S511*E511),"")</f>
        <v>0</v>
      </c>
      <c r="J511" s="78" t="str">
        <f>IFERROR(VLOOKUP(C511,[2]Sheet1!$D:$J,7,0),"")</f>
        <v/>
      </c>
      <c r="K511" s="80" t="str">
        <f t="shared" ref="K511" si="826">IFERROR((I511+J511),"")</f>
        <v/>
      </c>
      <c r="L511" s="7" t="str">
        <f t="shared" ref="L511:L512" si="827">IFERROR((G511*H511),"")</f>
        <v/>
      </c>
      <c r="M511" s="8" t="str">
        <f t="shared" ref="M511:M512" si="828">IFERROR(K511-L511,"")</f>
        <v/>
      </c>
      <c r="N511" s="57" t="str">
        <f>IFERROR((K511/H511),"")</f>
        <v/>
      </c>
      <c r="O511" s="9"/>
      <c r="P511" s="10"/>
      <c r="Q511" s="10"/>
      <c r="R511" s="10">
        <f t="shared" ref="R511:R512" si="829">O511*P511*Q511</f>
        <v>0</v>
      </c>
      <c r="S511" s="41">
        <f t="shared" si="771"/>
        <v>0</v>
      </c>
      <c r="T511" s="173"/>
      <c r="U511" s="173"/>
      <c r="V511" s="173"/>
      <c r="W511" s="173"/>
      <c r="X511" s="183"/>
      <c r="Y511" s="220"/>
      <c r="Z511" s="1"/>
      <c r="AA511" s="206" t="str">
        <f t="shared" si="818"/>
        <v/>
      </c>
    </row>
    <row r="512" spans="1:27" hidden="1" ns3:dyDescent="0.3">
      <c r="A512" s="272" t="s">
        <v>597</v>
      </c>
      <c r="B512" s="11" t="e">
        <f>ROUNDUP(HLOOKUP(A512,'야채 계산기'!$2:$3,2,0)*1.03,0)</f>
        <v>#N/A</v>
      </c>
      <c r="C512" s="62">
        <v>3.61</v>
      </c>
      <c r="D512" s="166" t="str">
        <f t="shared" si="824"/>
        <v/>
      </c>
      <c r="E512" s="4"/>
      <c r="F512" s="3"/>
      <c r="G512" s="5"/>
      <c r="H512" s="6"/>
      <c r="I512" s="34">
        <f t="shared" si="825"/>
        <v>0</v>
      </c>
      <c r="J512" s="78" t="str">
        <f>IFERROR(VLOOKUP(C512,[2]Sheet1!$D:$J,7,0),"")</f>
        <v/>
      </c>
      <c r="K512" s="80" t="str">
        <f>IFERROR((I512+J512),"")</f>
        <v/>
      </c>
      <c r="L512" s="7">
        <f t="shared" si="827"/>
        <v>0</v>
      </c>
      <c r="M512" s="8" t="str">
        <f t="shared" si="828"/>
        <v/>
      </c>
      <c r="N512" s="57" t="str">
        <f t="shared" ref="N512" si="830">IFERROR((K512/H512),"")</f>
        <v/>
      </c>
      <c r="O512" s="9"/>
      <c r="P512" s="10"/>
      <c r="Q512" s="10"/>
      <c r="R512" s="10">
        <f t="shared" si="829"/>
        <v>0</v>
      </c>
      <c r="S512" s="41">
        <f t="shared" si="771"/>
        <v>0</v>
      </c>
      <c r="Y512" s="42"/>
      <c r="Z512" s="1"/>
      <c r="AA512" s="206" t="str">
        <f t="shared" si="818"/>
        <v/>
      </c>
    </row>
    <row r="513" spans="1:27" ns3:dyDescent="0.3">
      <c r="A513" s="13"/>
      <c r="B513" s="11"/>
      <c r="C513" s="164" t="s">
        <v>92</v>
      </c>
      <c r="D513" s="166">
        <f t="shared" ref="D513:D519" si="831">IFERROR((F513/E513),"")</f>
        <v>-2</v>
      </c>
      <c r="E513" s="4">
        <v>20</v>
      </c>
      <c r="F513" s="3">
        <f>IFERROR((L513-K513),"")</f>
        <v>-40</v>
      </c>
      <c r="G513" s="5">
        <v>5</v>
      </c>
      <c r="H513" s="39">
        <f>ROUNDUP(SUMPRODUCT(B514:B515,C514:C515)/1000,0)</f>
        <v>2</v>
      </c>
      <c r="I513" s="34">
        <f t="shared" si="808"/>
        <v>20</v>
      </c>
      <c r="J513" s="78">
        <f>IFERROR(VLOOKUP(C513,[2]Sheet1!$D:$J,7,0),"")</f>
        <v>30</v>
      </c>
      <c r="K513" s="80">
        <f t="shared" si="815"/>
        <v>50</v>
      </c>
      <c r="L513" s="7">
        <f t="shared" si="813"/>
        <v>10</v>
      </c>
      <c r="M513" s="8">
        <f t="shared" si="814"/>
        <v>40</v>
      </c>
      <c r="N513" s="57">
        <f>IFERROR((K513/H513),"")</f>
        <v>25</v>
      </c>
      <c r="O513" s="9"/>
      <c r="P513" s="10"/>
      <c r="Q513" s="10">
        <v>8750</v>
      </c>
      <c r="R513" s="10">
        <f t="shared" si="820"/>
        <v>0</v>
      </c>
      <c r="S513" s="41">
        <f t="shared" si="771"/>
        <v>1</v>
      </c>
      <c r="T513" s="173">
        <v>1</v>
      </c>
      <c r="U513" s="173"/>
      <c r="V513" s="173"/>
      <c r="W513" s="173"/>
      <c r="X513" s="183"/>
      <c r="Y513" s="220"/>
      <c r="Z513" s="1"/>
      <c r="AA513" s="206">
        <f t="shared" si="818"/>
        <v>0.10714285714285714</v>
      </c>
    </row>
    <row r="514" spans="1:27" ns3:dyDescent="0.3">
      <c r="A514" s="61" t="s">
        <v>804</v>
      </c>
      <c r="B514" s="11">
        <f>ROUNDUP(HLOOKUP(A514,'야채 계산기'!$2:$3,2,0)*1.03,0)</f>
        <v>145</v>
      </c>
      <c r="C514" s="164">
        <f>'[1]착한김치김밥(250612)슈퍼'!$B$13</f>
        <v>0.8</v>
      </c>
      <c r="D514" s="166" t="str">
        <f t="shared" ref="D514" si="832">IFERROR((F514/E514),"")</f>
        <v/>
      </c>
      <c r="E514" s="4"/>
      <c r="F514" s="3"/>
      <c r="G514" s="5"/>
      <c r="H514" s="6"/>
      <c r="I514" s="34">
        <f>IFERROR((S514*E514),"")</f>
        <v>0</v>
      </c>
      <c r="J514" s="78" t="str">
        <f>IFERROR(VLOOKUP(C514,[2]Sheet1!$D:$J,7,0),"")</f>
        <v/>
      </c>
      <c r="K514" s="80" t="str">
        <f>IFERROR((I514+J514),"")</f>
        <v/>
      </c>
      <c r="L514" s="7">
        <f>IFERROR((G514*H514),"")</f>
        <v>0</v>
      </c>
      <c r="M514" s="8" t="str">
        <f>IFERROR(K514-L514,"")</f>
        <v/>
      </c>
      <c r="N514" s="57" t="str">
        <f>IFERROR((K514/H514),"")</f>
        <v/>
      </c>
      <c r="O514" s="9"/>
      <c r="P514" s="10"/>
      <c r="Q514" s="10"/>
      <c r="R514" s="10">
        <f t="shared" ref="R514" si="833">O514*P514*Q514</f>
        <v>0</v>
      </c>
      <c r="S514" s="41">
        <f t="shared" ref="S514" si="834">SUM(Y514,T514:X514)</f>
        <v>0</v>
      </c>
      <c r="Y514" s="42"/>
      <c r="Z514" s="1"/>
      <c r="AA514" s="206" t="str">
        <f t="shared" ref="AA514" si="835">IFERROR(H514*7.5/E514/7,"")</f>
        <v/>
      </c>
    </row>
    <row r="515" spans="1:27" ns3:dyDescent="0.3">
      <c r="A515" s="61" t="s">
        <v>727</v>
      </c>
      <c r="B515" s="11">
        <f>ROUNDUP(HLOOKUP(A515,'야채 계산기'!$2:$3,2,0)*1.03,0)</f>
        <v>2081</v>
      </c>
      <c r="C515" s="164">
        <v>0.77</v>
      </c>
      <c r="D515" s="166" t="str">
        <f t="shared" si="831"/>
        <v/>
      </c>
      <c r="E515" s="4"/>
      <c r="F515" s="3"/>
      <c r="G515" s="5"/>
      <c r="H515" s="6"/>
      <c r="I515" s="34">
        <f>IFERROR((S515*E515),"")</f>
        <v>0</v>
      </c>
      <c r="J515" s="78" t="str">
        <f>IFERROR(VLOOKUP(C515,[2]Sheet1!$D:$J,7,0),"")</f>
        <v/>
      </c>
      <c r="K515" s="80" t="str">
        <f>IFERROR((I515+J515),"")</f>
        <v/>
      </c>
      <c r="L515" s="7">
        <f>IFERROR((G515*H515),"")</f>
        <v>0</v>
      </c>
      <c r="M515" s="8" t="str">
        <f>IFERROR(K515-L515,"")</f>
        <v/>
      </c>
      <c r="N515" s="57" t="str">
        <f>IFERROR((K515/H515),"")</f>
        <v/>
      </c>
      <c r="O515" s="9"/>
      <c r="P515" s="10"/>
      <c r="Q515" s="10"/>
      <c r="R515" s="10">
        <f t="shared" si="820"/>
        <v>0</v>
      </c>
      <c r="S515" s="41">
        <f t="shared" si="771"/>
        <v>0</v>
      </c>
      <c r="Y515" s="42"/>
      <c r="Z515" s="1"/>
      <c r="AA515" s="206" t="str">
        <f t="shared" si="818"/>
        <v/>
      </c>
    </row>
    <row r="516" spans="1:27" ns3:dyDescent="0.3">
      <c r="A516" s="61"/>
      <c r="B516" s="11"/>
      <c r="C516" s="164" t="s">
        <v>93</v>
      </c>
      <c r="D516" s="166">
        <f t="shared" si="831"/>
        <v>-1.875</v>
      </c>
      <c r="E516" s="4">
        <v>4</v>
      </c>
      <c r="F516" s="3">
        <f>IFERROR((L516-K516),"")</f>
        <v>-7.5</v>
      </c>
      <c r="G516" s="5">
        <f>G513</f>
        <v>5</v>
      </c>
      <c r="H516" s="6">
        <f>ROUNDUP(SUMPRODUCT(B517:B519,C517:C519)/4000,1)*1.5</f>
        <v>3.3000000000000003</v>
      </c>
      <c r="I516" s="34">
        <f t="shared" si="808"/>
        <v>8</v>
      </c>
      <c r="J516" s="78">
        <f>IFERROR(VLOOKUP(C516,[2]Sheet1!$D:$J,7,0),"")</f>
        <v>16</v>
      </c>
      <c r="K516" s="80">
        <f t="shared" si="815"/>
        <v>24</v>
      </c>
      <c r="L516" s="7">
        <f t="shared" si="813"/>
        <v>16.5</v>
      </c>
      <c r="M516" s="8">
        <f t="shared" si="814"/>
        <v>7.5</v>
      </c>
      <c r="N516" s="57">
        <f t="shared" ref="N516:N521" si="836">IFERROR((K516/H516),"")</f>
        <v>7.2727272727272725</v>
      </c>
      <c r="O516" s="9"/>
      <c r="P516" s="10"/>
      <c r="Q516" s="10">
        <v>4300</v>
      </c>
      <c r="R516" s="10">
        <f t="shared" ref="R516:R519" si="837">O516*P516*Q516</f>
        <v>0</v>
      </c>
      <c r="S516" s="41">
        <f t="shared" si="771"/>
        <v>2</v>
      </c>
      <c r="T516" s="173">
        <v>2</v>
      </c>
      <c r="U516" s="173"/>
      <c r="V516" s="173"/>
      <c r="W516" s="173"/>
      <c r="X516" s="183"/>
      <c r="Y516" s="220"/>
      <c r="Z516" s="1"/>
      <c r="AA516" s="206">
        <f t="shared" si="818"/>
        <v>0.88392857142857151</v>
      </c>
    </row>
    <row r="517" spans="1:27" ns3:dyDescent="0.3">
      <c r="A517" s="61" t="s">
        <v>836</v>
      </c>
      <c r="B517" s="11">
        <f>ROUNDUP(HLOOKUP(A517,'야채 계산기'!$2:$3,2,0)*1.03,0)</f>
        <v>133</v>
      </c>
      <c r="C517" s="62">
        <f>'[1]슈퍼)착한1900핫도그-오리지널(25.09.02)'!$B$7</f>
        <v>10.199999999999999</v>
      </c>
      <c r="D517" s="166" t="str">
        <f t="shared" si="831"/>
        <v/>
      </c>
      <c r="E517" s="4"/>
      <c r="F517" s="3"/>
      <c r="G517" s="5"/>
      <c r="H517" s="6"/>
      <c r="I517" s="34">
        <f t="shared" si="808"/>
        <v>0</v>
      </c>
      <c r="J517" s="78" t="str">
        <f>IFERROR(VLOOKUP(C517,[2]Sheet1!$D:$J,7,0),"")</f>
        <v/>
      </c>
      <c r="K517" s="80" t="str">
        <f t="shared" si="815"/>
        <v/>
      </c>
      <c r="L517" s="7">
        <f t="shared" si="813"/>
        <v>0</v>
      </c>
      <c r="M517" s="8" t="str">
        <f t="shared" si="814"/>
        <v/>
      </c>
      <c r="N517" s="57" t="str">
        <f t="shared" ref="N517:N519" si="838">IFERROR((K517/H517),"")</f>
        <v/>
      </c>
      <c r="O517" s="9"/>
      <c r="P517" s="10"/>
      <c r="Q517" s="10"/>
      <c r="R517" s="10">
        <f t="shared" si="837"/>
        <v>0</v>
      </c>
      <c r="S517" s="41">
        <f t="shared" ref="S517:S536" si="839">SUM(Y517,T517:X517)</f>
        <v>0</v>
      </c>
      <c r="Y517" s="42"/>
      <c r="Z517" s="1"/>
      <c r="AA517" s="206" t="str">
        <f t="shared" si="818"/>
        <v/>
      </c>
    </row>
    <row r="518" spans="1:27" ns3:dyDescent="0.3">
      <c r="A518" s="61" t="s">
        <v>248</v>
      </c>
      <c r="B518" s="11">
        <f>ROUNDUP(HLOOKUP(A518,'야채 계산기'!$2:$3,2,0)*1.03,0)</f>
        <v>108</v>
      </c>
      <c r="C518" s="62">
        <f>'[1]슈퍼)착한1900핫도그-사라다(25.09.02)'!$B$5</f>
        <v>2.42</v>
      </c>
      <c r="D518" s="166" t="str">
        <f t="shared" ref="D518" si="840">IFERROR((F518/E518),"")</f>
        <v/>
      </c>
      <c r="E518" s="4"/>
      <c r="F518" s="3"/>
      <c r="G518" s="5"/>
      <c r="H518" s="6"/>
      <c r="I518" s="34">
        <f t="shared" ref="I518" si="841">IFERROR((S518*E518),"")</f>
        <v>0</v>
      </c>
      <c r="J518" s="78" t="str">
        <f>IFERROR(VLOOKUP(C518,[2]Sheet1!$D:$J,7,0),"")</f>
        <v/>
      </c>
      <c r="K518" s="80" t="str">
        <f>IFERROR((I518+J518),"")</f>
        <v/>
      </c>
      <c r="L518" s="7">
        <f t="shared" ref="L518" si="842">IFERROR((G518*H518),"")</f>
        <v>0</v>
      </c>
      <c r="M518" s="8" t="str">
        <f t="shared" ref="M518" si="843">IFERROR(K518-L518,"")</f>
        <v/>
      </c>
      <c r="N518" s="57" t="str">
        <f t="shared" ref="N518" si="844">IFERROR((K518/H518),"")</f>
        <v/>
      </c>
      <c r="O518" s="9"/>
      <c r="P518" s="10"/>
      <c r="Q518" s="10"/>
      <c r="R518" s="10">
        <f t="shared" ref="R518" si="845">O518*P518*Q518</f>
        <v>0</v>
      </c>
      <c r="S518" s="41">
        <f t="shared" si="839"/>
        <v>0</v>
      </c>
      <c r="Y518" s="42"/>
      <c r="Z518" s="1"/>
      <c r="AA518" s="206" t="str">
        <f t="shared" si="818"/>
        <v/>
      </c>
    </row>
    <row r="519" spans="1:27" ns3:dyDescent="0.3">
      <c r="A519" s="272" t="s">
        <v>590</v>
      </c>
      <c r="B519" s="11">
        <f>ROUNDUP(HLOOKUP(A519,'야채 계산기'!$2:$3,2,0)*1.03,0)</f>
        <v>835</v>
      </c>
      <c r="C519" s="62">
        <v>8.25</v>
      </c>
      <c r="D519" s="166" t="str">
        <f t="shared" si="831"/>
        <v/>
      </c>
      <c r="E519" s="4"/>
      <c r="F519" s="3"/>
      <c r="G519" s="5"/>
      <c r="H519" s="6"/>
      <c r="I519" s="34">
        <f t="shared" si="808"/>
        <v>0</v>
      </c>
      <c r="J519" s="78" t="str">
        <f>IFERROR(VLOOKUP(C519,[2]Sheet1!$D:$J,7,0),"")</f>
        <v/>
      </c>
      <c r="K519" s="80" t="str">
        <f>IFERROR((I519+J519),"")</f>
        <v/>
      </c>
      <c r="L519" s="7">
        <f t="shared" si="813"/>
        <v>0</v>
      </c>
      <c r="M519" s="8" t="str">
        <f t="shared" si="814"/>
        <v/>
      </c>
      <c r="N519" s="57" t="str">
        <f t="shared" si="838"/>
        <v/>
      </c>
      <c r="O519" s="9"/>
      <c r="P519" s="10"/>
      <c r="Q519" s="10"/>
      <c r="R519" s="10">
        <f t="shared" si="837"/>
        <v>0</v>
      </c>
      <c r="S519" s="41">
        <f t="shared" si="839"/>
        <v>0</v>
      </c>
      <c r="Y519" s="42"/>
      <c r="Z519" s="1"/>
      <c r="AA519" s="206" t="str">
        <f t="shared" si="818"/>
        <v/>
      </c>
    </row>
    <row r="520" spans="1:27" ns3:dyDescent="0.3">
      <c r="A520" s="59"/>
      <c r="B520" s="11"/>
      <c r="C520" s="62"/>
      <c r="D520" s="166"/>
      <c r="E520" s="4"/>
      <c r="F520" s="3"/>
      <c r="G520" s="5" t="s">
        <v>154</v>
      </c>
      <c r="H520" s="6"/>
      <c r="I520" s="34">
        <f t="shared" si="808"/>
        <v>0</v>
      </c>
      <c r="J520" s="78" t="str">
        <f>IFERROR(VLOOKUP(C520,[2]Sheet1!$D:$J,7,0),"")</f>
        <v/>
      </c>
      <c r="K520" s="80" t="str">
        <f t="shared" si="815"/>
        <v/>
      </c>
      <c r="L520" s="7" t="str">
        <f t="shared" si="813"/>
        <v/>
      </c>
      <c r="M520" s="8" t="str">
        <f t="shared" si="814"/>
        <v/>
      </c>
      <c r="N520" s="57" t="str">
        <f t="shared" si="836"/>
        <v/>
      </c>
      <c r="O520" s="9"/>
      <c r="P520" s="10"/>
      <c r="Q520" s="10"/>
      <c r="R520" s="10"/>
      <c r="S520" s="41">
        <f t="shared" si="839"/>
        <v>0</v>
      </c>
      <c r="Y520" s="42"/>
      <c r="Z520" s="1"/>
      <c r="AA520" s="206" t="str">
        <f t="shared" si="818"/>
        <v/>
      </c>
    </row>
    <row r="521" spans="1:27" ns3:dyDescent="0.3">
      <c r="A521" s="143"/>
      <c r="B521" s="2"/>
      <c r="C521" s="62"/>
      <c r="D521" s="166"/>
      <c r="E521" s="4"/>
      <c r="F521" s="3"/>
      <c r="G521" s="5"/>
      <c r="H521" s="6"/>
      <c r="I521" s="34">
        <f t="shared" si="808"/>
        <v>0</v>
      </c>
      <c r="J521" s="78" t="str">
        <f>IFERROR(VLOOKUP(C521,[2]Sheet1!$D:$J,7,0),"")</f>
        <v/>
      </c>
      <c r="K521" s="80" t="str">
        <f t="shared" si="815"/>
        <v/>
      </c>
      <c r="L521" s="7">
        <f t="shared" si="813"/>
        <v>0</v>
      </c>
      <c r="M521" s="8" t="str">
        <f t="shared" si="814"/>
        <v/>
      </c>
      <c r="N521" s="57" t="str">
        <f t="shared" si="836"/>
        <v/>
      </c>
      <c r="O521" s="9"/>
      <c r="P521" s="10"/>
      <c r="Q521" s="10"/>
      <c r="R521" s="10"/>
      <c r="S521" s="41">
        <f t="shared" si="839"/>
        <v>0</v>
      </c>
      <c r="Y521" s="42"/>
      <c r="Z521" s="1"/>
      <c r="AA521" s="206" t="str">
        <f t="shared" si="818"/>
        <v/>
      </c>
    </row>
    <row r="522" spans="1:27" ns3:dyDescent="0.3">
      <c r="A522" s="96" t="s">
        <v>561</v>
      </c>
      <c r="B522" s="184" t="s">
        <v>94</v>
      </c>
      <c r="C522" s="152"/>
      <c r="D522" s="166" t="str">
        <f>IFERROR((F522/E522),"")</f>
        <v/>
      </c>
      <c r="E522" s="4"/>
      <c r="F522" s="3"/>
      <c r="G522" s="5"/>
      <c r="H522" s="6"/>
      <c r="I522" s="34">
        <f t="shared" si="808"/>
        <v>0</v>
      </c>
      <c r="J522" s="78" t="str">
        <f>IFERROR(VLOOKUP(C522,[2]Sheet1!$D:$J,7,0),"")</f>
        <v/>
      </c>
      <c r="K522" s="80" t="str">
        <f t="shared" si="815"/>
        <v/>
      </c>
      <c r="L522" s="7">
        <f t="shared" si="813"/>
        <v>0</v>
      </c>
      <c r="M522" s="8" t="str">
        <f t="shared" si="814"/>
        <v/>
      </c>
      <c r="N522" s="57" t="str">
        <f t="shared" ref="N522:N526" si="846">IFERROR((K522/H522),"")</f>
        <v/>
      </c>
      <c r="O522" s="9"/>
      <c r="P522" s="10"/>
      <c r="Q522" s="10"/>
      <c r="R522" s="10">
        <f>O522*P522*Q522</f>
        <v>0</v>
      </c>
      <c r="S522" s="41">
        <f t="shared" si="839"/>
        <v>0</v>
      </c>
      <c r="Y522" s="42"/>
      <c r="Z522" s="1"/>
      <c r="AA522" s="206" t="str">
        <f t="shared" si="818"/>
        <v/>
      </c>
    </row>
    <row r="523" spans="1:27" ns3:dyDescent="0.3">
      <c r="A523" s="16"/>
      <c r="B523" s="11"/>
      <c r="C523" s="164" t="s">
        <v>95</v>
      </c>
      <c r="D523" s="166">
        <f>IFERROR((F523/E523),"")</f>
        <v>-0.21666666666666679</v>
      </c>
      <c r="E523" s="4">
        <v>12</v>
      </c>
      <c r="F523" s="3">
        <f>IFERROR((L523-K523),"")</f>
        <v>-2.6000000000000014</v>
      </c>
      <c r="G523" s="5">
        <v>4</v>
      </c>
      <c r="H523" s="6">
        <f>ROUNDUP(SUMPRODUCT(B524:B524,C524:C524)/1000,1)</f>
        <v>8.1</v>
      </c>
      <c r="I523" s="34">
        <f t="shared" si="808"/>
        <v>24</v>
      </c>
      <c r="J523" s="78">
        <f>IFERROR(VLOOKUP(C523,[2]Sheet1!$D:$J,7,0),"")</f>
        <v>11</v>
      </c>
      <c r="K523" s="80">
        <f t="shared" si="815"/>
        <v>35</v>
      </c>
      <c r="L523" s="7">
        <f t="shared" si="813"/>
        <v>32.4</v>
      </c>
      <c r="M523" s="8">
        <f t="shared" si="814"/>
        <v>2.6000000000000014</v>
      </c>
      <c r="N523" s="57">
        <f t="shared" si="846"/>
        <v>4.3209876543209882</v>
      </c>
      <c r="O523" s="9"/>
      <c r="P523" s="10"/>
      <c r="Q523" s="10">
        <v>5900</v>
      </c>
      <c r="R523" s="10">
        <f>O523*P523*Q523</f>
        <v>0</v>
      </c>
      <c r="S523" s="41">
        <f t="shared" si="839"/>
        <v>2</v>
      </c>
      <c r="T523" s="173"/>
      <c r="U523" s="173"/>
      <c r="V523" s="173">
        <v>2</v>
      </c>
      <c r="W523" s="173"/>
      <c r="X523" s="183"/>
      <c r="Y523" s="220"/>
      <c r="Z523" s="1"/>
      <c r="AA523" s="206">
        <f t="shared" si="818"/>
        <v>0.7232142857142857</v>
      </c>
    </row>
    <row r="524" spans="1:27" ns3:dyDescent="0.3">
      <c r="A524" s="60" t="s">
        <v>649</v>
      </c>
      <c r="B524" s="11">
        <f>ROUNDUP(HLOOKUP(A524,'야채 계산기'!$2:$3,2,0)*1.03,0)</f>
        <v>742</v>
      </c>
      <c r="C524" s="164">
        <v>10.88</v>
      </c>
      <c r="D524" s="166"/>
      <c r="E524" s="4"/>
      <c r="F524" s="3"/>
      <c r="G524" s="5"/>
      <c r="H524" s="6"/>
      <c r="I524" s="34">
        <f>IFERROR((S524*E524),"")</f>
        <v>0</v>
      </c>
      <c r="J524" s="78" t="str">
        <f>IFERROR(VLOOKUP(C524,[2]Sheet1!$D:$J,7,0),"")</f>
        <v/>
      </c>
      <c r="K524" s="80" t="str">
        <f>IFERROR((I524+J524),"")</f>
        <v/>
      </c>
      <c r="L524" s="7">
        <f>IFERROR((G524*H524),"")</f>
        <v>0</v>
      </c>
      <c r="M524" s="8" t="str">
        <f>IFERROR(K524-L524,"")</f>
        <v/>
      </c>
      <c r="N524" s="57" t="str">
        <f t="shared" si="846"/>
        <v/>
      </c>
      <c r="O524" s="9"/>
      <c r="P524" s="10"/>
      <c r="Q524" s="10"/>
      <c r="R524" s="10"/>
      <c r="S524" s="41">
        <f t="shared" si="839"/>
        <v>0</v>
      </c>
      <c r="Y524" s="42"/>
      <c r="Z524" s="1"/>
      <c r="AA524" s="206" t="str">
        <f t="shared" si="818"/>
        <v/>
      </c>
    </row>
    <row r="525" spans="1:27" ns3:dyDescent="0.3">
      <c r="A525" s="16"/>
      <c r="B525" s="11"/>
      <c r="C525" s="62" t="s">
        <v>96</v>
      </c>
      <c r="D525" s="166">
        <f t="shared" ref="D525:D530" si="847">IFERROR((F525/E525),"")</f>
        <v>-2.8333333333333335</v>
      </c>
      <c r="E525" s="4">
        <v>12</v>
      </c>
      <c r="F525" s="3">
        <f>IFERROR((L525-K525),"")</f>
        <v>-34</v>
      </c>
      <c r="G525" s="5">
        <f>G523</f>
        <v>4</v>
      </c>
      <c r="H525" s="6">
        <f>ROUNDUP(SUMPRODUCT(B526:B528,C526:C528)/900,0)</f>
        <v>39</v>
      </c>
      <c r="I525" s="34">
        <f t="shared" si="808"/>
        <v>72</v>
      </c>
      <c r="J525" s="78">
        <f>IFERROR(VLOOKUP(C525,[2]Sheet1!$D:$J,7,0),"")</f>
        <v>118</v>
      </c>
      <c r="K525" s="80">
        <f t="shared" si="815"/>
        <v>190</v>
      </c>
      <c r="L525" s="7">
        <f t="shared" si="813"/>
        <v>156</v>
      </c>
      <c r="M525" s="8">
        <f t="shared" si="814"/>
        <v>34</v>
      </c>
      <c r="N525" s="57">
        <f t="shared" si="846"/>
        <v>4.8717948717948714</v>
      </c>
      <c r="O525" s="9"/>
      <c r="P525" s="10"/>
      <c r="Q525" s="10">
        <v>6250</v>
      </c>
      <c r="R525" s="10">
        <f t="shared" ref="R525:R531" si="848">O525*P525*Q525</f>
        <v>0</v>
      </c>
      <c r="S525" s="41">
        <f t="shared" si="839"/>
        <v>6</v>
      </c>
      <c r="T525" s="173">
        <v>2</v>
      </c>
      <c r="U525" s="173">
        <v>2</v>
      </c>
      <c r="V525" s="173">
        <v>2</v>
      </c>
      <c r="W525" s="173"/>
      <c r="X525" s="183"/>
      <c r="Y525" s="220"/>
      <c r="Z525" s="1"/>
      <c r="AA525" s="206">
        <f t="shared" si="818"/>
        <v>3.4821428571428572</v>
      </c>
    </row>
    <row r="526" spans="1:27" ns3:dyDescent="0.3">
      <c r="A526" s="61" t="s">
        <v>496</v>
      </c>
      <c r="B526" s="11">
        <f>ROUNDUP(HLOOKUP(A526,'야채 계산기'!$2:$3,2,0)*1.03,0)</f>
        <v>1113</v>
      </c>
      <c r="C526" s="164">
        <v>15.15</v>
      </c>
      <c r="D526" s="166" t="str">
        <f t="shared" si="847"/>
        <v/>
      </c>
      <c r="E526" s="4"/>
      <c r="F526" s="3"/>
      <c r="G526" s="5"/>
      <c r="H526" s="6"/>
      <c r="I526" s="34">
        <f t="shared" si="808"/>
        <v>0</v>
      </c>
      <c r="J526" s="78" t="str">
        <f>IFERROR(VLOOKUP(C526,[2]Sheet1!$D:$J,7,0),"")</f>
        <v/>
      </c>
      <c r="K526" s="80" t="str">
        <f t="shared" si="815"/>
        <v/>
      </c>
      <c r="L526" s="7">
        <f t="shared" si="813"/>
        <v>0</v>
      </c>
      <c r="M526" s="8" t="str">
        <f t="shared" si="814"/>
        <v/>
      </c>
      <c r="N526" s="57" t="str">
        <f t="shared" si="846"/>
        <v/>
      </c>
      <c r="O526" s="9"/>
      <c r="P526" s="10"/>
      <c r="Q526" s="10"/>
      <c r="R526" s="10">
        <f t="shared" si="848"/>
        <v>0</v>
      </c>
      <c r="S526" s="41">
        <f t="shared" si="839"/>
        <v>0</v>
      </c>
      <c r="Y526" s="42"/>
      <c r="Z526" s="1"/>
      <c r="AA526" s="206" t="str">
        <f t="shared" si="818"/>
        <v/>
      </c>
    </row>
    <row r="527" spans="1:27" ns3:dyDescent="0.3">
      <c r="A527" s="61" t="s">
        <v>494</v>
      </c>
      <c r="B527" s="11">
        <f>ROUNDUP(HLOOKUP(A527,'야채 계산기'!$2:$3,2,0)*1.03,0)</f>
        <v>660</v>
      </c>
      <c r="C527" s="164">
        <v>7.65</v>
      </c>
      <c r="D527" s="166" t="str">
        <f t="shared" ref="D527" si="849">IFERROR((F527/E527),"")</f>
        <v/>
      </c>
      <c r="E527" s="4"/>
      <c r="F527" s="3"/>
      <c r="G527" s="5"/>
      <c r="H527" s="6"/>
      <c r="I527" s="34">
        <f t="shared" si="808"/>
        <v>0</v>
      </c>
      <c r="J527" s="78" t="str">
        <f>IFERROR(VLOOKUP(C527,[2]Sheet1!$D:$J,7,0),"")</f>
        <v/>
      </c>
      <c r="K527" s="80" t="str">
        <f t="shared" ref="K527" si="850">IFERROR((I527+J527),"")</f>
        <v/>
      </c>
      <c r="L527" s="7">
        <f t="shared" ref="L527" si="851">IFERROR((G527*H527),"")</f>
        <v>0</v>
      </c>
      <c r="M527" s="8" t="str">
        <f t="shared" ref="M527" si="852">IFERROR(K527-L527,"")</f>
        <v/>
      </c>
      <c r="N527" s="57" t="str">
        <f t="shared" ref="N527" si="853">IFERROR((K527/H527),"")</f>
        <v/>
      </c>
      <c r="O527" s="9"/>
      <c r="P527" s="10"/>
      <c r="Q527" s="10"/>
      <c r="R527" s="10">
        <f t="shared" ref="R527" si="854">O527*P527*Q527</f>
        <v>0</v>
      </c>
      <c r="S527" s="41">
        <f t="shared" si="839"/>
        <v>0</v>
      </c>
      <c r="Y527" s="42"/>
      <c r="Z527" s="1"/>
      <c r="AA527" s="206" t="str">
        <f t="shared" si="818"/>
        <v/>
      </c>
    </row>
    <row r="528" spans="1:27" ns3:dyDescent="0.3">
      <c r="A528" s="272" t="s">
        <v>570</v>
      </c>
      <c r="B528" s="11">
        <f>ROUNDUP(HLOOKUP(A528,'야채 계산기'!$2:$3,2,0)*1.03,0)</f>
        <v>835</v>
      </c>
      <c r="C528" s="164">
        <v>15.3</v>
      </c>
      <c r="D528" s="166" t="str">
        <f t="shared" si="847"/>
        <v/>
      </c>
      <c r="E528" s="4"/>
      <c r="F528" s="3"/>
      <c r="G528" s="5"/>
      <c r="H528" s="6"/>
      <c r="I528" s="34">
        <f t="shared" ref="I528:I535" si="855">IFERROR((S528*E528),"")</f>
        <v>0</v>
      </c>
      <c r="J528" s="78" t="str">
        <f>IFERROR(VLOOKUP(C528,[2]Sheet1!$D:$J,7,0),"")</f>
        <v/>
      </c>
      <c r="K528" s="80" t="str">
        <f t="shared" si="815"/>
        <v/>
      </c>
      <c r="L528" s="7">
        <f t="shared" si="813"/>
        <v>0</v>
      </c>
      <c r="M528" s="8" t="str">
        <f t="shared" si="814"/>
        <v/>
      </c>
      <c r="N528" s="57" t="str">
        <f t="shared" ref="N528:N529" si="856">IFERROR((K528/H528),"")</f>
        <v/>
      </c>
      <c r="O528" s="9"/>
      <c r="P528" s="10"/>
      <c r="Q528" s="10"/>
      <c r="R528" s="10">
        <f t="shared" si="848"/>
        <v>0</v>
      </c>
      <c r="S528" s="41">
        <f t="shared" si="839"/>
        <v>0</v>
      </c>
      <c r="Y528" s="42"/>
      <c r="Z528" s="1"/>
      <c r="AA528" s="206" t="str">
        <f t="shared" si="818"/>
        <v/>
      </c>
    </row>
    <row r="529" spans="1:27" ns3:dyDescent="0.3">
      <c r="A529" s="61"/>
      <c r="B529" s="11"/>
      <c r="C529" s="164" t="s">
        <v>260</v>
      </c>
      <c r="D529" s="166">
        <f t="shared" si="847"/>
        <v>-2.1666666666666665</v>
      </c>
      <c r="E529" s="4">
        <v>12</v>
      </c>
      <c r="F529" s="3">
        <f>IFERROR((L529-K529),"")</f>
        <v>-26</v>
      </c>
      <c r="G529" s="5">
        <f>G525</f>
        <v>4</v>
      </c>
      <c r="H529" s="6">
        <f>ROUNDUP(SUMPRODUCT(B530:B531,C530:C531)/1020,0)</f>
        <v>86</v>
      </c>
      <c r="I529" s="34">
        <f t="shared" si="855"/>
        <v>288</v>
      </c>
      <c r="J529" s="78">
        <f>IFERROR(VLOOKUP(C529,[2]Sheet1!$D:$J,7,0),"")</f>
        <v>82</v>
      </c>
      <c r="K529" s="80">
        <f>IFERROR((I529+J529),"")</f>
        <v>370</v>
      </c>
      <c r="L529" s="7">
        <f>IFERROR((G529*H529),"")</f>
        <v>344</v>
      </c>
      <c r="M529" s="8">
        <f>IFERROR(K529-L529,"")</f>
        <v>26</v>
      </c>
      <c r="N529" s="57">
        <f t="shared" si="856"/>
        <v>4.3023255813953485</v>
      </c>
      <c r="O529" s="9"/>
      <c r="P529" s="10"/>
      <c r="Q529" s="10">
        <v>5900</v>
      </c>
      <c r="R529" s="10">
        <f t="shared" si="848"/>
        <v>0</v>
      </c>
      <c r="S529" s="41">
        <f t="shared" si="839"/>
        <v>24</v>
      </c>
      <c r="T529" s="173">
        <v>8</v>
      </c>
      <c r="U529" s="173">
        <v>6</v>
      </c>
      <c r="V529" s="173">
        <v>10</v>
      </c>
      <c r="W529" s="173"/>
      <c r="X529" s="183"/>
      <c r="Y529" s="220"/>
      <c r="Z529" s="1"/>
      <c r="AA529" s="206">
        <f t="shared" si="818"/>
        <v>7.6785714285714288</v>
      </c>
    </row>
    <row r="530" spans="1:27" ns3:dyDescent="0.3">
      <c r="A530" s="61" t="s">
        <v>256</v>
      </c>
      <c r="B530" s="11">
        <f>ROUNDUP(HLOOKUP(A530,'야채 계산기'!$2:$3,2,0)*1.03,0)</f>
        <v>2926</v>
      </c>
      <c r="C530" s="164">
        <v>21.77</v>
      </c>
      <c r="D530" s="166" t="str">
        <f t="shared" si="847"/>
        <v/>
      </c>
      <c r="E530" s="4"/>
      <c r="F530" s="3"/>
      <c r="G530" s="5"/>
      <c r="H530" s="6"/>
      <c r="I530" s="34">
        <f>IFERROR((S530*E530),"")</f>
        <v>0</v>
      </c>
      <c r="J530" s="78" t="str">
        <f>IFERROR(VLOOKUP(C530,[2]Sheet1!$D:$J,7,0),"")</f>
        <v/>
      </c>
      <c r="K530" s="80" t="str">
        <f>IFERROR((I530+J530),"")</f>
        <v/>
      </c>
      <c r="L530" s="7">
        <f>IFERROR((G530*H530),"")</f>
        <v>0</v>
      </c>
      <c r="M530" s="8" t="str">
        <f>IFERROR(K530-L530,"")</f>
        <v/>
      </c>
      <c r="N530" s="57" t="str">
        <f>IFERROR((K530/H530),"")</f>
        <v/>
      </c>
      <c r="O530" s="9"/>
      <c r="P530" s="10"/>
      <c r="Q530" s="10"/>
      <c r="R530" s="10">
        <f t="shared" si="848"/>
        <v>0</v>
      </c>
      <c r="S530" s="41">
        <f t="shared" si="839"/>
        <v>0</v>
      </c>
      <c r="Y530" s="42"/>
      <c r="Z530" s="1"/>
      <c r="AA530" s="206" t="str">
        <f t="shared" si="818"/>
        <v/>
      </c>
    </row>
    <row r="531" spans="1:27" ns3:dyDescent="0.3">
      <c r="A531" s="61" t="s">
        <v>269</v>
      </c>
      <c r="B531" s="11">
        <f>ROUNDUP(HLOOKUP(A531,'야채 계산기'!$2:$3,2,0)*1.03,0)</f>
        <v>1082</v>
      </c>
      <c r="C531" s="164">
        <v>21.77</v>
      </c>
      <c r="D531" s="166" t="str">
        <f>IFERROR((F531/E531),"")</f>
        <v/>
      </c>
      <c r="E531" s="4"/>
      <c r="F531" s="3"/>
      <c r="G531" s="5"/>
      <c r="H531" s="6"/>
      <c r="I531" s="34">
        <f>IFERROR((S531*E531),"")</f>
        <v>0</v>
      </c>
      <c r="J531" s="78" t="str">
        <f>IFERROR(VLOOKUP(C531,[2]Sheet1!$D:$J,7,0),"")</f>
        <v/>
      </c>
      <c r="K531" s="80" t="str">
        <f>IFERROR((I531+J531),"")</f>
        <v/>
      </c>
      <c r="L531" s="7">
        <f>IFERROR((G531*H531),"")</f>
        <v>0</v>
      </c>
      <c r="M531" s="8" t="str">
        <f>IFERROR(K531-L531,"")</f>
        <v/>
      </c>
      <c r="N531" s="57" t="str">
        <f>IFERROR((K531/H531),"")</f>
        <v/>
      </c>
      <c r="O531" s="9"/>
      <c r="P531" s="10"/>
      <c r="Q531" s="10"/>
      <c r="R531" s="10">
        <f t="shared" si="848"/>
        <v>0</v>
      </c>
      <c r="S531" s="41">
        <f t="shared" si="839"/>
        <v>0</v>
      </c>
      <c r="Y531" s="42"/>
      <c r="Z531" s="1"/>
      <c r="AA531" s="206" t="str">
        <f t="shared" si="818"/>
        <v/>
      </c>
    </row>
    <row r="532" spans="1:27" ht="16.5" customHeight="1" ns3:dyDescent="0.3">
      <c r="A532" s="61"/>
      <c r="B532" s="12"/>
      <c r="C532" s="62"/>
      <c r="D532" s="166"/>
      <c r="E532" s="4"/>
      <c r="F532" s="3"/>
      <c r="G532" s="5"/>
      <c r="H532" s="6"/>
      <c r="I532" s="34">
        <f t="shared" si="855"/>
        <v>0</v>
      </c>
      <c r="J532" s="78" t="str">
        <f>IFERROR(VLOOKUP(C532,[2]Sheet1!$D:$J,7,0),"")</f>
        <v/>
      </c>
      <c r="K532" s="80" t="str">
        <f t="shared" ref="K532:K535" si="857">IFERROR((I532+J532),"")</f>
        <v/>
      </c>
      <c r="L532" s="7">
        <f t="shared" ref="L532:L535" si="858">IFERROR((G532*H532),"")</f>
        <v>0</v>
      </c>
      <c r="M532" s="8" t="str">
        <f t="shared" ref="M532:M535" si="859">IFERROR(K532-L532,"")</f>
        <v/>
      </c>
      <c r="N532" s="57" t="str">
        <f t="shared" ref="N532:N533" si="860">IFERROR((K532/H532),"")</f>
        <v/>
      </c>
      <c r="O532" s="9"/>
      <c r="P532" s="10"/>
      <c r="Q532" s="10"/>
      <c r="R532" s="10"/>
      <c r="S532" s="41">
        <f t="shared" si="839"/>
        <v>0</v>
      </c>
      <c r="Y532" s="42"/>
      <c r="Z532" s="1"/>
      <c r="AA532" s="206" t="str">
        <f t="shared" si="818"/>
        <v/>
      </c>
    </row>
    <row r="533" spans="1:27" ht="16.5" customHeight="1" ns3:dyDescent="0.3">
      <c r="A533" s="11"/>
      <c r="B533" s="12"/>
      <c r="C533" s="62"/>
      <c r="D533" s="166"/>
      <c r="E533" s="4"/>
      <c r="F533" s="3"/>
      <c r="G533" s="5"/>
      <c r="H533" s="6"/>
      <c r="I533" s="34">
        <f t="shared" si="855"/>
        <v>0</v>
      </c>
      <c r="J533" s="78" t="str">
        <f>IFERROR(VLOOKUP(C533,[2]Sheet1!$D:$J,7,0),"")</f>
        <v/>
      </c>
      <c r="K533" s="80" t="str">
        <f t="shared" si="857"/>
        <v/>
      </c>
      <c r="L533" s="7">
        <f t="shared" si="858"/>
        <v>0</v>
      </c>
      <c r="M533" s="8" t="str">
        <f t="shared" si="859"/>
        <v/>
      </c>
      <c r="N533" s="57" t="str">
        <f t="shared" si="860"/>
        <v/>
      </c>
      <c r="O533" s="9"/>
      <c r="P533" s="10"/>
      <c r="Q533" s="10"/>
      <c r="R533" s="10"/>
      <c r="S533" s="41">
        <f t="shared" si="839"/>
        <v>0</v>
      </c>
      <c r="Y533" s="42"/>
      <c r="Z533" s="1"/>
      <c r="AA533" s="206" t="str">
        <f t="shared" si="818"/>
        <v/>
      </c>
    </row>
    <row r="534" spans="1:27" hidden="1" ns3:dyDescent="0.3">
      <c r="A534" s="96" t="s">
        <v>532</v>
      </c>
      <c r="B534" s="58" t="s">
        <v>32</v>
      </c>
      <c r="C534" s="152"/>
      <c r="D534" s="166" t="str">
        <f>IFERROR((F534/E534),"")</f>
        <v/>
      </c>
      <c r="E534" s="4"/>
      <c r="F534" s="3"/>
      <c r="G534" s="5"/>
      <c r="H534" s="6"/>
      <c r="I534" s="34">
        <f t="shared" si="855"/>
        <v>0</v>
      </c>
      <c r="J534" s="78" t="str">
        <f>IFERROR(VLOOKUP(C534,[2]Sheet1!$D:$J,7,0),"")</f>
        <v/>
      </c>
      <c r="K534" s="80" t="str">
        <f t="shared" si="857"/>
        <v/>
      </c>
      <c r="L534" s="7">
        <f t="shared" si="858"/>
        <v>0</v>
      </c>
      <c r="M534" s="8" t="str">
        <f t="shared" si="859"/>
        <v/>
      </c>
      <c r="N534" s="57" t="str">
        <f>IFERROR((K534/H534),"")</f>
        <v/>
      </c>
      <c r="O534" s="9"/>
      <c r="P534" s="10"/>
      <c r="Q534" s="10"/>
      <c r="R534" s="10">
        <f>O534*P534*Q534</f>
        <v>0</v>
      </c>
      <c r="S534" s="41">
        <f t="shared" si="839"/>
        <v>0</v>
      </c>
      <c r="Y534" s="42"/>
      <c r="Z534" s="1"/>
      <c r="AA534" s="206" t="str">
        <f t="shared" si="818"/>
        <v/>
      </c>
    </row>
    <row r="535" spans="1:27" hidden="1" ns3:dyDescent="0.3">
      <c r="A535" s="16"/>
      <c r="B535" s="11"/>
      <c r="C535" s="262" t="s">
        <v>538</v>
      </c>
      <c r="D535" s="166" t="str">
        <f>IFERROR((F535/E535),"")</f>
        <v/>
      </c>
      <c r="E535" s="4">
        <v>2</v>
      </c>
      <c r="F535" s="3" t="str">
        <f>IFERROR((L535-K535),"")</f>
        <v/>
      </c>
      <c r="G535" s="5">
        <v>4.5</v>
      </c>
      <c r="H535" s="6" t="e">
        <f>ROUNDUP(SUMPRODUCT(B536:B536,C536:C536)/5000,1)</f>
        <v>#N/A</v>
      </c>
      <c r="I535" s="34">
        <f t="shared" si="855"/>
        <v>0</v>
      </c>
      <c r="J535" s="78" t="str">
        <f>IFERROR(VLOOKUP(C535,[2]Sheet1!$D:$J,7,0),"")</f>
        <v/>
      </c>
      <c r="K535" s="80" t="str">
        <f t="shared" si="857"/>
        <v/>
      </c>
      <c r="L535" s="7" t="str">
        <f t="shared" si="858"/>
        <v/>
      </c>
      <c r="M535" s="8" t="str">
        <f t="shared" si="859"/>
        <v/>
      </c>
      <c r="N535" s="57" t="str">
        <f>IFERROR((K535/H535),"")</f>
        <v/>
      </c>
      <c r="O535" s="9"/>
      <c r="P535" s="10"/>
      <c r="Q535" s="10">
        <v>44000</v>
      </c>
      <c r="R535" s="10">
        <f>O535*P535*Q535</f>
        <v>0</v>
      </c>
      <c r="S535" s="41">
        <f t="shared" si="839"/>
        <v>0</v>
      </c>
      <c r="T535" s="173"/>
      <c r="U535" s="173"/>
      <c r="V535" s="173"/>
      <c r="W535" s="183"/>
      <c r="X535" s="183"/>
      <c r="Y535" s="220"/>
      <c r="Z535" s="1"/>
      <c r="AA535" s="206" t="str">
        <f t="shared" si="818"/>
        <v/>
      </c>
    </row>
    <row r="536" spans="1:27" hidden="1" ns3:dyDescent="0.3">
      <c r="A536" s="273" t="s">
        <v>533</v>
      </c>
      <c r="B536" s="11" t="e">
        <f>ROUNDUP(HLOOKUP(A536,'야채 계산기'!$2:$3,2,0)*1.03,0)</f>
        <v>#N/A</v>
      </c>
      <c r="C536" s="164">
        <v>21.1</v>
      </c>
      <c r="D536" s="166"/>
      <c r="E536" s="4"/>
      <c r="F536" s="3"/>
      <c r="G536" s="5"/>
      <c r="H536" s="6"/>
      <c r="I536" s="34">
        <f>IFERROR((S536*E536),"")</f>
        <v>0</v>
      </c>
      <c r="J536" s="78" t="str">
        <f>IFERROR(VLOOKUP(C536,[2]Sheet1!$D:$J,7,0),"")</f>
        <v/>
      </c>
      <c r="K536" s="80" t="str">
        <f>IFERROR((I536+J536),"")</f>
        <v/>
      </c>
      <c r="L536" s="7">
        <f>IFERROR((G536*H536),"")</f>
        <v>0</v>
      </c>
      <c r="M536" s="8" t="str">
        <f>IFERROR(K536-L536,"")</f>
        <v/>
      </c>
      <c r="N536" s="57" t="str">
        <f>IFERROR((K536/H536),"")</f>
        <v/>
      </c>
      <c r="O536" s="9"/>
      <c r="P536" s="10"/>
      <c r="Q536" s="10"/>
      <c r="R536" s="10"/>
      <c r="S536" s="41">
        <f t="shared" si="839"/>
        <v>0</v>
      </c>
      <c r="Y536" s="42"/>
      <c r="Z536" s="1"/>
      <c r="AA536" s="206" t="str">
        <f t="shared" si="818"/>
        <v/>
      </c>
    </row>
    <row r="537" spans="1:27" ns3:dyDescent="0.3">
      <c r="A537" s="172"/>
      <c r="B537" s="11"/>
      <c r="C537" s="164"/>
      <c r="D537" s="166"/>
      <c r="E537" s="4"/>
      <c r="F537" s="3"/>
      <c r="G537" s="5"/>
      <c r="H537" s="6"/>
      <c r="I537" s="34"/>
      <c r="J537" s="78" t="str">
        <f>IFERROR(VLOOKUP(C537,[2]Sheet1!$D:$J,7,0),"")</f>
        <v/>
      </c>
      <c r="K537" s="80"/>
      <c r="L537" s="7"/>
      <c r="M537" s="8"/>
      <c r="N537" s="57"/>
      <c r="O537" s="9"/>
      <c r="P537" s="10"/>
      <c r="Q537" s="10"/>
      <c r="R537" s="10"/>
      <c r="Y537" s="42"/>
      <c r="Z537" s="1"/>
      <c r="AA537" s="206"/>
    </row>
    <row r="538" spans="1:27" ns3:dyDescent="0.3">
      <c r="A538" s="172"/>
      <c r="B538" s="11"/>
      <c r="C538" s="164"/>
      <c r="D538" s="166"/>
      <c r="E538" s="4"/>
      <c r="F538" s="3"/>
      <c r="G538" s="5"/>
      <c r="H538" s="6"/>
      <c r="I538" s="34"/>
      <c r="J538" s="78" t="str">
        <f>IFERROR(VLOOKUP(C538,[2]Sheet1!$D:$J,7,0),"")</f>
        <v/>
      </c>
      <c r="K538" s="80"/>
      <c r="L538" s="7"/>
      <c r="M538" s="8"/>
      <c r="N538" s="57"/>
      <c r="O538" s="9"/>
      <c r="P538" s="10"/>
      <c r="Q538" s="10"/>
      <c r="R538" s="10"/>
      <c r="Y538" s="42"/>
      <c r="Z538" s="1"/>
      <c r="AA538" s="206"/>
    </row>
    <row r="539" spans="1:27" ns3:dyDescent="0.3">
      <c r="A539" s="250" t="s">
        <v>126</v>
      </c>
      <c r="B539" s="184" t="s">
        <v>127</v>
      </c>
      <c r="C539" s="152"/>
      <c r="D539" s="111" t="str">
        <f t="shared" ref="D539:D543" si="861">IFERROR((F539/E539),"")</f>
        <v/>
      </c>
      <c r="E539" s="4"/>
      <c r="F539" s="17"/>
      <c r="G539" s="5"/>
      <c r="H539" s="6"/>
      <c r="I539" s="34">
        <f t="shared" ref="I539:I546" si="862">IFERROR((S539*E539),"")</f>
        <v>0</v>
      </c>
      <c r="J539" s="78" t="str">
        <f>IFERROR(VLOOKUP(C539,[2]Sheet1!$D:$J,7,0),"")</f>
        <v/>
      </c>
      <c r="K539" s="80" t="str">
        <f t="shared" ref="K539:K546" si="863">IFERROR((I539+J539),"")</f>
        <v/>
      </c>
      <c r="L539" s="7"/>
      <c r="M539" s="8" t="str">
        <f>IFERROR(K539-L539,"")</f>
        <v/>
      </c>
      <c r="N539" s="57" t="str">
        <f>IFERROR((K539/H539),"")</f>
        <v/>
      </c>
      <c r="O539" s="9"/>
      <c r="P539" s="10"/>
      <c r="Q539" s="10"/>
      <c r="R539" s="10">
        <f t="shared" ref="R539:R543" si="864">O539*P539*Q539</f>
        <v>0</v>
      </c>
      <c r="S539" s="41">
        <f t="shared" ref="S539:S624" si="865">SUM(Y539,T539:X539)</f>
        <v>0</v>
      </c>
      <c r="W539" s="190"/>
      <c r="Y539" s="42"/>
      <c r="Z539" s="1"/>
      <c r="AA539" s="206" t="str">
        <f t="shared" ref="AA539:AA580" si="866">IFERROR(H539*7.5/E539/7,"")</f>
        <v/>
      </c>
    </row>
    <row r="540" spans="1:27" ns3:dyDescent="0.3">
      <c r="A540" s="15"/>
      <c r="B540" s="11"/>
      <c r="C540" s="62" t="s">
        <v>168</v>
      </c>
      <c r="D540" s="166" t="str">
        <f>IFERROR((F540/E540),"")</f>
        <v/>
      </c>
      <c r="E540" s="4">
        <v>6</v>
      </c>
      <c r="F540" s="3" t="str">
        <f>IFERROR((L540-K540),"")</f>
        <v/>
      </c>
      <c r="G540" s="5">
        <v>7</v>
      </c>
      <c r="H540" s="6">
        <f>ROUNDUP(SUMPRODUCT(B541:B542,C541:C542)/300,1)</f>
        <v>26.400000000000002</v>
      </c>
      <c r="I540" s="34">
        <f t="shared" si="862"/>
        <v>0</v>
      </c>
      <c r="J540" s="78" t="str">
        <f>IFERROR(VLOOKUP(C540,[2]Sheet1!$D:$J,7,0),"")</f>
        <v/>
      </c>
      <c r="K540" s="80" t="str">
        <f t="shared" si="863"/>
        <v/>
      </c>
      <c r="L540" s="7">
        <f t="shared" ref="L540" si="867">IFERROR((G540*H540),"")</f>
        <v>184.8</v>
      </c>
      <c r="M540" s="8" t="str">
        <f t="shared" ref="M540" si="868">IFERROR(K540-L540,"")</f>
        <v/>
      </c>
      <c r="N540" s="57" t="str">
        <f>IFERROR((K540/H540),"")</f>
        <v/>
      </c>
      <c r="O540" s="9"/>
      <c r="P540" s="10"/>
      <c r="Q540" s="10">
        <v>900</v>
      </c>
      <c r="R540" s="10">
        <f t="shared" ref="R540:R542" si="869">O540*P540*Q540</f>
        <v>0</v>
      </c>
      <c r="S540" s="41">
        <f t="shared" si="865"/>
        <v>0</v>
      </c>
      <c r="T540" s="173"/>
      <c r="U540" s="173"/>
      <c r="V540" s="173"/>
      <c r="W540" s="173"/>
      <c r="X540" s="173"/>
      <c r="Y540" s="220"/>
      <c r="Z540" s="1"/>
      <c r="AA540" s="206">
        <f t="shared" si="866"/>
        <v>4.7142857142857153</v>
      </c>
    </row>
    <row r="541" spans="1:27" ht="12.75" customHeight="1" ns3:dyDescent="0.3">
      <c r="A541" s="16" t="s">
        <v>563</v>
      </c>
      <c r="B541" s="11">
        <f>ROUNDUP(HLOOKUP(A541,'야채 계산기'!$2:$3,2,0)*1.03,0)</f>
        <v>1834</v>
      </c>
      <c r="C541" s="62">
        <v>3.93</v>
      </c>
      <c r="D541" s="166" t="str">
        <f t="shared" ref="D541" si="870">IFERROR((F541/E541),"")</f>
        <v/>
      </c>
      <c r="E541" s="4"/>
      <c r="F541" s="3"/>
      <c r="G541" s="5"/>
      <c r="H541" s="6"/>
      <c r="I541" s="34">
        <f>IFERROR((S541*E541),"")</f>
        <v>0</v>
      </c>
      <c r="J541" s="78" t="str">
        <f>IFERROR(VLOOKUP(C541,[2]Sheet1!$D:$J,7,0),"")</f>
        <v/>
      </c>
      <c r="K541" s="80" t="str">
        <f>IFERROR((I541+J541),"")</f>
        <v/>
      </c>
      <c r="L541" s="7">
        <f t="shared" ref="L541" si="871">IFERROR((G541*H541),"")</f>
        <v>0</v>
      </c>
      <c r="M541" s="8" t="str">
        <f t="shared" ref="M541" si="872">IFERROR(K541-L541,"")</f>
        <v/>
      </c>
      <c r="N541" s="57" t="str">
        <f t="shared" ref="N541" si="873">IFERROR((K541/H541),"")</f>
        <v/>
      </c>
      <c r="O541" s="9"/>
      <c r="P541" s="10"/>
      <c r="Q541" s="10"/>
      <c r="R541" s="10">
        <f t="shared" ref="R541" si="874">O541*P541*Q541</f>
        <v>0</v>
      </c>
      <c r="S541" s="41">
        <f t="shared" si="865"/>
        <v>0</v>
      </c>
      <c r="W541" s="190"/>
      <c r="Y541" s="42"/>
      <c r="Z541" s="1"/>
      <c r="AA541" s="206" t="str">
        <f t="shared" si="866"/>
        <v/>
      </c>
    </row>
    <row r="542" spans="1:27" hidden="1" ns3:dyDescent="0.3">
      <c r="A542" s="16" t="s">
        <v>174</v>
      </c>
      <c r="B542" s="11">
        <f>ROUNDUP(HLOOKUP(A542,'야채 계산기'!$2:$3,2,0)*1.03,0)</f>
        <v>176</v>
      </c>
      <c r="C542" s="62">
        <v>3.93</v>
      </c>
      <c r="D542" s="166" t="str">
        <f t="shared" ref="D542" si="875">IFERROR((F542/E542),"")</f>
        <v/>
      </c>
      <c r="E542" s="4"/>
      <c r="F542" s="3"/>
      <c r="G542" s="5"/>
      <c r="H542" s="6"/>
      <c r="I542" s="34">
        <f>IFERROR((S542*E542),"")</f>
        <v>0</v>
      </c>
      <c r="J542" s="78" t="str">
        <f>IFERROR(VLOOKUP(C542,[2]Sheet1!$D:$J,7,0),"")</f>
        <v/>
      </c>
      <c r="K542" s="80" t="str">
        <f>IFERROR((I542+J542),"")</f>
        <v/>
      </c>
      <c r="L542" s="7">
        <f t="shared" ref="L542" si="876">IFERROR((G542*H542),"")</f>
        <v>0</v>
      </c>
      <c r="M542" s="8" t="str">
        <f t="shared" ref="M542" si="877">IFERROR(K542-L542,"")</f>
        <v/>
      </c>
      <c r="N542" s="57" t="str">
        <f t="shared" ref="N542" si="878">IFERROR((K542/H542),"")</f>
        <v/>
      </c>
      <c r="O542" s="9"/>
      <c r="P542" s="10"/>
      <c r="Q542" s="10"/>
      <c r="R542" s="10">
        <f t="shared" si="869"/>
        <v>0</v>
      </c>
      <c r="S542" s="41">
        <f t="shared" si="865"/>
        <v>0</v>
      </c>
      <c r="W542" s="190"/>
      <c r="Y542" s="42"/>
      <c r="Z542" s="1"/>
      <c r="AA542" s="206" t="str">
        <f t="shared" si="866"/>
        <v/>
      </c>
    </row>
    <row r="543" spans="1:27" ns3:dyDescent="0.3">
      <c r="A543" s="11"/>
      <c r="B543" s="11"/>
      <c r="C543" s="62" t="s">
        <v>705</v>
      </c>
      <c r="D543" s="111">
        <f t="shared" si="861"/>
        <v>-3.1666666666666665</v>
      </c>
      <c r="E543" s="4">
        <v>6</v>
      </c>
      <c r="F543" s="3">
        <f>IFERROR((L543-K543),"")</f>
        <v>-19</v>
      </c>
      <c r="G543" s="5">
        <v>7</v>
      </c>
      <c r="H543" s="39">
        <f>ROUNDUP(SUMPRODUCT(B544:B545,C544:C545)/6,0)</f>
        <v>41</v>
      </c>
      <c r="I543" s="34">
        <f t="shared" si="862"/>
        <v>180</v>
      </c>
      <c r="J543" s="78">
        <f>IFERROR(VLOOKUP(C543,[2]Sheet1!$D:$J,7,0),"")</f>
        <v>126</v>
      </c>
      <c r="K543" s="80">
        <f t="shared" si="863"/>
        <v>306</v>
      </c>
      <c r="L543" s="7">
        <f>IFERROR((G543*H543),"")</f>
        <v>287</v>
      </c>
      <c r="M543" s="8">
        <f>IFERROR(K543-L543,"")</f>
        <v>19</v>
      </c>
      <c r="N543" s="57">
        <f>IFERROR((K543/H543),"")</f>
        <v>7.4634146341463419</v>
      </c>
      <c r="O543" s="9"/>
      <c r="P543" s="10"/>
      <c r="Q543" s="10">
        <v>900</v>
      </c>
      <c r="R543" s="10">
        <f t="shared" si="864"/>
        <v>0</v>
      </c>
      <c r="S543" s="41">
        <f t="shared" si="865"/>
        <v>30</v>
      </c>
      <c r="T543" s="173"/>
      <c r="U543" s="173"/>
      <c r="V543" s="173">
        <v>30</v>
      </c>
      <c r="W543" s="173"/>
      <c r="X543" s="173"/>
      <c r="Y543" s="220"/>
      <c r="Z543" s="1"/>
      <c r="AA543" s="206">
        <f t="shared" si="866"/>
        <v>7.3214285714285712</v>
      </c>
    </row>
    <row r="544" spans="1:27" ns3:dyDescent="0.3">
      <c r="A544" s="11" t="s">
        <v>210</v>
      </c>
      <c r="B544" s="11">
        <f>ROUNDUP(HLOOKUP(A544,'야채 계산기'!$2:$3,2,0)*1.03,0)</f>
        <v>133</v>
      </c>
      <c r="C544" s="62">
        <v>1</v>
      </c>
      <c r="D544" s="111"/>
      <c r="E544" s="4"/>
      <c r="F544" s="3"/>
      <c r="G544" s="5"/>
      <c r="H544" s="6"/>
      <c r="I544" s="34">
        <f t="shared" si="862"/>
        <v>0</v>
      </c>
      <c r="J544" s="78" t="str">
        <f>IFERROR(VLOOKUP(C544,[2]Sheet1!$D:$J,7,0),"")</f>
        <v/>
      </c>
      <c r="K544" s="80" t="str">
        <f t="shared" si="863"/>
        <v/>
      </c>
      <c r="L544" s="7"/>
      <c r="M544" s="8"/>
      <c r="N544" s="57"/>
      <c r="O544" s="9"/>
      <c r="P544" s="10"/>
      <c r="Q544" s="10"/>
      <c r="R544" s="10"/>
      <c r="S544" s="41">
        <f t="shared" si="865"/>
        <v>178200</v>
      </c>
      <c r="T544" s="1">
        <f t="shared" ref="T544:X544" si="879">T543*5940</f>
        <v>0</v>
      </c>
      <c r="U544" s="1">
        <f t="shared" si="879"/>
        <v>0</v>
      </c>
      <c r="V544" s="1">
        <f t="shared" si="879"/>
        <v>178200</v>
      </c>
      <c r="W544" s="190">
        <f t="shared" si="879"/>
        <v>0</v>
      </c>
      <c r="X544" s="1">
        <f t="shared" si="879"/>
        <v>0</v>
      </c>
      <c r="Y544" s="42">
        <f>Y543*5940</f>
        <v>0</v>
      </c>
      <c r="Z544" s="1"/>
      <c r="AA544" s="206" t="str">
        <f t="shared" si="866"/>
        <v/>
      </c>
    </row>
    <row r="545" spans="1:27" ns3:dyDescent="0.3">
      <c r="A545" s="11" t="s">
        <v>248</v>
      </c>
      <c r="B545" s="11">
        <f>ROUNDUP(HLOOKUP(A545,'야채 계산기'!$2:$3,2,0)*1.03,0)</f>
        <v>108</v>
      </c>
      <c r="C545" s="62">
        <v>1</v>
      </c>
      <c r="D545" s="111"/>
      <c r="E545" s="4"/>
      <c r="F545" s="3"/>
      <c r="G545" s="5"/>
      <c r="H545" s="6"/>
      <c r="I545" s="34">
        <f t="shared" si="862"/>
        <v>0</v>
      </c>
      <c r="J545" s="78" t="str">
        <f>IFERROR(VLOOKUP(C545,[2]Sheet1!$D:$J,7,0),"")</f>
        <v/>
      </c>
      <c r="K545" s="80" t="str">
        <f t="shared" si="863"/>
        <v/>
      </c>
      <c r="L545" s="7"/>
      <c r="M545" s="8"/>
      <c r="N545" s="57"/>
      <c r="O545" s="9"/>
      <c r="P545" s="10"/>
      <c r="Q545" s="10"/>
      <c r="R545" s="10"/>
      <c r="S545" s="41">
        <f t="shared" si="865"/>
        <v>0</v>
      </c>
      <c r="W545" s="190"/>
      <c r="Y545" s="42"/>
      <c r="Z545" s="1"/>
      <c r="AA545" s="206" t="str">
        <f t="shared" si="866"/>
        <v/>
      </c>
    </row>
    <row r="546" spans="1:27" ns3:dyDescent="0.3">
      <c r="A546" s="12"/>
      <c r="B546" s="12"/>
      <c r="C546" s="62"/>
      <c r="D546" s="111"/>
      <c r="E546" s="4"/>
      <c r="F546" s="3">
        <v>8</v>
      </c>
      <c r="G546" s="5"/>
      <c r="H546" s="6"/>
      <c r="I546" s="34">
        <f t="shared" si="862"/>
        <v>0</v>
      </c>
      <c r="J546" s="78" t="str">
        <f>IFERROR(VLOOKUP(C546,[2]Sheet1!$D:$J,7,0),"")</f>
        <v/>
      </c>
      <c r="K546" s="80" t="str">
        <f t="shared" si="863"/>
        <v/>
      </c>
      <c r="L546" s="7"/>
      <c r="M546" s="8"/>
      <c r="N546" s="57"/>
      <c r="O546" s="9"/>
      <c r="P546" s="10"/>
      <c r="Q546" s="10"/>
      <c r="R546" s="10"/>
      <c r="S546" s="41">
        <f t="shared" si="865"/>
        <v>0</v>
      </c>
      <c r="W546" s="190"/>
      <c r="Y546" s="42"/>
      <c r="Z546" s="1"/>
      <c r="AA546" s="206" t="str">
        <f t="shared" si="866"/>
        <v/>
      </c>
    </row>
    <row r="547" spans="1:27" ns3:dyDescent="0.3">
      <c r="A547" s="208" t="s">
        <v>367</v>
      </c>
      <c r="B547" s="302" t="s">
        <v>368</v>
      </c>
      <c r="C547" s="152"/>
      <c r="D547" s="166" t="str">
        <f t="shared" ref="D547:D558" si="880">IFERROR((F547/E547),"")</f>
        <v/>
      </c>
      <c r="E547" s="4"/>
      <c r="F547" s="3"/>
      <c r="G547" s="5"/>
      <c r="H547" s="6"/>
      <c r="I547" s="34">
        <f t="shared" ref="I547:I560" si="881">IFERROR((S547*E547),"")</f>
        <v>0</v>
      </c>
      <c r="J547" s="78" t="str">
        <f>IFERROR(VLOOKUP(C547,[2]Sheet1!$D:$J,7,0),"")</f>
        <v/>
      </c>
      <c r="K547" s="80" t="str">
        <f t="shared" ref="K547:K560" si="882">IFERROR((I547+J547),"")</f>
        <v/>
      </c>
      <c r="L547" s="7">
        <f t="shared" ref="L547:L560" si="883">IFERROR((G547*H547),"")</f>
        <v>0</v>
      </c>
      <c r="M547" s="8" t="str">
        <f t="shared" ref="M547:M560" si="884">IFERROR(K547-L547,"")</f>
        <v/>
      </c>
      <c r="N547" s="57" t="str">
        <f t="shared" ref="N547:N558" si="885">IFERROR((K547/H547),"")</f>
        <v/>
      </c>
      <c r="O547" s="9"/>
      <c r="P547" s="10"/>
      <c r="Q547" s="10"/>
      <c r="R547" s="10">
        <f t="shared" ref="R547:R558" si="886">O547*P547*Q547</f>
        <v>0</v>
      </c>
      <c r="S547" s="41">
        <f t="shared" si="865"/>
        <v>0</v>
      </c>
      <c r="W547" s="190"/>
      <c r="Y547" s="42"/>
      <c r="Z547" s="1"/>
      <c r="AA547" s="206" t="str">
        <f t="shared" si="866"/>
        <v/>
      </c>
    </row>
    <row r="548" spans="1:27" hidden="1" ns3:dyDescent="0.3">
      <c r="A548" s="63"/>
      <c r="B548" s="11"/>
      <c r="C548" s="62" t="s">
        <v>620</v>
      </c>
      <c r="D548" s="166" t="str">
        <f t="shared" si="880"/>
        <v/>
      </c>
      <c r="E548" s="4">
        <v>10</v>
      </c>
      <c r="F548" s="3" t="str">
        <f>IFERROR((L548-K548),"")</f>
        <v/>
      </c>
      <c r="G548" s="5">
        <v>6.5</v>
      </c>
      <c r="H548" s="6" t="e">
        <f>ROUNDUP((B549*C549)/1000,1)</f>
        <v>#N/A</v>
      </c>
      <c r="I548" s="34">
        <f>IFERROR((S548*E548),"")</f>
        <v>0</v>
      </c>
      <c r="J548" s="78" t="str">
        <f>IFERROR(VLOOKUP(C548,[2]Sheet1!$D:$J,7,0),"")</f>
        <v/>
      </c>
      <c r="K548" s="80" t="str">
        <f>IFERROR((I548+J548),"")</f>
        <v/>
      </c>
      <c r="L548" s="7" t="str">
        <f>IFERROR((G548*H548),"")</f>
        <v/>
      </c>
      <c r="M548" s="8" t="str">
        <f>IFERROR(K548-L548,"")</f>
        <v/>
      </c>
      <c r="N548" s="57" t="str">
        <f t="shared" si="885"/>
        <v/>
      </c>
      <c r="O548" s="9"/>
      <c r="P548" s="10"/>
      <c r="Q548" s="10">
        <v>4400</v>
      </c>
      <c r="R548" s="10">
        <f t="shared" si="886"/>
        <v>0</v>
      </c>
      <c r="S548" s="41">
        <f t="shared" ref="S548:S549" si="887">SUM(Y548,T548:X548)</f>
        <v>0</v>
      </c>
      <c r="T548" s="173"/>
      <c r="V548" s="173"/>
      <c r="W548" s="190"/>
      <c r="X548" s="183"/>
      <c r="Y548" s="42"/>
      <c r="Z548" s="1"/>
      <c r="AA548" s="206" t="str">
        <f t="shared" ref="AA548:AA549" si="888">IFERROR(H548*7.5/E548/7,"")</f>
        <v/>
      </c>
    </row>
    <row r="549" spans="1:27" hidden="1" ns3:dyDescent="0.3">
      <c r="A549" s="272" t="s">
        <v>597</v>
      </c>
      <c r="B549" s="11" t="e">
        <f>ROUNDUP(HLOOKUP(A549,'야채 계산기'!$2:$3,2,0)*1.03,0)</f>
        <v>#N/A</v>
      </c>
      <c r="C549" s="62">
        <v>36.08</v>
      </c>
      <c r="D549" s="166" t="str">
        <f t="shared" si="880"/>
        <v/>
      </c>
      <c r="E549" s="4"/>
      <c r="F549" s="3"/>
      <c r="G549" s="5"/>
      <c r="H549" s="6"/>
      <c r="I549" s="34">
        <f>IFERROR((S549*E549),"")</f>
        <v>0</v>
      </c>
      <c r="J549" s="78" t="str">
        <f>IFERROR(VLOOKUP(C549,[2]Sheet1!$D:$J,7,0),"")</f>
        <v/>
      </c>
      <c r="K549" s="80" t="str">
        <f>IFERROR((I549+J549),"")</f>
        <v/>
      </c>
      <c r="L549" s="7">
        <f>IFERROR((G549*H549),"")</f>
        <v>0</v>
      </c>
      <c r="M549" s="8" t="str">
        <f>IFERROR(K549-L549,"")</f>
        <v/>
      </c>
      <c r="N549" s="57" t="str">
        <f t="shared" si="885"/>
        <v/>
      </c>
      <c r="O549" s="9"/>
      <c r="P549" s="10"/>
      <c r="Q549" s="10"/>
      <c r="R549" s="10">
        <f t="shared" si="886"/>
        <v>0</v>
      </c>
      <c r="S549" s="41">
        <f t="shared" si="887"/>
        <v>0</v>
      </c>
      <c r="W549" s="190"/>
      <c r="Y549" s="42"/>
      <c r="Z549" s="1"/>
      <c r="AA549" s="206" t="str">
        <f t="shared" si="888"/>
        <v/>
      </c>
    </row>
    <row r="550" spans="1:27" ns3:dyDescent="0.3">
      <c r="A550" s="15"/>
      <c r="B550" s="11"/>
      <c r="C550" s="164" t="s">
        <v>143</v>
      </c>
      <c r="D550" s="166">
        <f t="shared" si="880"/>
        <v>-4.9099999999999966</v>
      </c>
      <c r="E550" s="4">
        <v>10</v>
      </c>
      <c r="F550" s="3">
        <f>IFERROR((L550-K550),"")</f>
        <v>-49.099999999999966</v>
      </c>
      <c r="G550" s="5">
        <v>5.5</v>
      </c>
      <c r="H550" s="6">
        <f>ROUNDUP(SUMPRODUCT(B551:B552,C551:C552)/1000,1)</f>
        <v>43.800000000000004</v>
      </c>
      <c r="I550" s="34">
        <f t="shared" si="881"/>
        <v>180</v>
      </c>
      <c r="J550" s="78">
        <f>IFERROR(VLOOKUP(C550,[2]Sheet1!$D:$J,7,0),"")</f>
        <v>110</v>
      </c>
      <c r="K550" s="80">
        <f t="shared" si="882"/>
        <v>290</v>
      </c>
      <c r="L550" s="7">
        <f t="shared" si="883"/>
        <v>240.90000000000003</v>
      </c>
      <c r="M550" s="8">
        <f t="shared" si="884"/>
        <v>49.099999999999966</v>
      </c>
      <c r="N550" s="57">
        <f t="shared" si="885"/>
        <v>6.6210045662100452</v>
      </c>
      <c r="O550" s="9"/>
      <c r="P550" s="10"/>
      <c r="Q550" s="10">
        <v>5200</v>
      </c>
      <c r="R550" s="10">
        <f t="shared" si="886"/>
        <v>0</v>
      </c>
      <c r="S550" s="41">
        <f t="shared" si="865"/>
        <v>18</v>
      </c>
      <c r="T550" s="173">
        <v>8</v>
      </c>
      <c r="V550" s="173">
        <v>10</v>
      </c>
      <c r="W550" s="190"/>
      <c r="X550" s="183"/>
      <c r="Y550" s="42"/>
      <c r="Z550" s="1"/>
      <c r="AA550" s="206">
        <f t="shared" si="866"/>
        <v>4.6928571428571439</v>
      </c>
    </row>
    <row r="551" spans="1:27" ns3:dyDescent="0.3">
      <c r="A551" s="61" t="s">
        <v>496</v>
      </c>
      <c r="B551" s="11">
        <f>ROUNDUP(HLOOKUP(A551,'야채 계산기'!$2:$3,2,0)*1.03,0)</f>
        <v>1113</v>
      </c>
      <c r="C551" s="62">
        <f>'[1]뭘좋아할지몰라다넣어봤어(26.08.11)'!$B$12</f>
        <v>15.3</v>
      </c>
      <c r="D551" s="166" t="str">
        <f t="shared" ref="D551" si="889">IFERROR((F551/E551),"")</f>
        <v/>
      </c>
      <c r="E551" s="4"/>
      <c r="F551" s="3"/>
      <c r="G551" s="5"/>
      <c r="H551" s="6"/>
      <c r="I551" s="34">
        <f t="shared" ref="I551" si="890">IFERROR((S551*E551),"")</f>
        <v>0</v>
      </c>
      <c r="J551" s="78" t="str">
        <f>IFERROR(VLOOKUP(C551,[2]Sheet1!$D:$J,7,0),"")</f>
        <v/>
      </c>
      <c r="K551" s="80" t="str">
        <f t="shared" ref="K551" si="891">IFERROR((I551+J551),"")</f>
        <v/>
      </c>
      <c r="L551" s="7">
        <f t="shared" ref="L551" si="892">IFERROR((G551*H551),"")</f>
        <v>0</v>
      </c>
      <c r="M551" s="8" t="str">
        <f t="shared" ref="M551" si="893">IFERROR(K551-L551,"")</f>
        <v/>
      </c>
      <c r="N551" s="57" t="str">
        <f t="shared" ref="N551" si="894">IFERROR((K551/H551),"")</f>
        <v/>
      </c>
      <c r="O551" s="9"/>
      <c r="P551" s="10"/>
      <c r="Q551" s="10"/>
      <c r="R551" s="10">
        <f t="shared" ref="R551" si="895">O551*P551*Q551</f>
        <v>0</v>
      </c>
      <c r="S551" s="41">
        <f t="shared" ref="S551" si="896">SUM(Y551,T551:X551)</f>
        <v>0</v>
      </c>
      <c r="W551" s="190"/>
      <c r="Y551" s="42"/>
      <c r="Z551" s="1"/>
      <c r="AA551" s="206" t="str">
        <f t="shared" ref="AA551" si="897">IFERROR(H551*7.5/E551/7,"")</f>
        <v/>
      </c>
    </row>
    <row r="552" spans="1:27" ns3:dyDescent="0.3">
      <c r="A552" s="61" t="s">
        <v>712</v>
      </c>
      <c r="B552" s="11">
        <f>ROUNDUP(HLOOKUP(A552,'야채 계산기'!$2:$3,2,0)*1.03,0)</f>
        <v>1731</v>
      </c>
      <c r="C552" s="62">
        <v>15.46</v>
      </c>
      <c r="D552" s="166" t="str">
        <f t="shared" si="880"/>
        <v/>
      </c>
      <c r="E552" s="4"/>
      <c r="F552" s="3"/>
      <c r="G552" s="5"/>
      <c r="H552" s="6"/>
      <c r="I552" s="34">
        <f t="shared" si="881"/>
        <v>0</v>
      </c>
      <c r="J552" s="78" t="str">
        <f>IFERROR(VLOOKUP(C552,[2]Sheet1!$D:$J,7,0),"")</f>
        <v/>
      </c>
      <c r="K552" s="80" t="str">
        <f t="shared" si="882"/>
        <v/>
      </c>
      <c r="L552" s="7">
        <f t="shared" si="883"/>
        <v>0</v>
      </c>
      <c r="M552" s="8" t="str">
        <f t="shared" si="884"/>
        <v/>
      </c>
      <c r="N552" s="57" t="str">
        <f t="shared" si="885"/>
        <v/>
      </c>
      <c r="O552" s="9"/>
      <c r="P552" s="10"/>
      <c r="Q552" s="10"/>
      <c r="R552" s="10">
        <f t="shared" si="886"/>
        <v>0</v>
      </c>
      <c r="S552" s="41">
        <f t="shared" si="865"/>
        <v>0</v>
      </c>
      <c r="W552" s="190"/>
      <c r="Y552" s="42"/>
      <c r="Z552" s="1"/>
      <c r="AA552" s="206" t="str">
        <f t="shared" si="866"/>
        <v/>
      </c>
    </row>
    <row r="553" spans="1:27" hidden="1" ns3:dyDescent="0.3">
      <c r="A553" s="61"/>
      <c r="B553" s="11"/>
      <c r="C553" s="262" t="s">
        <v>150</v>
      </c>
      <c r="D553" s="166" t="str">
        <f t="shared" ref="D553:D556" si="898">IFERROR((F553/E553),"")</f>
        <v/>
      </c>
      <c r="E553" s="4">
        <v>10</v>
      </c>
      <c r="F553" s="3" t="str">
        <f>IFERROR((L553-K553),"")</f>
        <v/>
      </c>
      <c r="G553" s="5">
        <f>G550</f>
        <v>5.5</v>
      </c>
      <c r="H553" s="6">
        <f>ROUNDUP((B554*C554)/1000,1)</f>
        <v>0</v>
      </c>
      <c r="I553" s="34">
        <f t="shared" ref="I553:I558" si="899">IFERROR((S553*E553),"")</f>
        <v>0</v>
      </c>
      <c r="J553" s="78" t="str">
        <f>IFERROR(VLOOKUP(C553,[2]Sheet1!$D:$J,7,0),"")</f>
        <v/>
      </c>
      <c r="K553" s="80" t="str">
        <f t="shared" ref="K553:K558" si="900">IFERROR((I553+J553),"")</f>
        <v/>
      </c>
      <c r="L553" s="7">
        <f t="shared" ref="L553:L558" si="901">IFERROR((G553*H553),"")</f>
        <v>0</v>
      </c>
      <c r="M553" s="8" t="str">
        <f t="shared" ref="M553:M558" si="902">IFERROR(K553-L553,"")</f>
        <v/>
      </c>
      <c r="N553" s="57" t="str">
        <f t="shared" ref="N553:N556" si="903">IFERROR((K553/H553),"")</f>
        <v/>
      </c>
      <c r="O553" s="9"/>
      <c r="P553" s="10"/>
      <c r="Q553" s="10"/>
      <c r="R553" s="10">
        <f t="shared" ref="R553:R556" si="904">O553*P553*Q553</f>
        <v>0</v>
      </c>
      <c r="S553" s="41">
        <f t="shared" ref="S553:S556" si="905">SUM(Y553,T553:X553)</f>
        <v>0</v>
      </c>
      <c r="T553" s="173"/>
      <c r="V553" s="173"/>
      <c r="W553" s="190"/>
      <c r="X553" s="183"/>
      <c r="Y553" s="42"/>
      <c r="Z553" s="1"/>
      <c r="AA553" s="206">
        <f t="shared" ref="AA553:AA556" si="906">IFERROR(H553*7.5/E553/7,"")</f>
        <v>0</v>
      </c>
    </row>
    <row r="554" spans="1:27" hidden="1" ns3:dyDescent="0.3">
      <c r="A554" s="61" t="s">
        <v>495</v>
      </c>
      <c r="B554" s="11">
        <f>ROUNDUP(HLOOKUP(A554,'야채 계산기'!$2:$3,2,0)*1.03,0)</f>
        <v>0</v>
      </c>
      <c r="C554" s="62">
        <f>'[1]혜자)직화불고기&amp;오징어제육(25.9.16)'!$B$22</f>
        <v>25.51</v>
      </c>
      <c r="D554" s="166" t="str">
        <f t="shared" si="898"/>
        <v/>
      </c>
      <c r="E554" s="4"/>
      <c r="F554" s="3"/>
      <c r="G554" s="5"/>
      <c r="H554" s="6"/>
      <c r="I554" s="34">
        <f t="shared" si="899"/>
        <v>0</v>
      </c>
      <c r="J554" s="78" t="str">
        <f>IFERROR(VLOOKUP(C554,[2]Sheet1!$D:$J,7,0),"")</f>
        <v/>
      </c>
      <c r="K554" s="80" t="str">
        <f t="shared" si="900"/>
        <v/>
      </c>
      <c r="L554" s="7">
        <f t="shared" si="901"/>
        <v>0</v>
      </c>
      <c r="M554" s="8" t="str">
        <f t="shared" si="902"/>
        <v/>
      </c>
      <c r="N554" s="57" t="str">
        <f t="shared" si="903"/>
        <v/>
      </c>
      <c r="O554" s="9"/>
      <c r="P554" s="10"/>
      <c r="Q554" s="10"/>
      <c r="R554" s="10">
        <f t="shared" si="904"/>
        <v>0</v>
      </c>
      <c r="S554" s="41">
        <f t="shared" si="905"/>
        <v>0</v>
      </c>
      <c r="W554" s="190"/>
      <c r="Y554" s="42"/>
      <c r="Z554" s="1"/>
      <c r="AA554" s="206" t="str">
        <f t="shared" si="906"/>
        <v/>
      </c>
    </row>
    <row r="555" spans="1:27" ns3:dyDescent="0.3">
      <c r="A555" s="61"/>
      <c r="B555" s="11"/>
      <c r="C555" s="62" t="s">
        <v>748</v>
      </c>
      <c r="D555" s="166">
        <f t="shared" si="898"/>
        <v>-5.4549999999999983</v>
      </c>
      <c r="E555" s="4">
        <v>10</v>
      </c>
      <c r="F555" s="3">
        <f>IFERROR((L555-K555),"")</f>
        <v>-54.549999999999983</v>
      </c>
      <c r="G555" s="5">
        <f>G553</f>
        <v>5.5</v>
      </c>
      <c r="H555" s="6">
        <f>ROUNDUP((B556*C556)/1000,1)</f>
        <v>31.900000000000002</v>
      </c>
      <c r="I555" s="34">
        <f t="shared" si="899"/>
        <v>140</v>
      </c>
      <c r="J555" s="78">
        <f>IFERROR(VLOOKUP(C555,[2]Sheet1!$D:$J,7,0),"")</f>
        <v>90</v>
      </c>
      <c r="K555" s="80">
        <f t="shared" si="900"/>
        <v>230</v>
      </c>
      <c r="L555" s="7">
        <f t="shared" si="901"/>
        <v>175.45000000000002</v>
      </c>
      <c r="M555" s="8">
        <f t="shared" si="902"/>
        <v>54.549999999999983</v>
      </c>
      <c r="N555" s="57">
        <f t="shared" si="903"/>
        <v>7.2100313479623823</v>
      </c>
      <c r="O555" s="9"/>
      <c r="P555" s="10"/>
      <c r="Q555" s="10">
        <v>3179</v>
      </c>
      <c r="R555" s="10">
        <f t="shared" si="904"/>
        <v>0</v>
      </c>
      <c r="S555" s="41">
        <f t="shared" si="905"/>
        <v>14</v>
      </c>
      <c r="T555" s="173">
        <v>8</v>
      </c>
      <c r="V555" s="173">
        <v>6</v>
      </c>
      <c r="W555" s="190"/>
      <c r="X555" s="183"/>
      <c r="Y555" s="42"/>
      <c r="Z555" s="1"/>
      <c r="AA555" s="206">
        <f t="shared" si="906"/>
        <v>3.4178571428571436</v>
      </c>
    </row>
    <row r="556" spans="1:27" ns3:dyDescent="0.3">
      <c r="A556" s="61" t="s">
        <v>749</v>
      </c>
      <c r="B556" s="11">
        <f>ROUNDUP(HLOOKUP(A556,'야채 계산기'!$2:$3,2,0)*1.03,0)</f>
        <v>2081</v>
      </c>
      <c r="C556" s="62">
        <v>15.3</v>
      </c>
      <c r="D556" s="166" t="str">
        <f t="shared" si="898"/>
        <v/>
      </c>
      <c r="E556" s="4"/>
      <c r="F556" s="3"/>
      <c r="G556" s="5"/>
      <c r="H556" s="6"/>
      <c r="I556" s="34">
        <f t="shared" si="899"/>
        <v>0</v>
      </c>
      <c r="J556" s="78" t="str">
        <f>IFERROR(VLOOKUP(C556,[2]Sheet1!$D:$J,7,0),"")</f>
        <v/>
      </c>
      <c r="K556" s="80" t="str">
        <f t="shared" si="900"/>
        <v/>
      </c>
      <c r="L556" s="7">
        <f t="shared" si="901"/>
        <v>0</v>
      </c>
      <c r="M556" s="8" t="str">
        <f t="shared" si="902"/>
        <v/>
      </c>
      <c r="N556" s="57" t="str">
        <f t="shared" si="903"/>
        <v/>
      </c>
      <c r="O556" s="9"/>
      <c r="P556" s="10"/>
      <c r="Q556" s="10"/>
      <c r="R556" s="10">
        <f t="shared" si="904"/>
        <v>0</v>
      </c>
      <c r="S556" s="41">
        <f t="shared" si="905"/>
        <v>0</v>
      </c>
      <c r="W556" s="190"/>
      <c r="Y556" s="42"/>
      <c r="Z556" s="1"/>
      <c r="AA556" s="206" t="str">
        <f t="shared" si="906"/>
        <v/>
      </c>
    </row>
    <row r="557" spans="1:27" ns3:dyDescent="0.3">
      <c r="A557" s="61"/>
      <c r="B557" s="11"/>
      <c r="C557" s="62" t="s">
        <v>792</v>
      </c>
      <c r="D557" s="166">
        <f t="shared" si="880"/>
        <v>0.78499999999999948</v>
      </c>
      <c r="E557" s="4">
        <v>10</v>
      </c>
      <c r="F557" s="3">
        <f>IFERROR((L557-K557),"")</f>
        <v>7.8499999999999943</v>
      </c>
      <c r="G557" s="5">
        <f>G550</f>
        <v>5.5</v>
      </c>
      <c r="H557" s="6">
        <f>ROUNDUP((B558*C558)/1000,1)</f>
        <v>8.6999999999999993</v>
      </c>
      <c r="I557" s="34">
        <f t="shared" si="899"/>
        <v>10</v>
      </c>
      <c r="J557" s="78">
        <f>IFERROR(VLOOKUP(C557,[2]Sheet1!$D:$J,7,0),"")</f>
        <v>30</v>
      </c>
      <c r="K557" s="80">
        <f t="shared" si="900"/>
        <v>40</v>
      </c>
      <c r="L557" s="7">
        <f t="shared" si="901"/>
        <v>47.849999999999994</v>
      </c>
      <c r="M557" s="8">
        <f t="shared" si="902"/>
        <v>-7.8499999999999943</v>
      </c>
      <c r="N557" s="57">
        <f t="shared" si="885"/>
        <v>4.597701149425288</v>
      </c>
      <c r="O557" s="9"/>
      <c r="P557" s="10"/>
      <c r="Q557" s="10">
        <v>4300</v>
      </c>
      <c r="R557" s="10">
        <f t="shared" si="886"/>
        <v>0</v>
      </c>
      <c r="S557" s="41">
        <f t="shared" si="865"/>
        <v>1</v>
      </c>
      <c r="T557" s="173"/>
      <c r="V557" s="173">
        <v>1</v>
      </c>
      <c r="W557" s="190"/>
      <c r="X557" s="183"/>
      <c r="Y557" s="42"/>
      <c r="Z557" s="1"/>
      <c r="AA557" s="206">
        <f t="shared" si="866"/>
        <v>0.93214285714285716</v>
      </c>
    </row>
    <row r="558" spans="1:27" ns3:dyDescent="0.3">
      <c r="A558" s="61" t="s">
        <v>780</v>
      </c>
      <c r="B558" s="11">
        <f>ROUNDUP(HLOOKUP(A558,'야채 계산기'!$2:$3,2,0)*1.03,0)</f>
        <v>567</v>
      </c>
      <c r="C558" s="62">
        <v>15.3</v>
      </c>
      <c r="D558" s="166" t="str">
        <f t="shared" si="880"/>
        <v/>
      </c>
      <c r="E558" s="4"/>
      <c r="F558" s="3"/>
      <c r="G558" s="5"/>
      <c r="H558" s="6"/>
      <c r="I558" s="34">
        <f t="shared" si="899"/>
        <v>0</v>
      </c>
      <c r="J558" s="78" t="str">
        <f>IFERROR(VLOOKUP(C558,[2]Sheet1!$D:$J,7,0),"")</f>
        <v/>
      </c>
      <c r="K558" s="80" t="str">
        <f t="shared" si="900"/>
        <v/>
      </c>
      <c r="L558" s="7">
        <f t="shared" si="901"/>
        <v>0</v>
      </c>
      <c r="M558" s="8" t="str">
        <f t="shared" si="902"/>
        <v/>
      </c>
      <c r="N558" s="57" t="str">
        <f t="shared" si="885"/>
        <v/>
      </c>
      <c r="O558" s="9"/>
      <c r="P558" s="10"/>
      <c r="Q558" s="10"/>
      <c r="R558" s="10">
        <f t="shared" si="886"/>
        <v>0</v>
      </c>
      <c r="S558" s="41">
        <f t="shared" si="865"/>
        <v>0</v>
      </c>
      <c r="W558" s="190"/>
      <c r="Y558" s="42"/>
      <c r="Z558" s="1"/>
      <c r="AA558" s="206" t="str">
        <f t="shared" si="866"/>
        <v/>
      </c>
    </row>
    <row r="559" spans="1:27" ns3:dyDescent="0.3">
      <c r="A559" s="61"/>
      <c r="B559" s="11"/>
      <c r="C559" s="62"/>
      <c r="D559" s="166" t="str">
        <f t="shared" ref="D559" si="907">IFERROR((F559/E559),"")</f>
        <v/>
      </c>
      <c r="E559" s="4"/>
      <c r="F559" s="3" t="str">
        <f t="shared" ref="F559" si="908">IFERROR((L559-K559),"")</f>
        <v/>
      </c>
      <c r="G559" s="5"/>
      <c r="H559" s="6"/>
      <c r="I559" s="34">
        <f t="shared" si="881"/>
        <v>0</v>
      </c>
      <c r="J559" s="78" t="str">
        <f>IFERROR(VLOOKUP(C559,[2]Sheet1!$D:$J,7,0),"")</f>
        <v/>
      </c>
      <c r="K559" s="80" t="str">
        <f t="shared" si="882"/>
        <v/>
      </c>
      <c r="L559" s="7">
        <f t="shared" si="883"/>
        <v>0</v>
      </c>
      <c r="M559" s="8" t="str">
        <f t="shared" si="884"/>
        <v/>
      </c>
      <c r="N559" s="57" t="str">
        <f t="shared" ref="N559" si="909">IFERROR((K559/H559),"")</f>
        <v/>
      </c>
      <c r="O559" s="9"/>
      <c r="P559" s="10"/>
      <c r="Q559" s="10"/>
      <c r="R559" s="10">
        <f t="shared" ref="R559" si="910">O559*P559*Q559</f>
        <v>0</v>
      </c>
      <c r="S559" s="41">
        <f t="shared" si="865"/>
        <v>0</v>
      </c>
      <c r="W559" s="190"/>
      <c r="Y559" s="42"/>
      <c r="Z559" s="1"/>
      <c r="AA559" s="206" t="str">
        <f t="shared" si="866"/>
        <v/>
      </c>
    </row>
    <row r="560" spans="1:27" ns3:dyDescent="0.3">
      <c r="A560" s="2"/>
      <c r="B560" s="2"/>
      <c r="C560" s="62"/>
      <c r="D560" s="166" t="str">
        <f t="shared" ref="D560:D566" si="911">IFERROR((F560/E560),"")</f>
        <v/>
      </c>
      <c r="E560" s="4"/>
      <c r="F560" s="17"/>
      <c r="G560" s="5"/>
      <c r="H560" s="6"/>
      <c r="I560" s="34">
        <f t="shared" si="881"/>
        <v>0</v>
      </c>
      <c r="J560" s="78" t="str">
        <f>IFERROR(VLOOKUP(C560,[2]Sheet1!$D:$J,7,0),"")</f>
        <v/>
      </c>
      <c r="K560" s="80" t="str">
        <f t="shared" si="882"/>
        <v/>
      </c>
      <c r="L560" s="7">
        <f t="shared" si="883"/>
        <v>0</v>
      </c>
      <c r="M560" s="8" t="str">
        <f t="shared" si="884"/>
        <v/>
      </c>
      <c r="N560" s="57"/>
      <c r="O560" s="9"/>
      <c r="P560" s="10"/>
      <c r="Q560" s="10"/>
      <c r="R560" s="10">
        <f>O560*P560*Q560</f>
        <v>0</v>
      </c>
      <c r="S560" s="41">
        <f t="shared" si="865"/>
        <v>0</v>
      </c>
      <c r="W560" s="190"/>
      <c r="Y560" s="42"/>
      <c r="Z560" s="1"/>
      <c r="AA560" s="206" t="str">
        <f t="shared" si="866"/>
        <v/>
      </c>
    </row>
    <row r="561" spans="1:28" ns3:dyDescent="0.3">
      <c r="A561" s="209" t="s">
        <v>349</v>
      </c>
      <c r="B561" s="58" t="s">
        <v>312</v>
      </c>
      <c r="C561" s="154"/>
      <c r="D561" s="166" t="str">
        <f t="shared" si="911"/>
        <v/>
      </c>
      <c r="E561" s="4"/>
      <c r="F561" s="17"/>
      <c r="G561" s="5"/>
      <c r="H561" s="6"/>
      <c r="I561" s="34">
        <f t="shared" ref="I561:I596" si="912">IFERROR((S561*E561),"")</f>
        <v>0</v>
      </c>
      <c r="J561" s="78" t="str">
        <f>IFERROR(VLOOKUP(C561,[2]Sheet1!$D:$J,7,0),"")</f>
        <v/>
      </c>
      <c r="K561" s="80" t="str">
        <f t="shared" ref="K561:K604" si="913">IFERROR((I561+J561),"")</f>
        <v/>
      </c>
      <c r="L561" s="7">
        <f t="shared" ref="L561:L603" si="914">IFERROR((G561*H561),"")</f>
        <v>0</v>
      </c>
      <c r="M561" s="8" t="str">
        <f t="shared" ref="M561:M603" si="915">IFERROR(K561-L561,"")</f>
        <v/>
      </c>
      <c r="N561" s="57" t="str">
        <f t="shared" ref="N561:N602" si="916">IFERROR((K561/H561),"")</f>
        <v/>
      </c>
      <c r="O561" s="9"/>
      <c r="P561" s="10"/>
      <c r="Q561" s="10"/>
      <c r="R561" s="10">
        <f t="shared" ref="R561:R602" si="917">O561*P561*Q561</f>
        <v>0</v>
      </c>
      <c r="S561" s="41">
        <f t="shared" si="865"/>
        <v>0</v>
      </c>
      <c r="W561" s="190"/>
      <c r="Y561" s="42"/>
      <c r="Z561" s="1"/>
      <c r="AA561" s="206" t="str">
        <f t="shared" si="866"/>
        <v/>
      </c>
    </row>
    <row r="562" spans="1:28" ns3:dyDescent="0.3">
      <c r="A562" s="60"/>
      <c r="B562" s="134" t="s">
        <v>183</v>
      </c>
      <c r="C562" s="62" t="s">
        <v>719</v>
      </c>
      <c r="D562" s="166">
        <f>IFERROR((F562/E562),"")</f>
        <v>-25.815000000000008</v>
      </c>
      <c r="E562" s="4">
        <v>10</v>
      </c>
      <c r="F562" s="3">
        <f>IFERROR((L562-K562),"")</f>
        <v>-258.15000000000009</v>
      </c>
      <c r="G562" s="5">
        <v>5.5</v>
      </c>
      <c r="H562" s="6">
        <f>ROUNDUP(SUMPRODUCT(B563:B563,C563:C563)/25,1)</f>
        <v>90.699999999999989</v>
      </c>
      <c r="I562" s="34">
        <f>IFERROR((S562*E562),"")</f>
        <v>460</v>
      </c>
      <c r="J562" s="78">
        <f>IFERROR(VLOOKUP(C562,[2]Sheet1!$D:$J,7,0),"")</f>
        <v>297</v>
      </c>
      <c r="K562" s="80">
        <f>IFERROR((I562+J562),"")</f>
        <v>757</v>
      </c>
      <c r="L562" s="7">
        <f>IFERROR((G562*H562),"")</f>
        <v>498.84999999999991</v>
      </c>
      <c r="M562" s="8">
        <f>IFERROR(K562-L562,"")</f>
        <v>258.15000000000009</v>
      </c>
      <c r="N562" s="57">
        <f t="shared" ref="N562" si="918">IFERROR((K562/H562),"")</f>
        <v>8.3461962513781707</v>
      </c>
      <c r="O562" s="9"/>
      <c r="P562" s="10"/>
      <c r="Q562" s="10">
        <v>6716</v>
      </c>
      <c r="R562" s="10">
        <f t="shared" ref="R562" si="919">O562*P562*Q562</f>
        <v>0</v>
      </c>
      <c r="S562" s="41">
        <f>SUM(Y562,T562:X562)</f>
        <v>46</v>
      </c>
      <c r="T562" s="173">
        <v>20</v>
      </c>
      <c r="V562" s="173">
        <v>26</v>
      </c>
      <c r="W562" s="190"/>
      <c r="X562" s="277"/>
      <c r="Y562" s="42"/>
      <c r="Z562" s="42"/>
      <c r="AA562" s="206">
        <f>IFERROR(H562*7.5/E562/7,"")</f>
        <v>9.7178571428571416</v>
      </c>
      <c r="AB562" s="187"/>
    </row>
    <row r="563" spans="1:28" ns3:dyDescent="0.3">
      <c r="A563" s="60" t="s">
        <v>759</v>
      </c>
      <c r="B563" s="11">
        <f>ROUNDUP(HLOOKUP(A563,'야채 계산기'!$2:$3,2,0)*1.03,0)</f>
        <v>2266</v>
      </c>
      <c r="C563" s="164">
        <v>1</v>
      </c>
      <c r="D563" s="166" t="str">
        <f>IFERROR((F563/E563),"")</f>
        <v/>
      </c>
      <c r="E563" s="4"/>
      <c r="F563" s="3"/>
      <c r="G563" s="5"/>
      <c r="H563" s="6"/>
      <c r="I563" s="34">
        <f>IFERROR((S563*E563),"")</f>
        <v>0</v>
      </c>
      <c r="J563" s="78" t="str">
        <f>IFERROR(VLOOKUP(C563,[2]Sheet1!$D:$J,7,0),"")</f>
        <v/>
      </c>
      <c r="K563" s="80" t="str">
        <f>IFERROR((I563+J563),"")</f>
        <v/>
      </c>
      <c r="L563" s="7">
        <f>IFERROR((G563*H563),"")</f>
        <v>0</v>
      </c>
      <c r="M563" s="8" t="str">
        <f>IFERROR(K563-L563,"")</f>
        <v/>
      </c>
      <c r="N563" s="57" t="str">
        <f>IFERROR((K563/H563),"")</f>
        <v/>
      </c>
      <c r="O563" s="9"/>
      <c r="P563" s="10"/>
      <c r="Q563" s="10"/>
      <c r="R563" s="10">
        <f>O563*P563*Q563</f>
        <v>0</v>
      </c>
      <c r="S563" s="41">
        <f>SUM(Y563,T563:X563)</f>
        <v>0</v>
      </c>
      <c r="W563" s="190"/>
      <c r="Y563" s="42"/>
      <c r="Z563" s="1"/>
      <c r="AA563" s="206" t="str">
        <f>IFERROR(H563*7.5/E563/7,"")</f>
        <v/>
      </c>
    </row>
    <row r="564" spans="1:28" ns3:dyDescent="0.3">
      <c r="A564" s="60"/>
      <c r="B564" s="11"/>
      <c r="C564" s="164" t="s">
        <v>21</v>
      </c>
      <c r="D564" s="166">
        <f t="shared" si="911"/>
        <v>-6.2299999999999995</v>
      </c>
      <c r="E564" s="4">
        <v>10</v>
      </c>
      <c r="F564" s="3">
        <f>IFERROR((L564-K564),"")</f>
        <v>-62.3</v>
      </c>
      <c r="G564" s="5">
        <f>G562</f>
        <v>5.5</v>
      </c>
      <c r="H564" s="6">
        <f>ROUNDUP(SUMPRODUCT(B565:B565,C565:C565)/1000,1)</f>
        <v>11.4</v>
      </c>
      <c r="I564" s="34">
        <f t="shared" si="912"/>
        <v>40</v>
      </c>
      <c r="J564" s="78">
        <f>IFERROR(VLOOKUP(C564,[2]Sheet1!$D:$J,7,0),"")</f>
        <v>85</v>
      </c>
      <c r="K564" s="80">
        <f t="shared" si="913"/>
        <v>125</v>
      </c>
      <c r="L564" s="7">
        <f t="shared" si="914"/>
        <v>62.7</v>
      </c>
      <c r="M564" s="8">
        <f t="shared" si="915"/>
        <v>62.3</v>
      </c>
      <c r="N564" s="57">
        <f t="shared" si="916"/>
        <v>10.964912280701753</v>
      </c>
      <c r="O564" s="9"/>
      <c r="P564" s="10"/>
      <c r="Q564" s="10">
        <v>10700</v>
      </c>
      <c r="R564" s="10">
        <f t="shared" si="917"/>
        <v>0</v>
      </c>
      <c r="S564" s="41">
        <f t="shared" si="865"/>
        <v>4</v>
      </c>
      <c r="T564" s="173">
        <v>4</v>
      </c>
      <c r="V564" s="173"/>
      <c r="W564" s="190"/>
      <c r="X564" s="183"/>
      <c r="Y564" s="42"/>
      <c r="Z564" s="42"/>
      <c r="AA564" s="206">
        <f t="shared" si="866"/>
        <v>1.2214285714285715</v>
      </c>
      <c r="AB564" s="187"/>
    </row>
    <row r="565" spans="1:28" ns3:dyDescent="0.3">
      <c r="A565" s="248" t="s">
        <v>846</v>
      </c>
      <c r="B565" s="11">
        <f>ROUNDUP(HLOOKUP(A565,'야채 계산기'!$2:$3,2,0)*1.03,0)</f>
        <v>3245</v>
      </c>
      <c r="C565" s="62">
        <f>3.5</f>
        <v>3.5</v>
      </c>
      <c r="D565" s="166" t="str">
        <f t="shared" si="911"/>
        <v/>
      </c>
      <c r="E565" s="4"/>
      <c r="F565" s="3"/>
      <c r="G565" s="5"/>
      <c r="H565" s="6"/>
      <c r="I565" s="34">
        <f t="shared" si="912"/>
        <v>0</v>
      </c>
      <c r="J565" s="78" t="str">
        <f>IFERROR(VLOOKUP(C565,[2]Sheet1!$D:$J,7,0),"")</f>
        <v/>
      </c>
      <c r="K565" s="80" t="str">
        <f t="shared" si="913"/>
        <v/>
      </c>
      <c r="L565" s="7">
        <f t="shared" si="914"/>
        <v>0</v>
      </c>
      <c r="M565" s="8" t="str">
        <f t="shared" si="915"/>
        <v/>
      </c>
      <c r="N565" s="57" t="str">
        <f t="shared" si="916"/>
        <v/>
      </c>
      <c r="O565" s="9"/>
      <c r="P565" s="10"/>
      <c r="Q565" s="10"/>
      <c r="R565" s="10">
        <f t="shared" si="917"/>
        <v>0</v>
      </c>
      <c r="S565" s="41">
        <f t="shared" si="865"/>
        <v>0</v>
      </c>
      <c r="T565" s="190"/>
      <c r="V565" s="190"/>
      <c r="W565" s="190"/>
      <c r="X565" s="190"/>
      <c r="Y565" s="42"/>
      <c r="Z565" s="42"/>
      <c r="AA565" s="206" t="str">
        <f t="shared" si="866"/>
        <v/>
      </c>
      <c r="AB565" s="187"/>
    </row>
    <row r="566" spans="1:28" ns3:dyDescent="0.3">
      <c r="A566" s="60"/>
      <c r="B566" s="134" t="s">
        <v>183</v>
      </c>
      <c r="C566" s="164" t="s">
        <v>272</v>
      </c>
      <c r="D566" s="166">
        <f t="shared" si="911"/>
        <v>-6.8926666666666661</v>
      </c>
      <c r="E566" s="4">
        <v>6</v>
      </c>
      <c r="F566" s="3">
        <f>IFERROR((L566-K566),"")</f>
        <v>-41.355999999999995</v>
      </c>
      <c r="G566" s="5">
        <f>G564</f>
        <v>5.5</v>
      </c>
      <c r="H566" s="6">
        <f>ROUNDUP(SUMPRODUCT(B567:B568,C567:C568)/2000,1)*0.92</f>
        <v>25.208000000000002</v>
      </c>
      <c r="I566" s="34">
        <f t="shared" si="912"/>
        <v>96</v>
      </c>
      <c r="J566" s="78">
        <f>IFERROR(VLOOKUP(C566,[2]Sheet1!$D:$J,7,0),"")</f>
        <v>84</v>
      </c>
      <c r="K566" s="80">
        <f t="shared" si="913"/>
        <v>180</v>
      </c>
      <c r="L566" s="7">
        <f t="shared" si="914"/>
        <v>138.64400000000001</v>
      </c>
      <c r="M566" s="8">
        <f t="shared" si="915"/>
        <v>41.355999999999995</v>
      </c>
      <c r="N566" s="57">
        <f t="shared" si="916"/>
        <v>7.140590288797207</v>
      </c>
      <c r="O566" s="9"/>
      <c r="P566" s="10"/>
      <c r="Q566" s="10">
        <v>13000</v>
      </c>
      <c r="R566" s="10">
        <f t="shared" si="917"/>
        <v>0</v>
      </c>
      <c r="S566" s="41">
        <f t="shared" si="865"/>
        <v>16</v>
      </c>
      <c r="T566" s="173">
        <v>10</v>
      </c>
      <c r="V566" s="173">
        <v>6</v>
      </c>
      <c r="W566" s="190"/>
      <c r="X566" s="183"/>
      <c r="Y566" s="42"/>
      <c r="Z566" s="42"/>
      <c r="AA566" s="206">
        <f t="shared" si="866"/>
        <v>4.5014285714285718</v>
      </c>
      <c r="AB566" s="187"/>
    </row>
    <row r="567" spans="1:28" ns3:dyDescent="0.3">
      <c r="A567" s="60" t="s">
        <v>269</v>
      </c>
      <c r="B567" s="11">
        <f>ROUNDUP(HLOOKUP(A567,'야채 계산기'!$2:$3,2,0),0)</f>
        <v>1050</v>
      </c>
      <c r="C567" s="164">
        <f>51.36-5.9</f>
        <v>45.46</v>
      </c>
      <c r="D567" s="166"/>
      <c r="E567" s="4"/>
      <c r="F567" s="3"/>
      <c r="G567" s="5"/>
      <c r="H567" s="6"/>
      <c r="I567" s="34">
        <f t="shared" ref="I567" si="920">IFERROR((S567*E567),"")</f>
        <v>0</v>
      </c>
      <c r="J567" s="78" t="str">
        <f>IFERROR(VLOOKUP(C567,[2]Sheet1!$D:$J,7,0),"")</f>
        <v/>
      </c>
      <c r="K567" s="80" t="str">
        <f t="shared" ref="K567" si="921">IFERROR((I567+J567),"")</f>
        <v/>
      </c>
      <c r="L567" s="7">
        <f t="shared" ref="L567" si="922">IFERROR((G567*H567),"")</f>
        <v>0</v>
      </c>
      <c r="M567" s="8" t="str">
        <f t="shared" ref="M567" si="923">IFERROR(K567-L567,"")</f>
        <v/>
      </c>
      <c r="N567" s="57" t="str">
        <f t="shared" ref="N567" si="924">IFERROR((K567/H567),"")</f>
        <v/>
      </c>
      <c r="O567" s="9"/>
      <c r="P567" s="10"/>
      <c r="Q567" s="10"/>
      <c r="R567" s="10">
        <f t="shared" ref="R567" si="925">O567*P567*Q567</f>
        <v>0</v>
      </c>
      <c r="S567" s="41">
        <f t="shared" si="865"/>
        <v>0</v>
      </c>
      <c r="W567" s="190"/>
      <c r="Y567" s="42"/>
      <c r="Z567" s="1"/>
      <c r="AA567" s="206" t="str">
        <f t="shared" si="866"/>
        <v/>
      </c>
    </row>
    <row r="568" spans="1:28" ns3:dyDescent="0.3">
      <c r="A568" s="60" t="s">
        <v>599</v>
      </c>
      <c r="B568" s="11">
        <f>ROUNDUP(HLOOKUP(A568,'야채 계산기'!$2:$3,2,0),0)</f>
        <v>440</v>
      </c>
      <c r="C568" s="164">
        <v>16.05</v>
      </c>
      <c r="D568" s="166"/>
      <c r="E568" s="4"/>
      <c r="F568" s="3"/>
      <c r="G568" s="5"/>
      <c r="H568" s="6"/>
      <c r="I568" s="34">
        <f t="shared" si="912"/>
        <v>0</v>
      </c>
      <c r="J568" s="78" t="str">
        <f>IFERROR(VLOOKUP(C568,[2]Sheet1!$D:$J,7,0),"")</f>
        <v/>
      </c>
      <c r="K568" s="80" t="str">
        <f t="shared" si="913"/>
        <v/>
      </c>
      <c r="L568" s="7">
        <f t="shared" si="914"/>
        <v>0</v>
      </c>
      <c r="M568" s="8" t="str">
        <f t="shared" si="915"/>
        <v/>
      </c>
      <c r="N568" s="57" t="str">
        <f t="shared" si="916"/>
        <v/>
      </c>
      <c r="O568" s="9"/>
      <c r="P568" s="10"/>
      <c r="Q568" s="10"/>
      <c r="R568" s="10">
        <f t="shared" si="917"/>
        <v>0</v>
      </c>
      <c r="S568" s="41">
        <f t="shared" si="865"/>
        <v>0</v>
      </c>
      <c r="W568" s="190"/>
      <c r="Y568" s="42"/>
      <c r="Z568" s="1"/>
      <c r="AA568" s="206" t="str">
        <f t="shared" si="866"/>
        <v/>
      </c>
    </row>
    <row r="569" spans="1:28" ns3:dyDescent="0.3">
      <c r="A569" s="60"/>
      <c r="B569" s="134" t="s">
        <v>183</v>
      </c>
      <c r="C569" s="62" t="s">
        <v>627</v>
      </c>
      <c r="D569" s="166">
        <f>IFERROR((F569/E569),"")</f>
        <v>-7.9899999999999975</v>
      </c>
      <c r="E569" s="4">
        <v>10</v>
      </c>
      <c r="F569" s="3">
        <f>IFERROR((L569-K569),"")</f>
        <v>-79.899999999999977</v>
      </c>
      <c r="G569" s="5">
        <f>G564</f>
        <v>5.5</v>
      </c>
      <c r="H569" s="6">
        <f>ROUNDUP(SUMPRODUCT(B570,C570)/20,1)</f>
        <v>30.200000000000003</v>
      </c>
      <c r="I569" s="34">
        <f>IFERROR((S569*E569),"")</f>
        <v>140</v>
      </c>
      <c r="J569" s="78">
        <f>IFERROR(VLOOKUP(C569,[2]Sheet1!$D:$J,7,0),"")</f>
        <v>106</v>
      </c>
      <c r="K569" s="80">
        <f>IFERROR((I569+J569),"")</f>
        <v>246</v>
      </c>
      <c r="L569" s="7">
        <f>IFERROR((G569*H569),"")</f>
        <v>166.10000000000002</v>
      </c>
      <c r="M569" s="8">
        <f>IFERROR(K569-L569,"")</f>
        <v>79.899999999999977</v>
      </c>
      <c r="N569" s="57">
        <f>IFERROR((K569/H569),"")</f>
        <v>8.14569536423841</v>
      </c>
      <c r="O569" s="9"/>
      <c r="P569" s="10"/>
      <c r="Q569" s="10">
        <v>5775</v>
      </c>
      <c r="R569" s="10">
        <f>O569*P569*Q569</f>
        <v>0</v>
      </c>
      <c r="S569" s="41">
        <f>SUM(Y569,T569:X569)</f>
        <v>14</v>
      </c>
      <c r="T569" s="173">
        <v>6</v>
      </c>
      <c r="V569" s="173">
        <v>8</v>
      </c>
      <c r="W569" s="190"/>
      <c r="X569" s="183"/>
      <c r="Y569" s="42"/>
      <c r="Z569" s="42"/>
      <c r="AA569" s="206">
        <f>IFERROR(H569*7.5/E569/7,"")</f>
        <v>3.2357142857142862</v>
      </c>
      <c r="AB569" s="187"/>
    </row>
    <row r="570" spans="1:28" ns3:dyDescent="0.3">
      <c r="A570" s="60" t="s">
        <v>625</v>
      </c>
      <c r="B570" s="11">
        <f>ROUNDUP(HLOOKUP(A570,'야채 계산기'!$2:$3,2,0)*1.03,0)</f>
        <v>1206</v>
      </c>
      <c r="C570" s="144">
        <v>0.5</v>
      </c>
      <c r="D570" s="166"/>
      <c r="E570" s="4"/>
      <c r="F570" s="3"/>
      <c r="G570" s="5"/>
      <c r="H570" s="6"/>
      <c r="I570" s="34">
        <f>IFERROR((S570*E570),"")</f>
        <v>0</v>
      </c>
      <c r="J570" s="78" t="str">
        <f>IFERROR(VLOOKUP(C570,[2]Sheet1!$D:$J,7,0),"")</f>
        <v/>
      </c>
      <c r="K570" s="80" t="str">
        <f>IFERROR((I570+J570),"")</f>
        <v/>
      </c>
      <c r="L570" s="7">
        <f>IFERROR((G570*H570),"")</f>
        <v>0</v>
      </c>
      <c r="M570" s="8" t="str">
        <f>IFERROR(K570-L570,"")</f>
        <v/>
      </c>
      <c r="N570" s="57" t="str">
        <f>IFERROR((K570/H570),"")</f>
        <v/>
      </c>
      <c r="O570" s="9"/>
      <c r="P570" s="10"/>
      <c r="Q570" s="10"/>
      <c r="R570" s="10">
        <f>O570*P570*Q570</f>
        <v>0</v>
      </c>
      <c r="S570" s="41">
        <f>SUM(Y570,T570:X570)</f>
        <v>0</v>
      </c>
      <c r="W570" s="190"/>
      <c r="Y570" s="42"/>
      <c r="Z570" s="1"/>
      <c r="AA570" s="206" t="str">
        <f>IFERROR(H570*7.5/E570/7,"")</f>
        <v/>
      </c>
      <c r="AB570" s="187"/>
    </row>
    <row r="571" spans="1:28" hidden="1" ns3:dyDescent="0.3">
      <c r="A571" s="60"/>
      <c r="B571" s="134" t="s">
        <v>183</v>
      </c>
      <c r="C571" s="262" t="s">
        <v>680</v>
      </c>
      <c r="D571" s="166" t="str">
        <f>IFERROR((F571/E571),"")</f>
        <v/>
      </c>
      <c r="E571" s="4">
        <v>8</v>
      </c>
      <c r="F571" s="3" t="str">
        <f>IFERROR((L571-K571),"")</f>
        <v/>
      </c>
      <c r="G571" s="5">
        <f>G564</f>
        <v>5.5</v>
      </c>
      <c r="H571" s="6" t="e">
        <f>ROUNDUP(SUMPRODUCT(B572,C572)/20,1)</f>
        <v>#N/A</v>
      </c>
      <c r="I571" s="34">
        <f>IFERROR((S571*E571),"")</f>
        <v>0</v>
      </c>
      <c r="J571" s="78" t="str">
        <f>IFERROR(VLOOKUP(C571,[2]Sheet1!$D:$J,7,0),"")</f>
        <v/>
      </c>
      <c r="K571" s="80" t="str">
        <f>IFERROR((I571+J571),"")</f>
        <v/>
      </c>
      <c r="L571" s="7" t="str">
        <f>IFERROR((G571*H571),"")</f>
        <v/>
      </c>
      <c r="M571" s="8" t="str">
        <f>IFERROR(K571-L571,"")</f>
        <v/>
      </c>
      <c r="N571" s="57" t="str">
        <f t="shared" ref="N571:N572" si="926">IFERROR((K571/H571),"")</f>
        <v/>
      </c>
      <c r="O571" s="9"/>
      <c r="P571" s="10"/>
      <c r="Q571" s="10"/>
      <c r="R571" s="10">
        <f t="shared" ref="R571:R572" si="927">O571*P571*Q571</f>
        <v>0</v>
      </c>
      <c r="S571" s="41">
        <f t="shared" ref="S571:S572" si="928">SUM(Y571,T571:X571)</f>
        <v>0</v>
      </c>
      <c r="T571" s="173"/>
      <c r="V571" s="173"/>
      <c r="W571" s="190"/>
      <c r="X571" s="183"/>
      <c r="Y571" s="42"/>
      <c r="Z571" s="42"/>
      <c r="AA571" s="206" t="str">
        <f t="shared" ref="AA571:AA572" si="929">IFERROR(H571*7.5/E571/7,"")</f>
        <v/>
      </c>
      <c r="AB571" s="187"/>
    </row>
    <row r="572" spans="1:28" hidden="1" ns3:dyDescent="0.3">
      <c r="A572" s="60" t="s">
        <v>847</v>
      </c>
      <c r="B572" s="11" t="e">
        <f>ROUNDUP(HLOOKUP(A572,'야채 계산기'!$2:$3,2,0)*1.03,0)</f>
        <v>#N/A</v>
      </c>
      <c r="C572" s="144">
        <v>1</v>
      </c>
      <c r="D572" s="166"/>
      <c r="E572" s="4"/>
      <c r="F572" s="3"/>
      <c r="G572" s="5"/>
      <c r="H572" s="6"/>
      <c r="I572" s="34">
        <f>IFERROR((S572*E572),"")</f>
        <v>0</v>
      </c>
      <c r="J572" s="78" t="str">
        <f>IFERROR(VLOOKUP(C572,[2]Sheet1!$D:$J,7,0),"")</f>
        <v/>
      </c>
      <c r="K572" s="80" t="str">
        <f>IFERROR((I572+J572),"")</f>
        <v/>
      </c>
      <c r="L572" s="7">
        <f>IFERROR((G572*H572),"")</f>
        <v>0</v>
      </c>
      <c r="M572" s="8" t="str">
        <f>IFERROR(K572-L572,"")</f>
        <v/>
      </c>
      <c r="N572" s="57" t="str">
        <f t="shared" si="926"/>
        <v/>
      </c>
      <c r="O572" s="9"/>
      <c r="P572" s="10"/>
      <c r="Q572" s="10"/>
      <c r="R572" s="10">
        <f t="shared" si="927"/>
        <v>0</v>
      </c>
      <c r="S572" s="41">
        <f t="shared" si="928"/>
        <v>0</v>
      </c>
      <c r="W572" s="190"/>
      <c r="Y572" s="42"/>
      <c r="Z572" s="1"/>
      <c r="AA572" s="206" t="str">
        <f t="shared" si="929"/>
        <v/>
      </c>
      <c r="AB572" s="187"/>
    </row>
    <row r="573" spans="1:28" ht="17.25" customHeight="1" ns3:dyDescent="0.3">
      <c r="A573" s="60"/>
      <c r="B573" s="134"/>
      <c r="C573" s="164" t="s">
        <v>170</v>
      </c>
      <c r="D573" s="166">
        <f>IFERROR((F573/E573),"")</f>
        <v>-4.5950000000000006</v>
      </c>
      <c r="E573" s="4">
        <v>10</v>
      </c>
      <c r="F573" s="3">
        <f>IFERROR((L573-K573),"")</f>
        <v>-45.95</v>
      </c>
      <c r="G573" s="5">
        <f>G564</f>
        <v>5.5</v>
      </c>
      <c r="H573" s="6">
        <f>ROUNDUP((B574*C574)/1000,1)</f>
        <v>7.1</v>
      </c>
      <c r="I573" s="34">
        <f t="shared" si="912"/>
        <v>50</v>
      </c>
      <c r="J573" s="78">
        <f>IFERROR(VLOOKUP(C573,[2]Sheet1!$D:$J,7,0),"")</f>
        <v>35</v>
      </c>
      <c r="K573" s="80">
        <f t="shared" si="913"/>
        <v>85</v>
      </c>
      <c r="L573" s="7">
        <f t="shared" si="914"/>
        <v>39.049999999999997</v>
      </c>
      <c r="M573" s="8">
        <f t="shared" si="915"/>
        <v>45.95</v>
      </c>
      <c r="N573" s="57">
        <f t="shared" si="916"/>
        <v>11.971830985915494</v>
      </c>
      <c r="O573" s="9"/>
      <c r="P573" s="10"/>
      <c r="Q573" s="10">
        <v>7370</v>
      </c>
      <c r="R573" s="10">
        <f t="shared" si="917"/>
        <v>0</v>
      </c>
      <c r="S573" s="41">
        <f t="shared" si="865"/>
        <v>5</v>
      </c>
      <c r="T573" s="173">
        <v>1</v>
      </c>
      <c r="V573" s="173">
        <v>4</v>
      </c>
      <c r="W573" s="190"/>
      <c r="X573" s="183"/>
      <c r="Y573" s="42"/>
      <c r="Z573" s="42"/>
      <c r="AA573" s="206">
        <f t="shared" si="866"/>
        <v>0.76071428571428579</v>
      </c>
      <c r="AB573" s="187"/>
    </row>
    <row r="574" spans="1:28" ns3:dyDescent="0.3">
      <c r="A574" s="60" t="s">
        <v>848</v>
      </c>
      <c r="B574" s="11">
        <f>ROUNDUP(HLOOKUP(A574,'야채 계산기'!$2:$3,2,0),0)</f>
        <v>640</v>
      </c>
      <c r="C574" s="170">
        <v>11</v>
      </c>
      <c r="D574" s="166"/>
      <c r="E574" s="4"/>
      <c r="F574" s="3"/>
      <c r="G574" s="5"/>
      <c r="H574" s="6"/>
      <c r="I574" s="34">
        <f t="shared" si="912"/>
        <v>0</v>
      </c>
      <c r="J574" s="78" t="str">
        <f>IFERROR(VLOOKUP(C574,[2]Sheet1!$D:$J,7,0),"")</f>
        <v/>
      </c>
      <c r="K574" s="80" t="str">
        <f t="shared" si="913"/>
        <v/>
      </c>
      <c r="L574" s="7">
        <f t="shared" si="914"/>
        <v>0</v>
      </c>
      <c r="M574" s="8" t="str">
        <f t="shared" si="915"/>
        <v/>
      </c>
      <c r="N574" s="57" t="str">
        <f t="shared" si="916"/>
        <v/>
      </c>
      <c r="O574" s="9"/>
      <c r="P574" s="10"/>
      <c r="Q574" s="10"/>
      <c r="R574" s="10">
        <f t="shared" si="917"/>
        <v>0</v>
      </c>
      <c r="S574" s="41">
        <f t="shared" si="865"/>
        <v>0</v>
      </c>
      <c r="W574" s="190"/>
      <c r="Y574" s="42"/>
      <c r="Z574" s="42"/>
      <c r="AA574" s="206" t="str">
        <f t="shared" si="866"/>
        <v/>
      </c>
      <c r="AB574" s="187"/>
    </row>
    <row r="575" spans="1:28" ht="17.25" customHeight="1" ns3:dyDescent="0.3">
      <c r="A575" s="60"/>
      <c r="B575" s="134"/>
      <c r="C575" s="62" t="s">
        <v>579</v>
      </c>
      <c r="D575" s="166">
        <f>IFERROR((F575/E575),"")</f>
        <v>-17.181250000000002</v>
      </c>
      <c r="E575" s="4">
        <v>6</v>
      </c>
      <c r="F575" s="3">
        <f>IFERROR((L575-K575),"")</f>
        <v>-103.08750000000001</v>
      </c>
      <c r="G575" s="5">
        <f>G564</f>
        <v>5.5</v>
      </c>
      <c r="H575" s="6">
        <f>ROUNDUP(SUMPRODUCT(B576:B576,C576:C576)/2000,1)*0.95</f>
        <v>27.074999999999999</v>
      </c>
      <c r="I575" s="34">
        <f>IFERROR((S575*E575),"")</f>
        <v>144</v>
      </c>
      <c r="J575" s="78">
        <f>IFERROR(VLOOKUP(C575,[2]Sheet1!$D:$J,7,0),"")</f>
        <v>108</v>
      </c>
      <c r="K575" s="80">
        <f>IFERROR((I575+J575),"")</f>
        <v>252</v>
      </c>
      <c r="L575" s="7">
        <f>IFERROR((G575*H575),"")</f>
        <v>148.91249999999999</v>
      </c>
      <c r="M575" s="8">
        <f>IFERROR(K575-L575,"")</f>
        <v>103.08750000000001</v>
      </c>
      <c r="N575" s="57">
        <f>IFERROR((K575/H575),"")</f>
        <v>9.3074792243767313</v>
      </c>
      <c r="O575" s="9"/>
      <c r="P575" s="10"/>
      <c r="Q575" s="10">
        <v>13507</v>
      </c>
      <c r="R575" s="10">
        <f>O575*P575*Q575</f>
        <v>0</v>
      </c>
      <c r="S575" s="41">
        <f>SUM(Y575,T575:X575)</f>
        <v>24</v>
      </c>
      <c r="T575" s="173">
        <v>12</v>
      </c>
      <c r="V575" s="173">
        <v>12</v>
      </c>
      <c r="W575" s="190"/>
      <c r="X575" s="173"/>
      <c r="Y575" s="42"/>
      <c r="Z575" s="42"/>
      <c r="AA575" s="206">
        <f>IFERROR(H575*7.5/E575/7,"")</f>
        <v>4.8348214285714288</v>
      </c>
      <c r="AB575" s="187"/>
    </row>
    <row r="576" spans="1:28" ns3:dyDescent="0.3">
      <c r="A576" s="60" t="s">
        <v>577</v>
      </c>
      <c r="B576" s="11">
        <f>ROUNDUP(HLOOKUP(A576,'야채 계산기'!$2:$3,2,0),0)</f>
        <v>1840</v>
      </c>
      <c r="C576" s="164">
        <v>30.92</v>
      </c>
      <c r="D576" s="166" t="str">
        <f>IFERROR((F576/E576),"")</f>
        <v/>
      </c>
      <c r="E576" s="4"/>
      <c r="F576" s="3" t="str">
        <f>IFERROR((L576-K576),"")</f>
        <v/>
      </c>
      <c r="G576" s="5"/>
      <c r="H576" s="6"/>
      <c r="I576" s="34">
        <f>IFERROR((S576*E576),"")</f>
        <v>0</v>
      </c>
      <c r="J576" s="78" t="str">
        <f>IFERROR(VLOOKUP(C576,[2]Sheet1!$D:$J,7,0),"")</f>
        <v/>
      </c>
      <c r="K576" s="80" t="str">
        <f>IFERROR((I576+J576),"")</f>
        <v/>
      </c>
      <c r="L576" s="7">
        <f>IFERROR((G576*H576),"")</f>
        <v>0</v>
      </c>
      <c r="M576" s="8" t="str">
        <f>IFERROR(K576-L576,"")</f>
        <v/>
      </c>
      <c r="N576" s="57" t="str">
        <f>IFERROR((K576/H576),"")</f>
        <v/>
      </c>
      <c r="O576" s="9"/>
      <c r="P576" s="10"/>
      <c r="Q576" s="10"/>
      <c r="R576" s="10">
        <f>O576*P576*Q576</f>
        <v>0</v>
      </c>
      <c r="S576" s="41">
        <f>SUM(Y576,T576:X576)</f>
        <v>0</v>
      </c>
      <c r="W576" s="190"/>
      <c r="Y576" s="42"/>
      <c r="Z576" s="42"/>
      <c r="AA576" s="206" t="str">
        <f>IFERROR(H576*7.5/E576/7,"")</f>
        <v/>
      </c>
      <c r="AB576" s="187"/>
    </row>
    <row r="577" spans="1:28" ht="17.25" hidden="1" customHeight="1" ns3:dyDescent="0.3">
      <c r="A577" s="60"/>
      <c r="B577" s="11"/>
      <c r="C577" s="262" t="s">
        <v>237</v>
      </c>
      <c r="D577" s="166" t="str">
        <f>IFERROR((F577/E577),"")</f>
        <v/>
      </c>
      <c r="E577" s="4">
        <v>6</v>
      </c>
      <c r="F577" s="3" t="str">
        <f>IFERROR((L577-K577),"")</f>
        <v/>
      </c>
      <c r="G577" s="5">
        <f>G573</f>
        <v>5.5</v>
      </c>
      <c r="H577" s="6">
        <f>ROUNDUP((B578*C578)/2000,1)</f>
        <v>0</v>
      </c>
      <c r="I577" s="34">
        <f t="shared" si="912"/>
        <v>0</v>
      </c>
      <c r="J577" s="78" t="str">
        <f>IFERROR(VLOOKUP(C577,[2]Sheet1!$D:$J,7,0),"")</f>
        <v/>
      </c>
      <c r="K577" s="80" t="str">
        <f t="shared" si="913"/>
        <v/>
      </c>
      <c r="L577" s="7">
        <f t="shared" si="914"/>
        <v>0</v>
      </c>
      <c r="M577" s="8" t="str">
        <f t="shared" si="915"/>
        <v/>
      </c>
      <c r="N577" s="57" t="str">
        <f t="shared" si="916"/>
        <v/>
      </c>
      <c r="O577" s="9"/>
      <c r="P577" s="10"/>
      <c r="Q577" s="10">
        <v>17500</v>
      </c>
      <c r="R577" s="10">
        <f t="shared" si="917"/>
        <v>0</v>
      </c>
      <c r="S577" s="41">
        <f t="shared" si="865"/>
        <v>0</v>
      </c>
      <c r="T577" s="173"/>
      <c r="V577" s="173"/>
      <c r="W577" s="190"/>
      <c r="X577" s="183"/>
      <c r="Y577" s="42"/>
      <c r="Z577" s="42"/>
      <c r="AA577" s="206">
        <f t="shared" si="866"/>
        <v>0</v>
      </c>
      <c r="AB577" s="187"/>
    </row>
    <row r="578" spans="1:28" hidden="1" ns3:dyDescent="0.3">
      <c r="A578" s="60" t="s">
        <v>834</v>
      </c>
      <c r="B578" s="11">
        <f>ROUNDUP(HLOOKUP(A578,'야채 계산기'!$2:$3,2,0),0)</f>
        <v>0</v>
      </c>
      <c r="C578" s="170">
        <v>18.483000000000001</v>
      </c>
      <c r="D578" s="166"/>
      <c r="E578" s="4"/>
      <c r="F578" s="3"/>
      <c r="G578" s="5"/>
      <c r="H578" s="6"/>
      <c r="I578" s="34">
        <f t="shared" si="912"/>
        <v>0</v>
      </c>
      <c r="J578" s="78" t="str">
        <f>IFERROR(VLOOKUP(C578,[2]Sheet1!$D:$J,7,0),"")</f>
        <v/>
      </c>
      <c r="K578" s="80" t="str">
        <f t="shared" si="913"/>
        <v/>
      </c>
      <c r="L578" s="7">
        <f t="shared" si="914"/>
        <v>0</v>
      </c>
      <c r="M578" s="8" t="str">
        <f t="shared" si="915"/>
        <v/>
      </c>
      <c r="N578" s="57" t="str">
        <f t="shared" si="916"/>
        <v/>
      </c>
      <c r="O578" s="9"/>
      <c r="P578" s="10"/>
      <c r="Q578" s="10"/>
      <c r="R578" s="10">
        <f t="shared" si="917"/>
        <v>0</v>
      </c>
      <c r="S578" s="41">
        <f t="shared" si="865"/>
        <v>0</v>
      </c>
      <c r="W578" s="190"/>
      <c r="Y578" s="42"/>
      <c r="Z578" s="42"/>
      <c r="AA578" s="206" t="str">
        <f t="shared" si="866"/>
        <v/>
      </c>
      <c r="AB578" s="187"/>
    </row>
    <row r="579" spans="1:28" ht="17.25" hidden="1" customHeight="1" ns3:dyDescent="0.3">
      <c r="A579" s="60"/>
      <c r="B579" s="11"/>
      <c r="C579" s="262" t="s">
        <v>236</v>
      </c>
      <c r="D579" s="166" t="str">
        <f>IFERROR((F579/E579),"")</f>
        <v/>
      </c>
      <c r="E579" s="4">
        <v>6</v>
      </c>
      <c r="F579" s="3" t="str">
        <f>IFERROR((L579-K579),"")</f>
        <v/>
      </c>
      <c r="G579" s="5">
        <f>G577</f>
        <v>5.5</v>
      </c>
      <c r="H579" s="6">
        <f>ROUNDUP((B580*C580)/2000,1)</f>
        <v>0</v>
      </c>
      <c r="I579" s="34">
        <f t="shared" si="912"/>
        <v>0</v>
      </c>
      <c r="J579" s="78" t="str">
        <f>IFERROR(VLOOKUP(C579,[2]Sheet1!$D:$J,7,0),"")</f>
        <v/>
      </c>
      <c r="K579" s="80" t="str">
        <f t="shared" si="913"/>
        <v/>
      </c>
      <c r="L579" s="7">
        <f t="shared" si="914"/>
        <v>0</v>
      </c>
      <c r="M579" s="8" t="str">
        <f t="shared" si="915"/>
        <v/>
      </c>
      <c r="N579" s="57" t="str">
        <f t="shared" si="916"/>
        <v/>
      </c>
      <c r="O579" s="9"/>
      <c r="P579" s="10"/>
      <c r="Q579" s="10">
        <v>13300</v>
      </c>
      <c r="R579" s="10">
        <f t="shared" si="917"/>
        <v>0</v>
      </c>
      <c r="S579" s="41">
        <f t="shared" si="865"/>
        <v>0</v>
      </c>
      <c r="T579" s="173"/>
      <c r="V579" s="173"/>
      <c r="W579" s="190"/>
      <c r="X579" s="183"/>
      <c r="Y579" s="42"/>
      <c r="Z579" s="42"/>
      <c r="AA579" s="206">
        <f t="shared" si="866"/>
        <v>0</v>
      </c>
      <c r="AB579" s="187"/>
    </row>
    <row r="580" spans="1:28" hidden="1" ns3:dyDescent="0.3">
      <c r="A580" s="60" t="s">
        <v>834</v>
      </c>
      <c r="B580" s="11">
        <f>ROUNDUP(HLOOKUP(A580,'야채 계산기'!$2:$3,2,0),0)</f>
        <v>0</v>
      </c>
      <c r="C580" s="170">
        <v>53.341000000000001</v>
      </c>
      <c r="D580" s="166"/>
      <c r="E580" s="4"/>
      <c r="F580" s="3"/>
      <c r="G580" s="5"/>
      <c r="H580" s="6"/>
      <c r="I580" s="34">
        <f t="shared" si="912"/>
        <v>0</v>
      </c>
      <c r="J580" s="78" t="str">
        <f>IFERROR(VLOOKUP(C580,[2]Sheet1!$D:$J,7,0),"")</f>
        <v/>
      </c>
      <c r="K580" s="80" t="str">
        <f t="shared" si="913"/>
        <v/>
      </c>
      <c r="L580" s="7">
        <f t="shared" si="914"/>
        <v>0</v>
      </c>
      <c r="M580" s="8" t="str">
        <f t="shared" si="915"/>
        <v/>
      </c>
      <c r="N580" s="57" t="str">
        <f t="shared" si="916"/>
        <v/>
      </c>
      <c r="O580" s="9"/>
      <c r="P580" s="10"/>
      <c r="Q580" s="10"/>
      <c r="R580" s="10">
        <f t="shared" si="917"/>
        <v>0</v>
      </c>
      <c r="S580" s="41">
        <f t="shared" si="865"/>
        <v>0</v>
      </c>
      <c r="W580" s="190"/>
      <c r="Y580" s="42"/>
      <c r="Z580" s="42"/>
      <c r="AA580" s="206" t="str">
        <f t="shared" si="866"/>
        <v/>
      </c>
      <c r="AB580" s="187"/>
    </row>
    <row r="581" spans="1:28" ht="17.25" hidden="1" customHeight="1" ns3:dyDescent="0.3">
      <c r="A581" s="60"/>
      <c r="B581" s="11" t="e">
        <f>ROUNDUP(HLOOKUP(A581,'야채 계산기'!$2:$3,2,0),0)</f>
        <v>#N/A</v>
      </c>
      <c r="C581" s="262" t="s">
        <v>252</v>
      </c>
      <c r="D581" s="166" t="str">
        <f>IFERROR((F581/E581),"")</f>
        <v/>
      </c>
      <c r="E581" s="4">
        <v>10</v>
      </c>
      <c r="F581" s="3" t="str">
        <f>IFERROR((L581-K581),"")</f>
        <v/>
      </c>
      <c r="G581" s="5">
        <v>0</v>
      </c>
      <c r="H581" s="6" t="e">
        <f>ROUNDUP((B582*C582)/1000,1)</f>
        <v>#N/A</v>
      </c>
      <c r="I581" s="34">
        <f t="shared" si="912"/>
        <v>0</v>
      </c>
      <c r="J581" s="78" t="str">
        <f>IFERROR(VLOOKUP(C581,[2]Sheet1!$D:$J,7,0),"")</f>
        <v/>
      </c>
      <c r="K581" s="80" t="str">
        <f t="shared" si="913"/>
        <v/>
      </c>
      <c r="L581" s="7" t="str">
        <f t="shared" si="914"/>
        <v/>
      </c>
      <c r="M581" s="8" t="str">
        <f t="shared" si="915"/>
        <v/>
      </c>
      <c r="N581" s="57" t="str">
        <f t="shared" si="916"/>
        <v/>
      </c>
      <c r="O581" s="9"/>
      <c r="P581" s="10"/>
      <c r="Q581" s="10">
        <v>7921</v>
      </c>
      <c r="R581" s="10">
        <f t="shared" si="917"/>
        <v>0</v>
      </c>
      <c r="S581" s="41">
        <f t="shared" si="865"/>
        <v>0</v>
      </c>
      <c r="T581" s="173"/>
      <c r="V581" s="173"/>
      <c r="W581" s="190"/>
      <c r="X581" s="183"/>
      <c r="Y581" s="42"/>
      <c r="Z581" s="42"/>
      <c r="AA581" s="206" t="str">
        <f t="shared" ref="AA581:AA624" si="930">IFERROR(H581*7.5/E581/7,"")</f>
        <v/>
      </c>
      <c r="AB581" s="187"/>
    </row>
    <row r="582" spans="1:28" hidden="1" ns3:dyDescent="0.3">
      <c r="A582" s="60" t="s">
        <v>849</v>
      </c>
      <c r="B582" s="11" t="e">
        <f>ROUNDUP(HLOOKUP(A582,'야채 계산기'!$2:$3,2,0),0)</f>
        <v>#N/A</v>
      </c>
      <c r="C582" s="182">
        <f>13.18-2.795</f>
        <v>10.385</v>
      </c>
      <c r="D582" s="166"/>
      <c r="E582" s="4"/>
      <c r="F582" s="3"/>
      <c r="G582" s="5"/>
      <c r="H582" s="6"/>
      <c r="I582" s="34">
        <f t="shared" si="912"/>
        <v>0</v>
      </c>
      <c r="J582" s="78" t="str">
        <f>IFERROR(VLOOKUP(C582,[2]Sheet1!$D:$J,7,0),"")</f>
        <v/>
      </c>
      <c r="K582" s="80" t="str">
        <f t="shared" si="913"/>
        <v/>
      </c>
      <c r="L582" s="7">
        <f t="shared" si="914"/>
        <v>0</v>
      </c>
      <c r="M582" s="8" t="str">
        <f t="shared" si="915"/>
        <v/>
      </c>
      <c r="N582" s="57" t="str">
        <f t="shared" si="916"/>
        <v/>
      </c>
      <c r="O582" s="9"/>
      <c r="P582" s="10"/>
      <c r="Q582" s="10"/>
      <c r="R582" s="10">
        <f t="shared" si="917"/>
        <v>0</v>
      </c>
      <c r="S582" s="41">
        <f t="shared" si="865"/>
        <v>0</v>
      </c>
      <c r="W582" s="190"/>
      <c r="Y582" s="42"/>
      <c r="Z582" s="42"/>
      <c r="AA582" s="206" t="str">
        <f t="shared" si="930"/>
        <v/>
      </c>
      <c r="AB582" s="187"/>
    </row>
    <row r="583" spans="1:28" ht="17.25" hidden="1" customHeight="1" ns3:dyDescent="0.3">
      <c r="A583" s="60"/>
      <c r="B583" s="11"/>
      <c r="C583" s="262" t="s">
        <v>221</v>
      </c>
      <c r="D583" s="166">
        <f>IFERROR((F583/E583),"")</f>
        <v>13.75</v>
      </c>
      <c r="E583" s="4">
        <v>6</v>
      </c>
      <c r="F583" s="3">
        <f>IFERROR((L583-K583),"")</f>
        <v>82.5</v>
      </c>
      <c r="G583" s="5">
        <f>G579</f>
        <v>5.5</v>
      </c>
      <c r="H583" s="6">
        <f>ROUNDUP((B584*C584)/1000,1)</f>
        <v>15</v>
      </c>
      <c r="I583" s="34">
        <f t="shared" si="912"/>
        <v>0</v>
      </c>
      <c r="J583" s="78">
        <f>IFERROR(VLOOKUP(C583,[2]Sheet1!$D:$J,7,0),"")</f>
        <v>0</v>
      </c>
      <c r="K583" s="80">
        <f t="shared" si="913"/>
        <v>0</v>
      </c>
      <c r="L583" s="7">
        <f t="shared" si="914"/>
        <v>82.5</v>
      </c>
      <c r="M583" s="8">
        <f t="shared" si="915"/>
        <v>-82.5</v>
      </c>
      <c r="N583" s="57">
        <f t="shared" si="916"/>
        <v>0</v>
      </c>
      <c r="O583" s="9"/>
      <c r="P583" s="10"/>
      <c r="Q583" s="10">
        <v>10667</v>
      </c>
      <c r="R583" s="10">
        <f t="shared" si="917"/>
        <v>0</v>
      </c>
      <c r="S583" s="41">
        <f t="shared" si="865"/>
        <v>0</v>
      </c>
      <c r="T583" s="173"/>
      <c r="V583" s="173"/>
      <c r="W583" s="190"/>
      <c r="X583" s="173"/>
      <c r="Y583" s="42"/>
      <c r="Z583" s="42"/>
      <c r="AA583" s="206">
        <f t="shared" si="930"/>
        <v>2.6785714285714284</v>
      </c>
      <c r="AB583" s="187"/>
    </row>
    <row r="584" spans="1:28" hidden="1" ns3:dyDescent="0.3">
      <c r="A584" s="60" t="s">
        <v>834</v>
      </c>
      <c r="B584" s="11">
        <v>1000</v>
      </c>
      <c r="C584" s="164">
        <f>17.442-2.442</f>
        <v>15</v>
      </c>
      <c r="D584" s="166"/>
      <c r="E584" s="4"/>
      <c r="F584" s="3"/>
      <c r="G584" s="5"/>
      <c r="H584" s="6"/>
      <c r="I584" s="34">
        <f t="shared" si="912"/>
        <v>0</v>
      </c>
      <c r="J584" s="78" t="str">
        <f>IFERROR(VLOOKUP(C584,[2]Sheet1!$D:$J,7,0),"")</f>
        <v/>
      </c>
      <c r="K584" s="80" t="str">
        <f t="shared" si="913"/>
        <v/>
      </c>
      <c r="L584" s="7">
        <f t="shared" si="914"/>
        <v>0</v>
      </c>
      <c r="M584" s="8" t="str">
        <f t="shared" si="915"/>
        <v/>
      </c>
      <c r="N584" s="57" t="str">
        <f t="shared" si="916"/>
        <v/>
      </c>
      <c r="O584" s="9"/>
      <c r="P584" s="10"/>
      <c r="Q584" s="10"/>
      <c r="R584" s="10">
        <f t="shared" si="917"/>
        <v>0</v>
      </c>
      <c r="S584" s="41">
        <f t="shared" si="865"/>
        <v>0</v>
      </c>
      <c r="W584" s="190"/>
      <c r="Y584" s="42"/>
      <c r="Z584" s="42"/>
      <c r="AA584" s="206" t="str">
        <f t="shared" si="930"/>
        <v/>
      </c>
      <c r="AB584" s="187"/>
    </row>
    <row r="585" spans="1:28" ns3:dyDescent="0.3">
      <c r="A585" s="60"/>
      <c r="B585" s="134"/>
      <c r="C585" s="164" t="s">
        <v>64</v>
      </c>
      <c r="D585" s="166">
        <f>IFERROR((F585/E585),"")</f>
        <v>-5.6687499999999957</v>
      </c>
      <c r="E585" s="4">
        <v>8</v>
      </c>
      <c r="F585" s="3">
        <f>IFERROR((L585-K585),"")</f>
        <v>-45.349999999999966</v>
      </c>
      <c r="G585" s="5">
        <f>G583</f>
        <v>5.5</v>
      </c>
      <c r="H585" s="6">
        <f>ROUNDUP(SUMPRODUCT(B586,C586)/1280,1)</f>
        <v>56.300000000000004</v>
      </c>
      <c r="I585" s="34">
        <f t="shared" si="912"/>
        <v>176</v>
      </c>
      <c r="J585" s="78">
        <f>IFERROR(VLOOKUP(C585,[2]Sheet1!$D:$J,7,0),"")</f>
        <v>179</v>
      </c>
      <c r="K585" s="80">
        <f t="shared" si="913"/>
        <v>355</v>
      </c>
      <c r="L585" s="7">
        <f t="shared" si="914"/>
        <v>309.65000000000003</v>
      </c>
      <c r="M585" s="8">
        <f t="shared" si="915"/>
        <v>45.349999999999966</v>
      </c>
      <c r="N585" s="57">
        <f t="shared" si="916"/>
        <v>6.3055062166962692</v>
      </c>
      <c r="O585" s="9"/>
      <c r="P585" s="10"/>
      <c r="Q585" s="10">
        <v>8547</v>
      </c>
      <c r="R585" s="10">
        <f t="shared" si="917"/>
        <v>0</v>
      </c>
      <c r="S585" s="41">
        <f t="shared" si="865"/>
        <v>22</v>
      </c>
      <c r="T585" s="173">
        <v>16</v>
      </c>
      <c r="V585" s="173">
        <v>6</v>
      </c>
      <c r="W585" s="190"/>
      <c r="X585" s="277"/>
      <c r="Y585" s="42"/>
      <c r="Z585" s="42"/>
      <c r="AA585" s="206">
        <f t="shared" si="930"/>
        <v>7.5401785714285721</v>
      </c>
      <c r="AB585" s="187"/>
    </row>
    <row r="586" spans="1:28" ns3:dyDescent="0.3">
      <c r="A586" s="60" t="s">
        <v>268</v>
      </c>
      <c r="B586" s="11">
        <f>ROUNDUP(HLOOKUP(A586,'야채 계산기'!$2:$3,2,0),0)</f>
        <v>1100</v>
      </c>
      <c r="C586" s="170">
        <v>65.42</v>
      </c>
      <c r="D586" s="166"/>
      <c r="E586" s="4"/>
      <c r="F586" s="3"/>
      <c r="G586" s="5"/>
      <c r="H586" s="6"/>
      <c r="I586" s="34">
        <f t="shared" si="912"/>
        <v>0</v>
      </c>
      <c r="J586" s="78" t="str">
        <f>IFERROR(VLOOKUP(C586,[2]Sheet1!$D:$J,7,0),"")</f>
        <v/>
      </c>
      <c r="K586" s="80" t="str">
        <f t="shared" si="913"/>
        <v/>
      </c>
      <c r="L586" s="7">
        <f t="shared" si="914"/>
        <v>0</v>
      </c>
      <c r="M586" s="8" t="str">
        <f t="shared" si="915"/>
        <v/>
      </c>
      <c r="N586" s="57" t="str">
        <f t="shared" si="916"/>
        <v/>
      </c>
      <c r="O586" s="9"/>
      <c r="P586" s="10"/>
      <c r="Q586" s="10"/>
      <c r="R586" s="10">
        <f t="shared" si="917"/>
        <v>0</v>
      </c>
      <c r="S586" s="41">
        <f t="shared" si="865"/>
        <v>0</v>
      </c>
      <c r="W586" s="190"/>
      <c r="Y586" s="42"/>
      <c r="Z586" s="42"/>
      <c r="AA586" s="206" t="str">
        <f t="shared" si="930"/>
        <v/>
      </c>
      <c r="AB586" s="187"/>
    </row>
    <row r="587" spans="1:28" ns3:dyDescent="0.3">
      <c r="A587" s="60">
        <v>16</v>
      </c>
      <c r="B587" s="134" t="s">
        <v>183</v>
      </c>
      <c r="C587" s="62" t="s">
        <v>643</v>
      </c>
      <c r="D587" s="166">
        <f>IFERROR((F587/E587),"")</f>
        <v>-0.73000000000000109</v>
      </c>
      <c r="E587" s="4">
        <v>10</v>
      </c>
      <c r="F587" s="3">
        <f>IFERROR((L587-K587),"")</f>
        <v>-7.3000000000000114</v>
      </c>
      <c r="G587" s="5">
        <f t="shared" ref="G587" si="931">G585</f>
        <v>5.5</v>
      </c>
      <c r="H587" s="6">
        <f>ROUNDUP(SUMPRODUCT(B588,C588)/50,1)</f>
        <v>29.4</v>
      </c>
      <c r="I587" s="34">
        <f>IFERROR((S587*E587),"")</f>
        <v>80</v>
      </c>
      <c r="J587" s="78">
        <f>IFERROR(VLOOKUP(C587,[2]Sheet1!$D:$J,7,0),"")</f>
        <v>89</v>
      </c>
      <c r="K587" s="80">
        <f>IFERROR((I587+J587),"")</f>
        <v>169</v>
      </c>
      <c r="L587" s="7">
        <f>IFERROR((G587*H587),"")</f>
        <v>161.69999999999999</v>
      </c>
      <c r="M587" s="8">
        <f>IFERROR(K587-L587,"")</f>
        <v>7.3000000000000114</v>
      </c>
      <c r="N587" s="57">
        <f>IFERROR((K587/H587),"")</f>
        <v>5.7482993197278915</v>
      </c>
      <c r="O587" s="9"/>
      <c r="P587" s="10"/>
      <c r="Q587" s="10">
        <v>7440</v>
      </c>
      <c r="R587" s="10">
        <f>O587*P587*Q587</f>
        <v>0</v>
      </c>
      <c r="S587" s="41">
        <f>SUM(Y587,T587:X587)</f>
        <v>8</v>
      </c>
      <c r="T587" s="173">
        <v>8</v>
      </c>
      <c r="V587" s="173"/>
      <c r="W587" s="190"/>
      <c r="X587" s="183"/>
      <c r="Y587" s="42"/>
      <c r="Z587" s="42"/>
      <c r="AA587" s="206">
        <f>IFERROR(H587*7.5/E587/7,"")</f>
        <v>3.15</v>
      </c>
      <c r="AB587" s="187"/>
    </row>
    <row r="588" spans="1:28" ns3:dyDescent="0.3">
      <c r="A588" s="60" t="s">
        <v>850</v>
      </c>
      <c r="B588" s="11">
        <f>ROUNDUP(HLOOKUP(A588,'야채 계산기'!$2:$3,2,0),0)</f>
        <v>1470</v>
      </c>
      <c r="C588" s="144">
        <v>1</v>
      </c>
      <c r="D588" s="166"/>
      <c r="E588" s="4"/>
      <c r="F588" s="3"/>
      <c r="G588" s="5"/>
      <c r="H588" s="6"/>
      <c r="I588" s="34">
        <f>IFERROR((S588*E588),"")</f>
        <v>0</v>
      </c>
      <c r="J588" s="78" t="str">
        <f>IFERROR(VLOOKUP(C588,[2]Sheet1!$D:$J,7,0),"")</f>
        <v/>
      </c>
      <c r="K588" s="80" t="str">
        <f>IFERROR((I588+J588),"")</f>
        <v/>
      </c>
      <c r="L588" s="7">
        <f>IFERROR((G588*H588),"")</f>
        <v>0</v>
      </c>
      <c r="M588" s="8" t="str">
        <f>IFERROR(K588-L588,"")</f>
        <v/>
      </c>
      <c r="N588" s="57" t="str">
        <f>IFERROR((K588/H588),"")</f>
        <v/>
      </c>
      <c r="O588" s="9"/>
      <c r="P588" s="10"/>
      <c r="Q588" s="10"/>
      <c r="R588" s="10">
        <f>O588*P588*Q588</f>
        <v>0</v>
      </c>
      <c r="S588" s="41">
        <f>SUM(Y588,T588:X588)</f>
        <v>0</v>
      </c>
      <c r="W588" s="190"/>
      <c r="Y588" s="42"/>
      <c r="Z588" s="1"/>
      <c r="AA588" s="206" t="str">
        <f>IFERROR(H588*7.5/E588/7,"")</f>
        <v/>
      </c>
      <c r="AB588" s="187"/>
    </row>
    <row r="589" spans="1:28" ns3:dyDescent="0.3">
      <c r="A589" s="60"/>
      <c r="B589" s="134" t="s">
        <v>183</v>
      </c>
      <c r="C589" s="164" t="s">
        <v>206</v>
      </c>
      <c r="D589" s="166">
        <f>IFERROR((F589/E589),"")</f>
        <v>-35.95000000000001</v>
      </c>
      <c r="E589" s="4">
        <v>12</v>
      </c>
      <c r="F589" s="3">
        <f>IFERROR((L589-K589),"")</f>
        <v>-431.40000000000009</v>
      </c>
      <c r="G589" s="5">
        <f>G585</f>
        <v>5.5</v>
      </c>
      <c r="H589" s="6">
        <f>ROUNDUP(SUMPRODUCT(B590,C590)/14,1)</f>
        <v>157.19999999999999</v>
      </c>
      <c r="I589" s="34">
        <f t="shared" si="912"/>
        <v>840</v>
      </c>
      <c r="J589" s="78">
        <f>IFERROR(VLOOKUP(C589,[2]Sheet1!$D:$J,7,0),"")</f>
        <v>456</v>
      </c>
      <c r="K589" s="80">
        <f t="shared" si="913"/>
        <v>1296</v>
      </c>
      <c r="L589" s="7">
        <f t="shared" si="914"/>
        <v>864.59999999999991</v>
      </c>
      <c r="M589" s="8">
        <f t="shared" si="915"/>
        <v>431.40000000000009</v>
      </c>
      <c r="N589" s="57">
        <f t="shared" si="916"/>
        <v>8.2442748091603058</v>
      </c>
      <c r="O589" s="9"/>
      <c r="P589" s="10"/>
      <c r="Q589" s="10">
        <v>6096</v>
      </c>
      <c r="R589" s="10">
        <f t="shared" si="917"/>
        <v>0</v>
      </c>
      <c r="S589" s="41">
        <f t="shared" si="865"/>
        <v>70</v>
      </c>
      <c r="T589" s="173">
        <v>30</v>
      </c>
      <c r="V589" s="173">
        <v>40</v>
      </c>
      <c r="W589" s="190"/>
      <c r="X589" s="183"/>
      <c r="Y589" s="42"/>
      <c r="Z589" s="42"/>
      <c r="AA589" s="206">
        <f t="shared" si="930"/>
        <v>14.035714285714286</v>
      </c>
      <c r="AB589" s="187"/>
    </row>
    <row r="590" spans="1:28" ns3:dyDescent="0.3">
      <c r="A590" s="60" t="s">
        <v>759</v>
      </c>
      <c r="B590" s="11">
        <f>ROUNDUP(HLOOKUP(A590,'야채 계산기'!$2:$3,2,0),0)</f>
        <v>2200</v>
      </c>
      <c r="C590" s="170">
        <v>1</v>
      </c>
      <c r="D590" s="166"/>
      <c r="E590" s="4"/>
      <c r="F590" s="3"/>
      <c r="G590" s="5"/>
      <c r="H590" s="6"/>
      <c r="I590" s="34">
        <f t="shared" si="912"/>
        <v>0</v>
      </c>
      <c r="J590" s="78" t="str">
        <f>IFERROR(VLOOKUP(C590,[2]Sheet1!$D:$J,7,0),"")</f>
        <v/>
      </c>
      <c r="K590" s="80" t="str">
        <f t="shared" si="913"/>
        <v/>
      </c>
      <c r="L590" s="7">
        <f t="shared" si="914"/>
        <v>0</v>
      </c>
      <c r="M590" s="8" t="str">
        <f t="shared" si="915"/>
        <v/>
      </c>
      <c r="N590" s="57" t="str">
        <f t="shared" si="916"/>
        <v/>
      </c>
      <c r="O590" s="9"/>
      <c r="P590" s="10"/>
      <c r="Q590" s="10"/>
      <c r="R590" s="10">
        <f t="shared" si="917"/>
        <v>0</v>
      </c>
      <c r="S590" s="41">
        <f t="shared" si="865"/>
        <v>0</v>
      </c>
      <c r="W590" s="190"/>
      <c r="Y590" s="42"/>
      <c r="Z590" s="1"/>
      <c r="AA590" s="206" t="str">
        <f t="shared" si="930"/>
        <v/>
      </c>
      <c r="AB590" s="187"/>
    </row>
    <row r="591" spans="1:28" ns3:dyDescent="0.3">
      <c r="A591" s="60"/>
      <c r="B591" s="11"/>
      <c r="C591" s="164" t="s">
        <v>265</v>
      </c>
      <c r="D591" s="166">
        <f>IFERROR((F591/E591),"")</f>
        <v>-16.28125</v>
      </c>
      <c r="E591" s="4">
        <v>8</v>
      </c>
      <c r="F591" s="3">
        <f>IFERROR((L591-K591),"")</f>
        <v>-130.25</v>
      </c>
      <c r="G591" s="5">
        <f>G589</f>
        <v>5.5</v>
      </c>
      <c r="H591" s="6">
        <f>ROUNDUP((B592*C592)/1400,1)</f>
        <v>66.5</v>
      </c>
      <c r="I591" s="34">
        <f t="shared" si="912"/>
        <v>288</v>
      </c>
      <c r="J591" s="78">
        <f>IFERROR(VLOOKUP(C591,[2]Sheet1!$D:$J,7,0),"")</f>
        <v>208</v>
      </c>
      <c r="K591" s="80">
        <f t="shared" si="913"/>
        <v>496</v>
      </c>
      <c r="L591" s="7">
        <f t="shared" si="914"/>
        <v>365.75</v>
      </c>
      <c r="M591" s="8">
        <f t="shared" si="915"/>
        <v>130.25</v>
      </c>
      <c r="N591" s="57">
        <f t="shared" si="916"/>
        <v>7.458646616541353</v>
      </c>
      <c r="O591" s="9"/>
      <c r="P591" s="10"/>
      <c r="Q591" s="10">
        <v>10430</v>
      </c>
      <c r="R591" s="10">
        <f t="shared" si="917"/>
        <v>0</v>
      </c>
      <c r="S591" s="41">
        <f t="shared" si="865"/>
        <v>36</v>
      </c>
      <c r="T591" s="173">
        <v>18</v>
      </c>
      <c r="V591" s="173">
        <v>18</v>
      </c>
      <c r="W591" s="190"/>
      <c r="X591" s="183"/>
      <c r="Y591" s="42"/>
      <c r="Z591" s="42"/>
      <c r="AA591" s="206">
        <f t="shared" si="930"/>
        <v>8.90625</v>
      </c>
      <c r="AB591" s="187"/>
    </row>
    <row r="592" spans="1:28" ns3:dyDescent="0.3">
      <c r="A592" s="60" t="s">
        <v>261</v>
      </c>
      <c r="B592" s="11">
        <f>ROUNDUP(HLOOKUP(A592,'야채 계산기'!$2:$3,2,0),0)</f>
        <v>1290</v>
      </c>
      <c r="C592" s="144">
        <v>72.150000000000006</v>
      </c>
      <c r="D592" s="166"/>
      <c r="E592" s="4"/>
      <c r="F592" s="3"/>
      <c r="G592" s="5"/>
      <c r="H592" s="6"/>
      <c r="I592" s="34">
        <f t="shared" si="912"/>
        <v>0</v>
      </c>
      <c r="J592" s="78" t="str">
        <f>IFERROR(VLOOKUP(C592,[2]Sheet1!$D:$J,7,0),"")</f>
        <v/>
      </c>
      <c r="K592" s="80" t="str">
        <f t="shared" si="913"/>
        <v/>
      </c>
      <c r="L592" s="7">
        <f t="shared" si="914"/>
        <v>0</v>
      </c>
      <c r="M592" s="8" t="str">
        <f t="shared" si="915"/>
        <v/>
      </c>
      <c r="N592" s="57" t="str">
        <f t="shared" si="916"/>
        <v/>
      </c>
      <c r="O592" s="9"/>
      <c r="P592" s="10"/>
      <c r="Q592" s="10"/>
      <c r="R592" s="10">
        <f t="shared" si="917"/>
        <v>0</v>
      </c>
      <c r="S592" s="41">
        <f t="shared" si="865"/>
        <v>0</v>
      </c>
      <c r="W592" s="190"/>
      <c r="Y592" s="42"/>
      <c r="Z592" s="1"/>
      <c r="AA592" s="206" t="str">
        <f t="shared" si="930"/>
        <v/>
      </c>
      <c r="AB592" s="187"/>
    </row>
    <row r="593" spans="1:29" ns3:dyDescent="0.3">
      <c r="A593" s="60"/>
      <c r="B593" s="134" t="s">
        <v>183</v>
      </c>
      <c r="C593" s="62" t="s">
        <v>595</v>
      </c>
      <c r="D593" s="166">
        <f>IFERROR((F593/E593),"")</f>
        <v>-15.120000000000005</v>
      </c>
      <c r="E593" s="4">
        <v>10</v>
      </c>
      <c r="F593" s="3">
        <f>IFERROR((L593-K593),"")</f>
        <v>-151.20000000000005</v>
      </c>
      <c r="G593" s="5">
        <f>G562</f>
        <v>5.5</v>
      </c>
      <c r="H593" s="6">
        <f>ROUNDUP((B594*C594+B596*C596+B595*C595)/50,1)</f>
        <v>73.599999999999994</v>
      </c>
      <c r="I593" s="34">
        <f t="shared" si="912"/>
        <v>300</v>
      </c>
      <c r="J593" s="78">
        <f>IFERROR(VLOOKUP(C593,[2]Sheet1!$D:$J,7,0),"")</f>
        <v>256</v>
      </c>
      <c r="K593" s="80">
        <f t="shared" si="913"/>
        <v>556</v>
      </c>
      <c r="L593" s="7">
        <f t="shared" si="914"/>
        <v>404.79999999999995</v>
      </c>
      <c r="M593" s="8">
        <f t="shared" si="915"/>
        <v>151.20000000000005</v>
      </c>
      <c r="N593" s="57">
        <f>IFERROR((K593/H593),"")</f>
        <v>7.554347826086957</v>
      </c>
      <c r="O593" s="9"/>
      <c r="P593" s="10"/>
      <c r="Q593" s="10">
        <v>6250</v>
      </c>
      <c r="R593" s="10">
        <f>O593*P593*Q593</f>
        <v>0</v>
      </c>
      <c r="S593" s="41">
        <f t="shared" ref="S593:S596" si="932">SUM(Y593,T593:X593)</f>
        <v>30</v>
      </c>
      <c r="T593" s="173">
        <v>14</v>
      </c>
      <c r="V593" s="173">
        <v>16</v>
      </c>
      <c r="W593" s="190"/>
      <c r="X593" s="173"/>
      <c r="Y593" s="42"/>
      <c r="Z593" s="1"/>
      <c r="AA593" s="206">
        <f t="shared" ref="AA593:AA596" si="933">IFERROR(H593*7.5/E593/7,"")</f>
        <v>7.8857142857142861</v>
      </c>
    </row>
    <row r="594" spans="1:29" ns3:dyDescent="0.3">
      <c r="A594" s="60" t="s">
        <v>848</v>
      </c>
      <c r="B594" s="11">
        <f>ROUNDUP(HLOOKUP(A594,'야채 계산기'!$2:$3,2,0)*1.03,0)</f>
        <v>660</v>
      </c>
      <c r="C594" s="164">
        <v>0.5</v>
      </c>
      <c r="D594" s="166"/>
      <c r="E594" s="4"/>
      <c r="F594" s="3"/>
      <c r="G594" s="5"/>
      <c r="H594" s="6"/>
      <c r="I594" s="34">
        <f t="shared" si="912"/>
        <v>0</v>
      </c>
      <c r="J594" s="78" t="str">
        <f>IFERROR(VLOOKUP(C594,[2]Sheet1!$D:$J,7,0),"")</f>
        <v/>
      </c>
      <c r="K594" s="80" t="str">
        <f t="shared" si="913"/>
        <v/>
      </c>
      <c r="L594" s="7">
        <f t="shared" si="914"/>
        <v>0</v>
      </c>
      <c r="M594" s="8" t="str">
        <f t="shared" si="915"/>
        <v/>
      </c>
      <c r="N594" s="57"/>
      <c r="O594" s="9"/>
      <c r="P594" s="10"/>
      <c r="Q594" s="10"/>
      <c r="R594" s="10"/>
      <c r="S594" s="41">
        <f t="shared" si="932"/>
        <v>0</v>
      </c>
      <c r="Y594" s="42"/>
      <c r="Z594" s="1"/>
      <c r="AA594" s="206" t="str">
        <f t="shared" si="933"/>
        <v/>
      </c>
    </row>
    <row r="595" spans="1:29" ns3:dyDescent="0.3">
      <c r="A595" s="60" t="s">
        <v>851</v>
      </c>
      <c r="B595" s="11">
        <f>ROUNDUP(HLOOKUP(A595,'야채 계산기'!$2:$3,2,0)*1.03,0)</f>
        <v>1113</v>
      </c>
      <c r="C595" s="164">
        <v>2.5</v>
      </c>
      <c r="D595" s="166"/>
      <c r="E595" s="4"/>
      <c r="F595" s="3"/>
      <c r="G595" s="5"/>
      <c r="H595" s="6"/>
      <c r="I595" s="34">
        <f t="shared" si="912"/>
        <v>0</v>
      </c>
      <c r="J595" s="78" t="str">
        <f>IFERROR(VLOOKUP(C595,[2]Sheet1!$D:$J,7,0),"")</f>
        <v/>
      </c>
      <c r="K595" s="80" t="str">
        <f t="shared" si="913"/>
        <v/>
      </c>
      <c r="L595" s="7">
        <f t="shared" si="914"/>
        <v>0</v>
      </c>
      <c r="M595" s="8" t="str">
        <f t="shared" si="915"/>
        <v/>
      </c>
      <c r="N595" s="57"/>
      <c r="O595" s="9"/>
      <c r="P595" s="10"/>
      <c r="Q595" s="10"/>
      <c r="R595" s="10"/>
      <c r="S595" s="41">
        <f t="shared" si="932"/>
        <v>0</v>
      </c>
      <c r="Y595" s="42"/>
      <c r="Z595" s="1"/>
      <c r="AA595" s="206" t="str">
        <f t="shared" si="933"/>
        <v/>
      </c>
    </row>
    <row r="596" spans="1:29" ns3:dyDescent="0.3">
      <c r="A596" s="60" t="s">
        <v>776</v>
      </c>
      <c r="B596" s="11">
        <f>ROUNDUP(HLOOKUP(A596,'야채 계산기'!$2:$3,2,0)*1.03,0)</f>
        <v>567</v>
      </c>
      <c r="C596" s="164">
        <v>1</v>
      </c>
      <c r="D596" s="166"/>
      <c r="E596" s="4"/>
      <c r="F596" s="3"/>
      <c r="G596" s="5"/>
      <c r="H596" s="6"/>
      <c r="I596" s="34">
        <f t="shared" si="912"/>
        <v>0</v>
      </c>
      <c r="J596" s="78" t="str">
        <f>IFERROR(VLOOKUP(C596,[2]Sheet1!$D:$J,7,0),"")</f>
        <v/>
      </c>
      <c r="K596" s="80" t="str">
        <f t="shared" si="913"/>
        <v/>
      </c>
      <c r="L596" s="7">
        <f t="shared" si="914"/>
        <v>0</v>
      </c>
      <c r="M596" s="8" t="str">
        <f t="shared" si="915"/>
        <v/>
      </c>
      <c r="N596" s="57"/>
      <c r="O596" s="9"/>
      <c r="P596" s="10"/>
      <c r="Q596" s="10"/>
      <c r="R596" s="10"/>
      <c r="S596" s="41">
        <f t="shared" si="932"/>
        <v>0</v>
      </c>
      <c r="Y596" s="42"/>
      <c r="Z596" s="1"/>
      <c r="AA596" s="206" t="str">
        <f t="shared" si="933"/>
        <v/>
      </c>
    </row>
    <row r="597" spans="1:29" ns3:dyDescent="0.3">
      <c r="A597" s="11"/>
      <c r="B597" s="134" t="s">
        <v>183</v>
      </c>
      <c r="C597" s="62" t="s">
        <v>886</v>
      </c>
      <c r="D597" s="166">
        <f>IFERROR((F597/E597),"")</f>
        <v>-30.493750000000006</v>
      </c>
      <c r="E597" s="4">
        <v>8</v>
      </c>
      <c r="F597" s="3">
        <f>IFERROR((L597-K597),"")</f>
        <v>-243.95000000000005</v>
      </c>
      <c r="G597" s="5">
        <f>G564</f>
        <v>5.5</v>
      </c>
      <c r="H597" s="6">
        <f>ROUNDUP((B598*C598)/1400,1)</f>
        <v>81.099999999999994</v>
      </c>
      <c r="I597" s="34">
        <f t="shared" ref="I597:I598" si="934">IFERROR((S597*E597),"")</f>
        <v>320</v>
      </c>
      <c r="J597" s="78">
        <f>IFERROR(VLOOKUP(C597,[2]Sheet1!$D:$J,7,0),"")</f>
        <v>370</v>
      </c>
      <c r="K597" s="80">
        <f t="shared" ref="K597:K598" si="935">IFERROR((I597+J597),"")</f>
        <v>690</v>
      </c>
      <c r="L597" s="7">
        <f t="shared" ref="L597:L598" si="936">IFERROR((G597*H597),"")</f>
        <v>446.04999999999995</v>
      </c>
      <c r="M597" s="8">
        <f t="shared" ref="M597:M598" si="937">IFERROR(K597-L597,"")</f>
        <v>243.95000000000005</v>
      </c>
      <c r="N597" s="57">
        <f>IFERROR((K597/H597),"")</f>
        <v>8.5080147965474726</v>
      </c>
      <c r="O597" s="9"/>
      <c r="P597" s="10"/>
      <c r="Q597" s="10">
        <v>10839</v>
      </c>
      <c r="R597" s="10">
        <f>O597*P597*Q597</f>
        <v>0</v>
      </c>
      <c r="S597" s="41">
        <f t="shared" si="865"/>
        <v>40</v>
      </c>
      <c r="T597" s="173">
        <v>30</v>
      </c>
      <c r="V597" s="173">
        <v>10</v>
      </c>
      <c r="W597" s="190"/>
      <c r="X597" s="173"/>
      <c r="Y597" s="42"/>
      <c r="Z597" s="1"/>
      <c r="AA597" s="206">
        <f t="shared" si="930"/>
        <v>10.861607142857142</v>
      </c>
    </row>
    <row r="598" spans="1:29" ns3:dyDescent="0.3">
      <c r="A598" s="60" t="s">
        <v>887</v>
      </c>
      <c r="B598" s="11">
        <f>ROUNDUP(HLOOKUP(A598,'야채 계산기'!$2:$3,2,0)*1.03,0)</f>
        <v>1875</v>
      </c>
      <c r="C598" s="164">
        <v>60.53</v>
      </c>
      <c r="D598" s="166"/>
      <c r="E598" s="4"/>
      <c r="F598" s="3"/>
      <c r="G598" s="5"/>
      <c r="H598" s="6"/>
      <c r="I598" s="34">
        <f t="shared" si="934"/>
        <v>0</v>
      </c>
      <c r="J598" s="78" t="str">
        <f>IFERROR(VLOOKUP(C598,[2]Sheet1!$D:$J,7,0),"")</f>
        <v/>
      </c>
      <c r="K598" s="80" t="str">
        <f t="shared" si="935"/>
        <v/>
      </c>
      <c r="L598" s="7">
        <f t="shared" si="936"/>
        <v>0</v>
      </c>
      <c r="M598" s="8" t="str">
        <f t="shared" si="937"/>
        <v/>
      </c>
      <c r="N598" s="57"/>
      <c r="O598" s="9"/>
      <c r="P598" s="10"/>
      <c r="Q598" s="10"/>
      <c r="R598" s="10"/>
      <c r="S598" s="41">
        <f t="shared" si="865"/>
        <v>0</v>
      </c>
      <c r="Y598" s="42"/>
      <c r="Z598" s="1"/>
      <c r="AA598" s="206" t="str">
        <f t="shared" si="930"/>
        <v/>
      </c>
    </row>
    <row r="599" spans="1:29" hidden="1" ns3:dyDescent="0.3">
      <c r="A599" s="11"/>
      <c r="B599" s="134" t="s">
        <v>183</v>
      </c>
      <c r="C599" s="262" t="s">
        <v>696</v>
      </c>
      <c r="D599" s="166" t="str">
        <f>IFERROR((F599/E599),"")</f>
        <v/>
      </c>
      <c r="E599" s="4">
        <v>4</v>
      </c>
      <c r="F599" s="3" t="str">
        <f>IFERROR((L599-K599),"")</f>
        <v/>
      </c>
      <c r="G599" s="5">
        <v>7</v>
      </c>
      <c r="H599" s="6">
        <f>ROUNDUP(SUMPRODUCT(B600,C600)/20,1)</f>
        <v>14.5</v>
      </c>
      <c r="I599" s="34">
        <f>IFERROR((S599*E599),"")</f>
        <v>0</v>
      </c>
      <c r="J599" s="78" t="str">
        <f>IFERROR(VLOOKUP(C599,[2]Sheet1!$D:$J,7,0),"")</f>
        <v/>
      </c>
      <c r="K599" s="80" t="str">
        <f>IFERROR((I599+J599),"")</f>
        <v/>
      </c>
      <c r="L599" s="7">
        <f>IFERROR((G599*H599),"")</f>
        <v>101.5</v>
      </c>
      <c r="M599" s="8" t="str">
        <f>IFERROR(K599-L599,"")</f>
        <v/>
      </c>
      <c r="N599" s="57" t="str">
        <f t="shared" ref="N599:N600" si="938">IFERROR((K599/H599),"")</f>
        <v/>
      </c>
      <c r="O599" s="9"/>
      <c r="P599" s="10"/>
      <c r="Q599" s="10">
        <v>8060</v>
      </c>
      <c r="R599" s="10">
        <f t="shared" ref="R599:R600" si="939">O599*P599*Q599</f>
        <v>0</v>
      </c>
      <c r="S599" s="41">
        <f t="shared" ref="S599:S600" si="940">SUM(Y599,T599:X599)</f>
        <v>0</v>
      </c>
      <c r="T599" s="173"/>
      <c r="V599" s="173"/>
      <c r="W599" s="190"/>
      <c r="X599" s="277"/>
      <c r="Y599" s="42"/>
      <c r="Z599" s="42"/>
      <c r="AA599" s="206">
        <f t="shared" ref="AA599:AA600" si="941">IFERROR(H599*7.5/E599/7,"")</f>
        <v>3.8839285714285716</v>
      </c>
      <c r="AB599" s="187"/>
    </row>
    <row r="600" spans="1:29" hidden="1" ns3:dyDescent="0.3">
      <c r="A600" s="273" t="s">
        <v>597</v>
      </c>
      <c r="B600" s="11">
        <v>290</v>
      </c>
      <c r="C600" s="144">
        <v>1</v>
      </c>
      <c r="D600" s="166"/>
      <c r="E600" s="4"/>
      <c r="F600" s="3"/>
      <c r="G600" s="5"/>
      <c r="H600" s="6"/>
      <c r="I600" s="34">
        <f>IFERROR((S600*E600),"")</f>
        <v>0</v>
      </c>
      <c r="J600" s="78" t="str">
        <f>IFERROR(VLOOKUP(C600,[2]Sheet1!$D:$J,7,0),"")</f>
        <v/>
      </c>
      <c r="K600" s="80" t="str">
        <f>IFERROR((I600+J600),"")</f>
        <v/>
      </c>
      <c r="L600" s="7">
        <f>IFERROR((G600*H600),"")</f>
        <v>0</v>
      </c>
      <c r="M600" s="8" t="str">
        <f>IFERROR(K600-L600,"")</f>
        <v/>
      </c>
      <c r="N600" s="57" t="str">
        <f t="shared" si="938"/>
        <v/>
      </c>
      <c r="O600" s="9"/>
      <c r="P600" s="10"/>
      <c r="Q600" s="10"/>
      <c r="R600" s="10">
        <f t="shared" si="939"/>
        <v>0</v>
      </c>
      <c r="S600" s="41">
        <f t="shared" si="940"/>
        <v>0</v>
      </c>
      <c r="W600" s="190"/>
      <c r="Y600" s="42"/>
      <c r="Z600" s="1"/>
      <c r="AA600" s="206" t="str">
        <f t="shared" si="941"/>
        <v/>
      </c>
      <c r="AB600" s="187"/>
    </row>
    <row r="601" spans="1:29" hidden="1" ns3:dyDescent="0.3">
      <c r="A601" s="176" t="s">
        <v>199</v>
      </c>
      <c r="B601" s="11"/>
      <c r="C601" s="164">
        <v>1</v>
      </c>
      <c r="D601" s="166" t="str">
        <f>IFERROR((F601/E601),"")</f>
        <v/>
      </c>
      <c r="E601" s="4"/>
      <c r="F601" s="3"/>
      <c r="G601" s="5"/>
      <c r="H601" s="6"/>
      <c r="I601" s="34">
        <f>IFERROR((S601*E601),"")</f>
        <v>0</v>
      </c>
      <c r="J601" s="78" t="str">
        <f>IFERROR(VLOOKUP(C601,[2]Sheet1!$D:$J,7,0),"")</f>
        <v/>
      </c>
      <c r="K601" s="80" t="str">
        <f>IFERROR((I601+J601),"")</f>
        <v/>
      </c>
      <c r="L601" s="7">
        <f>IFERROR((G601*H601),"")</f>
        <v>0</v>
      </c>
      <c r="M601" s="8" t="str">
        <f>IFERROR(K601-L601,"")</f>
        <v/>
      </c>
      <c r="N601" s="57" t="str">
        <f>IFERROR((K601/H601),"")</f>
        <v/>
      </c>
      <c r="O601" s="9"/>
      <c r="P601" s="10"/>
      <c r="Q601" s="10"/>
      <c r="R601" s="10">
        <f>O601*P601*Q601</f>
        <v>0</v>
      </c>
      <c r="S601" s="41">
        <f>SUM(Y601,T601:X601)</f>
        <v>0</v>
      </c>
      <c r="W601" s="190"/>
      <c r="Y601" s="42"/>
      <c r="Z601" s="1"/>
      <c r="AA601" s="206" t="str">
        <f>IFERROR(H601*7.5/E601/7,"")</f>
        <v/>
      </c>
    </row>
    <row r="602" spans="1:29" ht="16.5" customHeight="1" ns3:dyDescent="0.3">
      <c r="A602" s="13"/>
      <c r="B602" s="11"/>
      <c r="C602" s="62"/>
      <c r="D602" s="166" t="str">
        <f>IFERROR((F602/E602),"")</f>
        <v/>
      </c>
      <c r="E602" s="4"/>
      <c r="F602" s="3" t="str">
        <f>IFERROR((L602-K602),"")</f>
        <v/>
      </c>
      <c r="G602" s="5"/>
      <c r="H602" s="6"/>
      <c r="I602" s="34">
        <f t="shared" ref="I602:I625" si="942">IFERROR((S602*E602),"")</f>
        <v>0</v>
      </c>
      <c r="J602" s="78" t="str">
        <f>IFERROR(VLOOKUP(C602,[2]Sheet1!$D:$J,7,0),"")</f>
        <v/>
      </c>
      <c r="K602" s="80" t="str">
        <f t="shared" si="913"/>
        <v/>
      </c>
      <c r="L602" s="7">
        <f t="shared" si="914"/>
        <v>0</v>
      </c>
      <c r="M602" s="8" t="str">
        <f t="shared" si="915"/>
        <v/>
      </c>
      <c r="N602" s="57" t="str">
        <f t="shared" si="916"/>
        <v/>
      </c>
      <c r="O602" s="9"/>
      <c r="P602" s="10"/>
      <c r="Q602" s="10"/>
      <c r="R602" s="10">
        <f t="shared" si="917"/>
        <v>0</v>
      </c>
      <c r="S602" s="41">
        <f t="shared" si="865"/>
        <v>0</v>
      </c>
      <c r="W602" s="190"/>
      <c r="Y602" s="42"/>
      <c r="Z602" s="1"/>
      <c r="AA602" s="206" t="str">
        <f t="shared" si="930"/>
        <v/>
      </c>
    </row>
    <row r="603" spans="1:29" ns3:dyDescent="0.3">
      <c r="A603" s="60"/>
      <c r="B603" s="11"/>
      <c r="C603" s="144"/>
      <c r="D603" s="166"/>
      <c r="E603" s="4"/>
      <c r="F603" s="3"/>
      <c r="G603" s="5"/>
      <c r="H603" s="6"/>
      <c r="I603" s="34">
        <f t="shared" si="942"/>
        <v>0</v>
      </c>
      <c r="J603" s="78" t="str">
        <f>IFERROR(VLOOKUP(C603,[2]Sheet1!$D:$J,7,0),"")</f>
        <v/>
      </c>
      <c r="K603" s="80" t="str">
        <f t="shared" si="913"/>
        <v/>
      </c>
      <c r="L603" s="7">
        <f t="shared" si="914"/>
        <v>0</v>
      </c>
      <c r="M603" s="8" t="str">
        <f t="shared" si="915"/>
        <v/>
      </c>
      <c r="N603" s="57"/>
      <c r="O603" s="9"/>
      <c r="P603" s="10"/>
      <c r="Q603" s="10"/>
      <c r="R603" s="10"/>
      <c r="S603" s="41">
        <f t="shared" si="865"/>
        <v>0</v>
      </c>
      <c r="W603" s="190"/>
      <c r="Y603" s="42"/>
      <c r="Z603" s="1"/>
      <c r="AA603" s="206" t="str">
        <f t="shared" si="930"/>
        <v/>
      </c>
      <c r="AB603" s="187"/>
      <c r="AC603" s="189"/>
    </row>
    <row r="604" spans="1:29" ns3:dyDescent="0.3">
      <c r="A604" s="60"/>
      <c r="B604" s="11"/>
      <c r="C604" s="144"/>
      <c r="D604" s="166"/>
      <c r="E604" s="4"/>
      <c r="F604" s="3"/>
      <c r="G604" s="5"/>
      <c r="H604" s="6"/>
      <c r="I604" s="34">
        <f t="shared" si="942"/>
        <v>0</v>
      </c>
      <c r="J604" s="78" t="str">
        <f>IFERROR(VLOOKUP(C604,[2]Sheet1!$D:$J,7,0),"")</f>
        <v/>
      </c>
      <c r="K604" s="80" t="str">
        <f t="shared" si="913"/>
        <v/>
      </c>
      <c r="L604" s="7">
        <f t="shared" ref="L604:L625" si="943">IFERROR((G604*H604),"")</f>
        <v>0</v>
      </c>
      <c r="M604" s="8" t="str">
        <f t="shared" ref="M604:M625" si="944">IFERROR(K604-L604,"")</f>
        <v/>
      </c>
      <c r="N604" s="57"/>
      <c r="O604" s="9"/>
      <c r="P604" s="10"/>
      <c r="Q604" s="10"/>
      <c r="R604" s="10"/>
      <c r="S604" s="41">
        <f t="shared" si="865"/>
        <v>0</v>
      </c>
      <c r="W604" s="190"/>
      <c r="Y604" s="42"/>
      <c r="Z604" s="1"/>
      <c r="AA604" s="206" t="str">
        <f t="shared" si="930"/>
        <v/>
      </c>
    </row>
    <row r="605" spans="1:29" ns3:dyDescent="0.3">
      <c r="A605" s="209" t="s">
        <v>319</v>
      </c>
      <c r="B605" s="263" t="s">
        <v>313</v>
      </c>
      <c r="C605" s="152"/>
      <c r="D605" s="166" t="str">
        <f t="shared" ref="D605:D613" si="945">IFERROR((F605/E605),"")</f>
        <v/>
      </c>
      <c r="E605" s="4"/>
      <c r="F605" s="3"/>
      <c r="G605" s="5"/>
      <c r="H605" s="6"/>
      <c r="I605" s="34">
        <f t="shared" si="942"/>
        <v>0</v>
      </c>
      <c r="J605" s="78" t="str">
        <f>IFERROR(VLOOKUP(C605,[2]Sheet1!$D:$J,7,0),"")</f>
        <v/>
      </c>
      <c r="K605" s="80" t="str">
        <f t="shared" ref="K605:K612" si="946">IFERROR((I605+J605),"")</f>
        <v/>
      </c>
      <c r="L605" s="7">
        <f t="shared" si="943"/>
        <v>0</v>
      </c>
      <c r="M605" s="8" t="str">
        <f t="shared" si="944"/>
        <v/>
      </c>
      <c r="N605" s="57" t="str">
        <f>IFERROR((K605/H605),"")</f>
        <v/>
      </c>
      <c r="O605" s="9"/>
      <c r="P605" s="10"/>
      <c r="Q605" s="10"/>
      <c r="R605" s="10">
        <f>O605*P605*Q605</f>
        <v>0</v>
      </c>
      <c r="S605" s="41">
        <f t="shared" si="865"/>
        <v>0</v>
      </c>
      <c r="W605" s="190"/>
      <c r="Y605" s="42"/>
      <c r="AA605" s="206" t="str">
        <f t="shared" si="930"/>
        <v/>
      </c>
    </row>
    <row r="606" spans="1:29" ns3:dyDescent="0.3">
      <c r="A606" s="11"/>
      <c r="B606" s="134"/>
      <c r="C606" s="164" t="s">
        <v>322</v>
      </c>
      <c r="D606" s="166">
        <f t="shared" si="945"/>
        <v>-4.75</v>
      </c>
      <c r="E606" s="4">
        <v>16</v>
      </c>
      <c r="F606" s="3">
        <f>IFERROR((L606-K606),"")</f>
        <v>-76</v>
      </c>
      <c r="G606" s="5">
        <v>5.5</v>
      </c>
      <c r="H606" s="6">
        <f>ROUNDUP(SUMPRODUCT(B607:B610,C607:C610)/960,0)</f>
        <v>54</v>
      </c>
      <c r="I606" s="34">
        <f t="shared" si="942"/>
        <v>192</v>
      </c>
      <c r="J606" s="78">
        <f>IFERROR(VLOOKUP(C606,[2]Sheet1!$D:$J,7,0),"")</f>
        <v>181</v>
      </c>
      <c r="K606" s="80">
        <f t="shared" si="946"/>
        <v>373</v>
      </c>
      <c r="L606" s="7">
        <f t="shared" si="943"/>
        <v>297</v>
      </c>
      <c r="M606" s="8">
        <f t="shared" si="944"/>
        <v>76</v>
      </c>
      <c r="N606" s="57">
        <f>IFERROR((K606/H606),"")</f>
        <v>6.9074074074074074</v>
      </c>
      <c r="O606" s="9"/>
      <c r="P606" s="10"/>
      <c r="Q606" s="10">
        <v>7440</v>
      </c>
      <c r="R606" s="10">
        <f>O606*P606*Q606</f>
        <v>0</v>
      </c>
      <c r="S606" s="41">
        <f t="shared" si="865"/>
        <v>12</v>
      </c>
      <c r="T606" s="173">
        <v>6</v>
      </c>
      <c r="V606" s="183">
        <v>6</v>
      </c>
      <c r="W606" s="190"/>
      <c r="X606" s="183"/>
      <c r="Y606" s="42"/>
      <c r="AA606" s="206">
        <f t="shared" si="930"/>
        <v>3.6160714285714284</v>
      </c>
    </row>
    <row r="607" spans="1:29" ns3:dyDescent="0.3">
      <c r="A607" s="13" t="s">
        <v>267</v>
      </c>
      <c r="B607" s="11">
        <f>ROUNDUP(HLOOKUP(A607,'야채 계산기'!$2:$3,2,0)*1.03,0)</f>
        <v>1329</v>
      </c>
      <c r="C607" s="58">
        <v>10.199999999999999</v>
      </c>
      <c r="D607" s="166" t="str">
        <f t="shared" si="945"/>
        <v/>
      </c>
      <c r="E607" s="4"/>
      <c r="F607" s="3"/>
      <c r="G607" s="5"/>
      <c r="H607" s="6"/>
      <c r="I607" s="34">
        <f t="shared" si="942"/>
        <v>0</v>
      </c>
      <c r="J607" s="78" t="str">
        <f>IFERROR(VLOOKUP(C607,[2]Sheet1!$D:$J,7,0),"")</f>
        <v/>
      </c>
      <c r="K607" s="80" t="str">
        <f t="shared" si="946"/>
        <v/>
      </c>
      <c r="L607" s="7">
        <f t="shared" si="943"/>
        <v>0</v>
      </c>
      <c r="M607" s="8" t="str">
        <f t="shared" si="944"/>
        <v/>
      </c>
      <c r="N607" s="57"/>
      <c r="O607" s="9"/>
      <c r="P607" s="10"/>
      <c r="Q607" s="10"/>
      <c r="R607" s="10"/>
      <c r="S607" s="41">
        <f t="shared" si="865"/>
        <v>0</v>
      </c>
      <c r="W607" s="190"/>
      <c r="Y607" s="42"/>
      <c r="AA607" s="206" t="str">
        <f t="shared" si="930"/>
        <v/>
      </c>
    </row>
    <row r="608" spans="1:29" ns3:dyDescent="0.3">
      <c r="A608" s="13" t="s">
        <v>269</v>
      </c>
      <c r="B608" s="11">
        <f>ROUNDUP(HLOOKUP(A608,'야채 계산기'!$2:$3,2,0)*1.03,0)</f>
        <v>1082</v>
      </c>
      <c r="C608" s="58">
        <v>12.24</v>
      </c>
      <c r="D608" s="166" t="str">
        <f t="shared" ref="D608:D609" si="947">IFERROR((F608/E608),"")</f>
        <v/>
      </c>
      <c r="E608" s="4"/>
      <c r="F608" s="3"/>
      <c r="G608" s="5"/>
      <c r="H608" s="6"/>
      <c r="I608" s="34">
        <f t="shared" ref="I608:I609" si="948">IFERROR((S608*E608),"")</f>
        <v>0</v>
      </c>
      <c r="J608" s="78" t="str">
        <f>IFERROR(VLOOKUP(C608,[2]Sheet1!$D:$J,7,0),"")</f>
        <v/>
      </c>
      <c r="K608" s="80" t="str">
        <f t="shared" ref="K608:K609" si="949">IFERROR((I608+J608),"")</f>
        <v/>
      </c>
      <c r="L608" s="7">
        <f t="shared" ref="L608:L609" si="950">IFERROR((G608*H608),"")</f>
        <v>0</v>
      </c>
      <c r="M608" s="8" t="str">
        <f t="shared" ref="M608:M609" si="951">IFERROR(K608-L608,"")</f>
        <v/>
      </c>
      <c r="N608" s="57"/>
      <c r="O608" s="9"/>
      <c r="P608" s="10"/>
      <c r="Q608" s="10"/>
      <c r="R608" s="10"/>
      <c r="S608" s="41">
        <f t="shared" si="865"/>
        <v>0</v>
      </c>
      <c r="W608" s="190"/>
      <c r="Y608" s="42"/>
      <c r="AA608" s="206" t="str">
        <f t="shared" si="930"/>
        <v/>
      </c>
    </row>
    <row r="609" spans="1:27" ns3:dyDescent="0.3">
      <c r="A609" s="13" t="s">
        <v>443</v>
      </c>
      <c r="B609" s="11">
        <f>ROUNDUP(HLOOKUP(A609,'야채 계산기'!$2:$3,2,0)*1.03,0)</f>
        <v>1381</v>
      </c>
      <c r="C609" s="58">
        <v>12.24</v>
      </c>
      <c r="D609" s="166" t="str">
        <f t="shared" si="947"/>
        <v/>
      </c>
      <c r="E609" s="4"/>
      <c r="F609" s="3"/>
      <c r="G609" s="5"/>
      <c r="H609" s="6"/>
      <c r="I609" s="34">
        <f t="shared" si="948"/>
        <v>0</v>
      </c>
      <c r="J609" s="78" t="str">
        <f>IFERROR(VLOOKUP(C609,[2]Sheet1!$D:$J,7,0),"")</f>
        <v/>
      </c>
      <c r="K609" s="80" t="str">
        <f t="shared" si="949"/>
        <v/>
      </c>
      <c r="L609" s="7">
        <f t="shared" si="950"/>
        <v>0</v>
      </c>
      <c r="M609" s="8" t="str">
        <f t="shared" si="951"/>
        <v/>
      </c>
      <c r="N609" s="57"/>
      <c r="O609" s="9"/>
      <c r="P609" s="10"/>
      <c r="Q609" s="10"/>
      <c r="R609" s="10"/>
      <c r="S609" s="41">
        <f t="shared" ref="S609" si="952">SUM(Y609,T609:X609)</f>
        <v>0</v>
      </c>
      <c r="W609" s="190"/>
      <c r="Y609" s="42"/>
      <c r="AA609" s="206" t="str">
        <f t="shared" ref="AA609" si="953">IFERROR(H609*7.5/E609/7,"")</f>
        <v/>
      </c>
    </row>
    <row r="610" spans="1:27" ns3:dyDescent="0.3">
      <c r="A610" s="60" t="s">
        <v>649</v>
      </c>
      <c r="B610" s="11">
        <f>ROUNDUP(HLOOKUP(A610,'야채 계산기'!$2:$3,2,0)*1.03,0)</f>
        <v>742</v>
      </c>
      <c r="C610" s="58">
        <f>'[1]플름)진미채치즈김밥(26.08.25)'!$B$19</f>
        <v>10.199999999999999</v>
      </c>
      <c r="D610" s="166" t="str">
        <f t="shared" si="945"/>
        <v/>
      </c>
      <c r="E610" s="4"/>
      <c r="F610" s="3"/>
      <c r="G610" s="5"/>
      <c r="H610" s="6"/>
      <c r="I610" s="34">
        <f t="shared" si="942"/>
        <v>0</v>
      </c>
      <c r="J610" s="78" t="str">
        <f>IFERROR(VLOOKUP(C610,[2]Sheet1!$D:$J,7,0),"")</f>
        <v/>
      </c>
      <c r="K610" s="80" t="str">
        <f t="shared" si="946"/>
        <v/>
      </c>
      <c r="L610" s="7">
        <f t="shared" si="943"/>
        <v>0</v>
      </c>
      <c r="M610" s="8" t="str">
        <f t="shared" si="944"/>
        <v/>
      </c>
      <c r="N610" s="57"/>
      <c r="O610" s="9"/>
      <c r="P610" s="10"/>
      <c r="Q610" s="10"/>
      <c r="R610" s="10"/>
      <c r="S610" s="41">
        <f t="shared" si="865"/>
        <v>0</v>
      </c>
      <c r="W610" s="190"/>
      <c r="Y610" s="42"/>
      <c r="AA610" s="206" t="str">
        <f t="shared" si="930"/>
        <v/>
      </c>
    </row>
    <row r="611" spans="1:27" ns3:dyDescent="0.3">
      <c r="A611" s="263"/>
      <c r="B611" s="2"/>
      <c r="C611" s="62"/>
      <c r="D611" s="166" t="str">
        <f t="shared" si="945"/>
        <v/>
      </c>
      <c r="E611" s="4"/>
      <c r="F611" s="3"/>
      <c r="G611" s="5"/>
      <c r="H611" s="6"/>
      <c r="I611" s="34">
        <f t="shared" si="942"/>
        <v>0</v>
      </c>
      <c r="J611" s="78" t="str">
        <f>IFERROR(VLOOKUP(C611,[2]Sheet1!$D:$J,7,0),"")</f>
        <v/>
      </c>
      <c r="K611" s="80" t="str">
        <f t="shared" si="946"/>
        <v/>
      </c>
      <c r="L611" s="7">
        <f t="shared" si="943"/>
        <v>0</v>
      </c>
      <c r="M611" s="8" t="str">
        <f t="shared" si="944"/>
        <v/>
      </c>
      <c r="N611" s="57"/>
      <c r="O611" s="9"/>
      <c r="P611" s="10"/>
      <c r="Q611" s="10"/>
      <c r="R611" s="10"/>
      <c r="S611" s="41">
        <f t="shared" si="865"/>
        <v>0</v>
      </c>
      <c r="W611" s="190"/>
      <c r="Y611" s="42"/>
      <c r="AA611" s="206" t="str">
        <f t="shared" si="930"/>
        <v/>
      </c>
    </row>
    <row r="612" spans="1:27" ns3:dyDescent="0.3">
      <c r="A612" s="58"/>
      <c r="B612" s="2"/>
      <c r="C612" s="62"/>
      <c r="D612" s="166" t="str">
        <f t="shared" si="945"/>
        <v/>
      </c>
      <c r="E612" s="4"/>
      <c r="F612" s="3"/>
      <c r="G612" s="5"/>
      <c r="H612" s="6"/>
      <c r="I612" s="34">
        <f t="shared" si="942"/>
        <v>0</v>
      </c>
      <c r="J612" s="78" t="str">
        <f>IFERROR(VLOOKUP(C612,[2]Sheet1!$D:$J,7,0),"")</f>
        <v/>
      </c>
      <c r="K612" s="80" t="str">
        <f t="shared" si="946"/>
        <v/>
      </c>
      <c r="L612" s="7">
        <f t="shared" si="943"/>
        <v>0</v>
      </c>
      <c r="M612" s="8" t="str">
        <f t="shared" si="944"/>
        <v/>
      </c>
      <c r="N612" s="57"/>
      <c r="O612" s="9"/>
      <c r="P612" s="10"/>
      <c r="Q612" s="10"/>
      <c r="R612" s="10"/>
      <c r="S612" s="41">
        <f t="shared" si="865"/>
        <v>0</v>
      </c>
      <c r="W612" s="190"/>
      <c r="Y612" s="42"/>
      <c r="AA612" s="206" t="str">
        <f t="shared" si="930"/>
        <v/>
      </c>
    </row>
    <row r="613" spans="1:27" ns3:dyDescent="0.3">
      <c r="A613" s="209" t="s">
        <v>350</v>
      </c>
      <c r="B613" s="58" t="s">
        <v>313</v>
      </c>
      <c r="C613" s="152"/>
      <c r="D613" s="166" t="str">
        <f t="shared" si="945"/>
        <v/>
      </c>
      <c r="E613" s="4"/>
      <c r="F613" s="17"/>
      <c r="G613" s="5"/>
      <c r="H613" s="6"/>
      <c r="I613" s="34">
        <f t="shared" si="942"/>
        <v>0</v>
      </c>
      <c r="J613" s="78" t="str">
        <f>IFERROR(VLOOKUP(C613,[2]Sheet1!$D:$J,7,0),"")</f>
        <v/>
      </c>
      <c r="K613" s="80"/>
      <c r="L613" s="7">
        <f t="shared" si="943"/>
        <v>0</v>
      </c>
      <c r="M613" s="8">
        <f t="shared" si="944"/>
        <v>0</v>
      </c>
      <c r="N613" s="57" t="str">
        <f>IFERROR((K613/H613),"")</f>
        <v/>
      </c>
      <c r="O613" s="9"/>
      <c r="P613" s="10"/>
      <c r="Q613" s="10"/>
      <c r="R613" s="10">
        <f>O613*P613*Q613</f>
        <v>0</v>
      </c>
      <c r="S613" s="41">
        <f t="shared" si="865"/>
        <v>0</v>
      </c>
      <c r="W613" s="190"/>
      <c r="Y613" s="42"/>
      <c r="Z613" s="1"/>
      <c r="AA613" s="206" t="str">
        <f t="shared" si="930"/>
        <v/>
      </c>
    </row>
    <row r="614" spans="1:27" ns3:dyDescent="0.3">
      <c r="A614" s="60"/>
      <c r="B614" s="60"/>
      <c r="C614" s="247" t="s">
        <v>802</v>
      </c>
      <c r="D614" s="166">
        <f t="shared" ref="D614" si="954">IFERROR((F614/E614),"")</f>
        <v>-10.875</v>
      </c>
      <c r="E614" s="4">
        <v>4</v>
      </c>
      <c r="F614" s="3">
        <f t="shared" ref="F614" si="955">IFERROR((L614-K614),"")</f>
        <v>-43.5</v>
      </c>
      <c r="G614" s="5">
        <v>5.5</v>
      </c>
      <c r="H614" s="39">
        <f>ROUNDUP(SUMPRODUCT(B615,C615)/2500,1)</f>
        <v>17</v>
      </c>
      <c r="I614" s="34">
        <f>IFERROR((S614*E614),"")</f>
        <v>40</v>
      </c>
      <c r="J614" s="78">
        <f>IFERROR(VLOOKUP(C614,[2]Sheet1!$D:$J,7,0),"")</f>
        <v>97</v>
      </c>
      <c r="K614" s="80">
        <f t="shared" ref="K614:K615" si="956">IFERROR((I614+J614),"")</f>
        <v>137</v>
      </c>
      <c r="L614" s="7">
        <f>IFERROR((G614*H614),"")</f>
        <v>93.5</v>
      </c>
      <c r="M614" s="8">
        <f>IFERROR(K614-L614,"")</f>
        <v>43.5</v>
      </c>
      <c r="N614" s="57">
        <f t="shared" ref="N614" si="957">IFERROR((K614/H614),"")</f>
        <v>8.0588235294117645</v>
      </c>
      <c r="O614" s="9"/>
      <c r="P614" s="10"/>
      <c r="Q614" s="10">
        <v>4300</v>
      </c>
      <c r="R614" s="10">
        <f t="shared" ref="R614" si="958">O614*P614*Q614</f>
        <v>0</v>
      </c>
      <c r="S614" s="41">
        <f>SUM(Y614,T614:X614)</f>
        <v>10</v>
      </c>
      <c r="T614" s="173">
        <v>10</v>
      </c>
      <c r="V614" s="173"/>
      <c r="W614" s="190"/>
      <c r="X614" s="173"/>
      <c r="Y614" s="178"/>
      <c r="Z614" s="1"/>
      <c r="AA614" s="206">
        <f>IFERROR(H614*7.5/E614/7,"")</f>
        <v>4.5535714285714288</v>
      </c>
    </row>
    <row r="615" spans="1:27" ns3:dyDescent="0.3">
      <c r="A615" s="248" t="s">
        <v>800</v>
      </c>
      <c r="B615" s="60">
        <f>ROUNDUP(HLOOKUP(A615,'야채 계산기'!$2:$3,2,0)*1.03,0)</f>
        <v>1133</v>
      </c>
      <c r="C615" s="62">
        <v>37.450000000000003</v>
      </c>
      <c r="D615" s="166"/>
      <c r="E615" s="4"/>
      <c r="F615" s="3"/>
      <c r="G615" s="5"/>
      <c r="H615" s="6"/>
      <c r="I615" s="34">
        <f>IFERROR((S615*E615),"")</f>
        <v>0</v>
      </c>
      <c r="J615" s="78" t="str">
        <f>IFERROR(VLOOKUP(C615,[2]Sheet1!$D:$J,7,0),"")</f>
        <v/>
      </c>
      <c r="K615" s="80" t="str">
        <f t="shared" si="956"/>
        <v/>
      </c>
      <c r="L615" s="7">
        <f>IFERROR((G615*H615),"")</f>
        <v>0</v>
      </c>
      <c r="M615" s="8" t="str">
        <f>IFERROR(K615-L615,"")</f>
        <v/>
      </c>
      <c r="N615" s="57"/>
      <c r="O615" s="9"/>
      <c r="P615" s="10"/>
      <c r="Q615" s="10"/>
      <c r="R615" s="10"/>
      <c r="S615" s="41">
        <f>SUM(Y615,T615:X615)</f>
        <v>0</v>
      </c>
      <c r="W615" s="190"/>
      <c r="Y615" s="42"/>
      <c r="Z615" s="1"/>
      <c r="AA615" s="206" t="str">
        <f>IFERROR(H615*7.5/E615/7,"")</f>
        <v/>
      </c>
    </row>
    <row r="616" spans="1:27" ns3:dyDescent="0.3">
      <c r="A616" s="60"/>
      <c r="B616" s="60"/>
      <c r="C616" s="62" t="s">
        <v>746</v>
      </c>
      <c r="D616" s="166">
        <f t="shared" ref="D616" si="959">IFERROR((F616/E616),"")</f>
        <v>-4.05</v>
      </c>
      <c r="E616" s="4">
        <v>10</v>
      </c>
      <c r="F616" s="3">
        <f t="shared" ref="F616" si="960">IFERROR((L616-K616),"")</f>
        <v>-40.5</v>
      </c>
      <c r="G616" s="5">
        <f>G614</f>
        <v>5.5</v>
      </c>
      <c r="H616" s="39">
        <f>ROUNDUP(SUMPRODUCT(B617,C617)/1000,0)</f>
        <v>17</v>
      </c>
      <c r="I616" s="34">
        <f>IFERROR((S616*E616),"")</f>
        <v>80</v>
      </c>
      <c r="J616" s="78">
        <f>IFERROR(VLOOKUP(C616,[2]Sheet1!$D:$J,7,0),"")</f>
        <v>54</v>
      </c>
      <c r="K616" s="80">
        <f>IFERROR((I616+J616),"")</f>
        <v>134</v>
      </c>
      <c r="L616" s="7">
        <f>IFERROR((G616*H616),"")</f>
        <v>93.5</v>
      </c>
      <c r="M616" s="8">
        <f>IFERROR(K616-L616,"")</f>
        <v>40.5</v>
      </c>
      <c r="N616" s="57">
        <f t="shared" ref="N616" si="961">IFERROR((K616/H616),"")</f>
        <v>7.882352941176471</v>
      </c>
      <c r="O616" s="9"/>
      <c r="P616" s="10"/>
      <c r="Q616" s="10">
        <v>12900</v>
      </c>
      <c r="R616" s="10">
        <f t="shared" ref="R616" si="962">O616*P616*Q616</f>
        <v>0</v>
      </c>
      <c r="S616" s="41">
        <f t="shared" ref="S616:S617" si="963">SUM(Y616,T616:X616)</f>
        <v>8</v>
      </c>
      <c r="T616" s="173">
        <v>4</v>
      </c>
      <c r="V616" s="173">
        <v>4</v>
      </c>
      <c r="W616" s="190"/>
      <c r="X616" s="183"/>
      <c r="Y616" s="178"/>
      <c r="Z616" s="1"/>
      <c r="AA616" s="206">
        <f t="shared" ref="AA616:AA617" si="964">IFERROR(H616*7.5/E616/7,"")</f>
        <v>1.8214285714285714</v>
      </c>
    </row>
    <row r="617" spans="1:27" ns3:dyDescent="0.3">
      <c r="A617" s="60" t="s">
        <v>727</v>
      </c>
      <c r="B617" s="60">
        <f>ROUNDUP(HLOOKUP(A617,'야채 계산기'!$2:$3,2,0),0)</f>
        <v>2020</v>
      </c>
      <c r="C617" s="62">
        <v>8.16</v>
      </c>
      <c r="D617" s="166"/>
      <c r="E617" s="4"/>
      <c r="F617" s="3"/>
      <c r="G617" s="5"/>
      <c r="H617" s="6"/>
      <c r="I617" s="34">
        <f>IFERROR((S617*E617),"")</f>
        <v>0</v>
      </c>
      <c r="J617" s="78" t="str">
        <f>IFERROR(VLOOKUP(C617,[2]Sheet1!$D:$J,7,0),"")</f>
        <v/>
      </c>
      <c r="K617" s="80" t="str">
        <f>IFERROR((I617+J617),"")</f>
        <v/>
      </c>
      <c r="L617" s="7">
        <f>IFERROR((G617*H617),"")</f>
        <v>0</v>
      </c>
      <c r="M617" s="8" t="str">
        <f>IFERROR(K617-L617,"")</f>
        <v/>
      </c>
      <c r="N617" s="57"/>
      <c r="O617" s="9"/>
      <c r="P617" s="10"/>
      <c r="Q617" s="10"/>
      <c r="R617" s="10"/>
      <c r="S617" s="41">
        <f t="shared" si="963"/>
        <v>0</v>
      </c>
      <c r="W617" s="190"/>
      <c r="Y617" s="42"/>
      <c r="Z617" s="1"/>
      <c r="AA617" s="206" t="str">
        <f t="shared" si="964"/>
        <v/>
      </c>
    </row>
    <row r="618" spans="1:27" ns3:dyDescent="0.3">
      <c r="A618" s="13"/>
      <c r="B618" s="11"/>
      <c r="C618" s="170" t="s">
        <v>114</v>
      </c>
      <c r="D618" s="166">
        <f>IFERROR((F618/E618),"")</f>
        <v>-17.840659999999996</v>
      </c>
      <c r="E618" s="4">
        <v>5</v>
      </c>
      <c r="F618" s="3">
        <f>IFERROR((L618-K618),"")</f>
        <v>-89.203299999999984</v>
      </c>
      <c r="G618" s="5">
        <f>G616</f>
        <v>5.5</v>
      </c>
      <c r="H618" s="39">
        <f>ROUNDUP((SUMPRODUCT(B619:B624,C619:C624))/3000,1)*0.882</f>
        <v>45.599400000000003</v>
      </c>
      <c r="I618" s="34">
        <f t="shared" si="942"/>
        <v>220</v>
      </c>
      <c r="J618" s="78">
        <f>IFERROR(VLOOKUP(C618,[2]Sheet1!$D:$J,7,0),"")</f>
        <v>120</v>
      </c>
      <c r="K618" s="80">
        <f t="shared" ref="K618:K624" si="965">IFERROR((I618+J618),"")</f>
        <v>340</v>
      </c>
      <c r="L618" s="7">
        <f t="shared" si="943"/>
        <v>250.79670000000002</v>
      </c>
      <c r="M618" s="8">
        <f t="shared" si="944"/>
        <v>89.203299999999984</v>
      </c>
      <c r="N618" s="57">
        <f>IFERROR((K618/H618),"")</f>
        <v>7.4562384592779729</v>
      </c>
      <c r="O618" s="9"/>
      <c r="P618" s="10"/>
      <c r="Q618" s="10">
        <v>1641</v>
      </c>
      <c r="R618" s="10">
        <f>O618*P618*Q618</f>
        <v>0</v>
      </c>
      <c r="S618" s="41">
        <f t="shared" si="865"/>
        <v>44</v>
      </c>
      <c r="T618" s="173">
        <v>24</v>
      </c>
      <c r="V618" s="173">
        <v>20</v>
      </c>
      <c r="W618" s="190"/>
      <c r="X618" s="183"/>
      <c r="Y618" s="178"/>
      <c r="Z618" s="1"/>
      <c r="AA618" s="206">
        <f t="shared" si="930"/>
        <v>9.7713000000000001</v>
      </c>
    </row>
    <row r="619" spans="1:27" ht="16.5" customHeight="1" ns3:dyDescent="0.3">
      <c r="A619" s="60" t="s">
        <v>852</v>
      </c>
      <c r="B619" s="11">
        <f>ROUNDUP(HLOOKUP(A619,'야채 계산기'!$2:$3,2,0)*1.03,0)</f>
        <v>176</v>
      </c>
      <c r="C619" s="144">
        <v>17.54</v>
      </c>
      <c r="D619" s="166"/>
      <c r="E619" s="4"/>
      <c r="F619" s="3"/>
      <c r="G619" s="5"/>
      <c r="H619" s="6"/>
      <c r="I619" s="34">
        <f t="shared" si="942"/>
        <v>0</v>
      </c>
      <c r="J619" s="78" t="str">
        <f>IFERROR(VLOOKUP(C619,[2]Sheet1!$D:$J,7,0),"")</f>
        <v/>
      </c>
      <c r="K619" s="80" t="str">
        <f t="shared" si="965"/>
        <v/>
      </c>
      <c r="L619" s="7">
        <f t="shared" si="943"/>
        <v>0</v>
      </c>
      <c r="M619" s="8" t="str">
        <f t="shared" si="944"/>
        <v/>
      </c>
      <c r="N619" s="57"/>
      <c r="O619" s="9"/>
      <c r="P619" s="10"/>
      <c r="Q619" s="10"/>
      <c r="R619" s="10"/>
      <c r="S619" s="41">
        <f t="shared" si="865"/>
        <v>0</v>
      </c>
      <c r="W619" s="190"/>
      <c r="Y619" s="42"/>
      <c r="Z619" s="1"/>
      <c r="AA619" s="206" t="str">
        <f t="shared" si="930"/>
        <v/>
      </c>
    </row>
    <row r="620" spans="1:27" ns3:dyDescent="0.3">
      <c r="A620" s="60" t="s">
        <v>853</v>
      </c>
      <c r="B620" s="11">
        <f>ROUNDUP(HLOOKUP(A620,'야채 계산기'!$2:$3,2,0)*1.03,0)</f>
        <v>1226</v>
      </c>
      <c r="C620" s="144">
        <v>16.8</v>
      </c>
      <c r="D620" s="166"/>
      <c r="E620" s="4"/>
      <c r="F620" s="3"/>
      <c r="G620" s="5"/>
      <c r="H620" s="6"/>
      <c r="I620" s="34">
        <f t="shared" si="942"/>
        <v>0</v>
      </c>
      <c r="J620" s="78" t="str">
        <f>IFERROR(VLOOKUP(C620,[2]Sheet1!$D:$J,7,0),"")</f>
        <v/>
      </c>
      <c r="K620" s="80" t="str">
        <f t="shared" si="965"/>
        <v/>
      </c>
      <c r="L620" s="7">
        <f t="shared" si="943"/>
        <v>0</v>
      </c>
      <c r="M620" s="8" t="str">
        <f t="shared" si="944"/>
        <v/>
      </c>
      <c r="N620" s="57"/>
      <c r="O620" s="9"/>
      <c r="P620" s="10"/>
      <c r="Q620" s="10"/>
      <c r="R620" s="10"/>
      <c r="S620" s="41">
        <f t="shared" si="865"/>
        <v>0</v>
      </c>
      <c r="W620" s="190"/>
      <c r="Y620" s="42"/>
      <c r="Z620" s="1"/>
      <c r="AA620" s="206" t="str">
        <f t="shared" si="930"/>
        <v/>
      </c>
    </row>
    <row r="621" spans="1:27" ns3:dyDescent="0.3">
      <c r="A621" s="60" t="s">
        <v>854</v>
      </c>
      <c r="B621" s="11">
        <f>ROUNDUP(HLOOKUP(A621,'야채 계산기'!$2:$3,2,0)*1.03,0)</f>
        <v>145</v>
      </c>
      <c r="C621" s="144">
        <f>'[1]착한김치김밥(250612)슈퍼'!$B$19</f>
        <v>17.54</v>
      </c>
      <c r="D621" s="166"/>
      <c r="E621" s="4"/>
      <c r="F621" s="3"/>
      <c r="G621" s="5"/>
      <c r="H621" s="6"/>
      <c r="I621" s="34">
        <f t="shared" si="942"/>
        <v>0</v>
      </c>
      <c r="J621" s="78" t="str">
        <f>IFERROR(VLOOKUP(C621,[2]Sheet1!$D:$J,7,0),"")</f>
        <v/>
      </c>
      <c r="K621" s="80" t="str">
        <f t="shared" si="965"/>
        <v/>
      </c>
      <c r="L621" s="7">
        <f t="shared" si="943"/>
        <v>0</v>
      </c>
      <c r="M621" s="8" t="str">
        <f t="shared" si="944"/>
        <v/>
      </c>
      <c r="N621" s="57"/>
      <c r="O621" s="9"/>
      <c r="P621" s="10"/>
      <c r="Q621" s="10"/>
      <c r="R621" s="10"/>
      <c r="S621" s="41">
        <f t="shared" si="865"/>
        <v>0</v>
      </c>
      <c r="W621" s="190"/>
      <c r="Y621" s="42"/>
      <c r="Z621" s="1"/>
      <c r="AA621" s="206" t="str">
        <f t="shared" si="930"/>
        <v/>
      </c>
    </row>
    <row r="622" spans="1:27" ht="16.5" customHeight="1" ns3:dyDescent="0.3">
      <c r="A622" s="60" t="s">
        <v>855</v>
      </c>
      <c r="B622" s="11">
        <f>ROUNDUP(HLOOKUP(A622,'야채 계산기'!$2:$3,2,0)*1.03,0)</f>
        <v>2926</v>
      </c>
      <c r="C622" s="144">
        <v>21.04</v>
      </c>
      <c r="D622" s="166" t="str">
        <f>IFERROR((F622/E622),"")</f>
        <v/>
      </c>
      <c r="E622" s="4"/>
      <c r="F622" s="3" t="str">
        <f>IFERROR((L622-K622),"")</f>
        <v/>
      </c>
      <c r="G622" s="5"/>
      <c r="H622" s="39"/>
      <c r="I622" s="34">
        <f t="shared" ref="I622:I623" si="966">IFERROR((S622*E622),"")</f>
        <v>0</v>
      </c>
      <c r="J622" s="78" t="str">
        <f>IFERROR(VLOOKUP(C622,[2]Sheet1!$D:$J,7,0),"")</f>
        <v/>
      </c>
      <c r="K622" s="80" t="str">
        <f t="shared" ref="K622:K623" si="967">IFERROR((I622+J622),"")</f>
        <v/>
      </c>
      <c r="L622" s="7">
        <f t="shared" ref="L622:L623" si="968">IFERROR((G622*H622),"")</f>
        <v>0</v>
      </c>
      <c r="M622" s="8" t="str">
        <f t="shared" ref="M622:M623" si="969">IFERROR(K622-L622,"")</f>
        <v/>
      </c>
      <c r="N622" s="57" t="str">
        <f>IFERROR((K622/H622),"")</f>
        <v/>
      </c>
      <c r="O622" s="9"/>
      <c r="P622" s="10"/>
      <c r="Q622" s="10"/>
      <c r="R622" s="10"/>
      <c r="S622" s="41">
        <f t="shared" si="865"/>
        <v>0</v>
      </c>
      <c r="W622" s="190"/>
      <c r="Y622" s="42"/>
      <c r="Z622" s="1"/>
      <c r="AA622" s="206" t="str">
        <f t="shared" si="930"/>
        <v/>
      </c>
    </row>
    <row r="623" spans="1:27" ht="16.5" customHeight="1" ns3:dyDescent="0.3">
      <c r="A623" s="60" t="s">
        <v>806</v>
      </c>
      <c r="B623" s="11">
        <f>ROUNDUP(HLOOKUP(A623,'야채 계산기'!$2:$3,2,0)*1.03,0)</f>
        <v>1834</v>
      </c>
      <c r="C623" s="144">
        <v>31.49</v>
      </c>
      <c r="D623" s="166" t="str">
        <f>IFERROR((F623/E623),"")</f>
        <v/>
      </c>
      <c r="E623" s="4"/>
      <c r="F623" s="3" t="str">
        <f>IFERROR((L623-K623),"")</f>
        <v/>
      </c>
      <c r="G623" s="5"/>
      <c r="H623" s="39"/>
      <c r="I623" s="34">
        <f t="shared" si="966"/>
        <v>0</v>
      </c>
      <c r="J623" s="78" t="str">
        <f>IFERROR(VLOOKUP(C623,[2]Sheet1!$D:$J,7,0),"")</f>
        <v/>
      </c>
      <c r="K623" s="80" t="str">
        <f t="shared" si="967"/>
        <v/>
      </c>
      <c r="L623" s="7">
        <f t="shared" si="968"/>
        <v>0</v>
      </c>
      <c r="M623" s="8" t="str">
        <f t="shared" si="969"/>
        <v/>
      </c>
      <c r="N623" s="57" t="str">
        <f>IFERROR((K623/H623),"")</f>
        <v/>
      </c>
      <c r="O623" s="9"/>
      <c r="P623" s="10"/>
      <c r="Q623" s="10"/>
      <c r="R623" s="10"/>
      <c r="S623" s="41">
        <f t="shared" ref="S623" si="970">SUM(Y623,T623:X623)</f>
        <v>0</v>
      </c>
      <c r="W623" s="190"/>
      <c r="Y623" s="42"/>
      <c r="Z623" s="1"/>
      <c r="AA623" s="206" t="str">
        <f t="shared" ref="AA623" si="971">IFERROR(H623*7.5/E623/7,"")</f>
        <v/>
      </c>
    </row>
    <row r="624" spans="1:27" ht="16.5" customHeight="1" ns3:dyDescent="0.3">
      <c r="A624" s="60" t="s">
        <v>856</v>
      </c>
      <c r="B624" s="11">
        <f>ROUNDUP(HLOOKUP(A624,'야채 계산기'!$2:$3,2,0)*1.03,0)</f>
        <v>742</v>
      </c>
      <c r="C624" s="144">
        <f>'[1]플름)진미채치즈김밥(26.08.25)'!$B$13</f>
        <v>12.63</v>
      </c>
      <c r="D624" s="166" t="str">
        <f>IFERROR((F624/E624),"")</f>
        <v/>
      </c>
      <c r="E624" s="4"/>
      <c r="F624" s="3" t="str">
        <f>IFERROR((L624-K624),"")</f>
        <v/>
      </c>
      <c r="G624" s="5"/>
      <c r="H624" s="39"/>
      <c r="I624" s="34">
        <f t="shared" si="942"/>
        <v>0</v>
      </c>
      <c r="J624" s="78" t="str">
        <f>IFERROR(VLOOKUP(C624,[2]Sheet1!$D:$J,7,0),"")</f>
        <v/>
      </c>
      <c r="K624" s="80" t="str">
        <f t="shared" si="965"/>
        <v/>
      </c>
      <c r="L624" s="7">
        <f t="shared" si="943"/>
        <v>0</v>
      </c>
      <c r="M624" s="8" t="str">
        <f t="shared" si="944"/>
        <v/>
      </c>
      <c r="N624" s="57" t="str">
        <f>IFERROR((K624/H624),"")</f>
        <v/>
      </c>
      <c r="O624" s="9"/>
      <c r="P624" s="10"/>
      <c r="Q624" s="10"/>
      <c r="R624" s="10"/>
      <c r="S624" s="41">
        <f t="shared" si="865"/>
        <v>0</v>
      </c>
      <c r="W624" s="190"/>
      <c r="Y624" s="42"/>
      <c r="Z624" s="1"/>
      <c r="AA624" s="206" t="str">
        <f t="shared" si="930"/>
        <v/>
      </c>
    </row>
    <row r="625" spans="1:27" ns3:dyDescent="0.3">
      <c r="A625" s="60"/>
      <c r="B625" s="11"/>
      <c r="C625" s="170" t="s">
        <v>314</v>
      </c>
      <c r="D625" s="166">
        <f>IFERROR((F625/E625),"")</f>
        <v>-9.5125000000000028</v>
      </c>
      <c r="E625" s="4">
        <v>4</v>
      </c>
      <c r="F625" s="3">
        <f>IFERROR((L625-K625),"")</f>
        <v>-38.050000000000011</v>
      </c>
      <c r="G625" s="5">
        <f>G618</f>
        <v>5.5</v>
      </c>
      <c r="H625" s="39">
        <f>ROUNDUP(SUMPRODUCT(B626:B629,C626:C629)/2500,1)</f>
        <v>60.9</v>
      </c>
      <c r="I625" s="34">
        <f t="shared" si="942"/>
        <v>200</v>
      </c>
      <c r="J625" s="78">
        <f>IFERROR(VLOOKUP(C625,[2]Sheet1!$D:$J,7,0),"")</f>
        <v>173</v>
      </c>
      <c r="K625" s="80">
        <f t="shared" ref="K625:K629" si="972">IFERROR((I625+J625),"")</f>
        <v>373</v>
      </c>
      <c r="L625" s="7">
        <f t="shared" si="943"/>
        <v>334.95</v>
      </c>
      <c r="M625" s="8">
        <f t="shared" si="944"/>
        <v>38.050000000000011</v>
      </c>
      <c r="N625" s="57">
        <f>IFERROR((K625/H625),"")</f>
        <v>6.1247947454844009</v>
      </c>
      <c r="O625" s="9"/>
      <c r="P625" s="10"/>
      <c r="Q625" s="10">
        <v>3950</v>
      </c>
      <c r="R625" s="10">
        <f>O625*P625*Q625</f>
        <v>0</v>
      </c>
      <c r="S625" s="41">
        <f t="shared" ref="S625:S715" si="973">SUM(Y625,T625:X625)</f>
        <v>50</v>
      </c>
      <c r="T625" s="173">
        <v>20</v>
      </c>
      <c r="V625" s="173">
        <v>30</v>
      </c>
      <c r="W625" s="190"/>
      <c r="X625" s="183"/>
      <c r="Y625" s="178"/>
      <c r="Z625" s="1"/>
      <c r="AA625" s="206">
        <f t="shared" ref="AA625:AA664" si="974">IFERROR(H625*7.5/E625/7,"")</f>
        <v>16.3125</v>
      </c>
    </row>
    <row r="626" spans="1:27" ns3:dyDescent="0.3">
      <c r="A626" s="60" t="s">
        <v>853</v>
      </c>
      <c r="B626" s="11">
        <f>ROUNDUP(HLOOKUP(A626,'야채 계산기'!$2:$3,2,0),0)</f>
        <v>1190</v>
      </c>
      <c r="C626" s="170">
        <v>30.23</v>
      </c>
      <c r="D626" s="166"/>
      <c r="E626" s="4"/>
      <c r="F626" s="3"/>
      <c r="G626" s="5"/>
      <c r="H626" s="6"/>
      <c r="I626" s="34">
        <f t="shared" ref="I626:I629" si="975">IFERROR((S626*E626),"")</f>
        <v>0</v>
      </c>
      <c r="J626" s="78" t="str">
        <f>IFERROR(VLOOKUP(C626,[2]Sheet1!$D:$J,7,0),"")</f>
        <v/>
      </c>
      <c r="K626" s="80" t="str">
        <f t="shared" si="972"/>
        <v/>
      </c>
      <c r="L626" s="7">
        <f t="shared" ref="L626:L629" si="976">IFERROR((G626*H626),"")</f>
        <v>0</v>
      </c>
      <c r="M626" s="8" t="str">
        <f t="shared" ref="M626:M629" si="977">IFERROR(K626-L626,"")</f>
        <v/>
      </c>
      <c r="N626" s="57"/>
      <c r="O626" s="9"/>
      <c r="P626" s="10"/>
      <c r="Q626" s="10"/>
      <c r="R626" s="10"/>
      <c r="S626" s="41">
        <f t="shared" si="973"/>
        <v>0</v>
      </c>
      <c r="W626" s="190"/>
      <c r="Y626" s="42"/>
      <c r="Z626" s="1"/>
      <c r="AA626" s="206" t="str">
        <f t="shared" si="974"/>
        <v/>
      </c>
    </row>
    <row r="627" spans="1:27" ns3:dyDescent="0.3">
      <c r="A627" s="60" t="s">
        <v>443</v>
      </c>
      <c r="B627" s="11">
        <f>ROUNDUP(HLOOKUP(A627,'야채 계산기'!$2:$3,2,0),0)</f>
        <v>1340</v>
      </c>
      <c r="C627" s="170">
        <v>30.23</v>
      </c>
      <c r="D627" s="166"/>
      <c r="E627" s="4"/>
      <c r="F627" s="3"/>
      <c r="G627" s="5"/>
      <c r="H627" s="6"/>
      <c r="I627" s="34">
        <f t="shared" si="975"/>
        <v>0</v>
      </c>
      <c r="J627" s="78" t="str">
        <f>IFERROR(VLOOKUP(C627,[2]Sheet1!$D:$J,7,0),"")</f>
        <v/>
      </c>
      <c r="K627" s="80" t="str">
        <f t="shared" si="972"/>
        <v/>
      </c>
      <c r="L627" s="7">
        <f t="shared" si="976"/>
        <v>0</v>
      </c>
      <c r="M627" s="8" t="str">
        <f t="shared" si="977"/>
        <v/>
      </c>
      <c r="N627" s="57"/>
      <c r="O627" s="9"/>
      <c r="P627" s="10"/>
      <c r="Q627" s="10"/>
      <c r="R627" s="10"/>
      <c r="S627" s="41">
        <f t="shared" si="973"/>
        <v>0</v>
      </c>
      <c r="W627" s="190"/>
      <c r="Y627" s="42"/>
      <c r="Z627" s="1"/>
      <c r="AA627" s="206" t="str">
        <f t="shared" si="974"/>
        <v/>
      </c>
    </row>
    <row r="628" spans="1:27" ns3:dyDescent="0.3">
      <c r="A628" s="60" t="s">
        <v>806</v>
      </c>
      <c r="B628" s="11">
        <f>ROUNDUP(HLOOKUP(A628,'야채 계산기'!$2:$3,2,0),0)</f>
        <v>1780</v>
      </c>
      <c r="C628" s="170">
        <v>30.23</v>
      </c>
      <c r="D628" s="166"/>
      <c r="E628" s="4"/>
      <c r="F628" s="3"/>
      <c r="G628" s="5"/>
      <c r="H628" s="6"/>
      <c r="I628" s="34">
        <f t="shared" si="975"/>
        <v>0</v>
      </c>
      <c r="J628" s="78" t="str">
        <f>IFERROR(VLOOKUP(C628,[2]Sheet1!$D:$J,7,0),"")</f>
        <v/>
      </c>
      <c r="K628" s="80" t="str">
        <f t="shared" si="972"/>
        <v/>
      </c>
      <c r="L628" s="7">
        <f t="shared" si="976"/>
        <v>0</v>
      </c>
      <c r="M628" s="8" t="str">
        <f t="shared" si="977"/>
        <v/>
      </c>
      <c r="N628" s="57"/>
      <c r="O628" s="9"/>
      <c r="P628" s="10"/>
      <c r="Q628" s="10"/>
      <c r="R628" s="10"/>
      <c r="S628" s="41">
        <f t="shared" ref="S628:S629" si="978">SUM(Y628,T628:X628)</f>
        <v>0</v>
      </c>
      <c r="W628" s="190"/>
      <c r="Y628" s="42"/>
      <c r="Z628" s="1"/>
      <c r="AA628" s="206" t="str">
        <f t="shared" ref="AA628:AA629" si="979">IFERROR(H628*7.5/E628/7,"")</f>
        <v/>
      </c>
    </row>
    <row r="629" spans="1:27" ns3:dyDescent="0.3">
      <c r="A629" s="60" t="s">
        <v>857</v>
      </c>
      <c r="B629" s="11">
        <f>ROUNDUP(HLOOKUP(A629,'야채 계산기'!$2:$3,2,0),0)</f>
        <v>720</v>
      </c>
      <c r="C629" s="170">
        <f>'[1]플름)진미채치즈김밥(26.08.25)'!$B$20</f>
        <v>30.23</v>
      </c>
      <c r="D629" s="166"/>
      <c r="E629" s="4"/>
      <c r="F629" s="3"/>
      <c r="G629" s="5"/>
      <c r="H629" s="6"/>
      <c r="I629" s="34">
        <f t="shared" si="975"/>
        <v>0</v>
      </c>
      <c r="J629" s="78" t="str">
        <f>IFERROR(VLOOKUP(C629,[2]Sheet1!$D:$J,7,0),"")</f>
        <v/>
      </c>
      <c r="K629" s="80" t="str">
        <f t="shared" si="972"/>
        <v/>
      </c>
      <c r="L629" s="7">
        <f t="shared" si="976"/>
        <v>0</v>
      </c>
      <c r="M629" s="8" t="str">
        <f t="shared" si="977"/>
        <v/>
      </c>
      <c r="N629" s="57"/>
      <c r="O629" s="9"/>
      <c r="P629" s="10"/>
      <c r="Q629" s="10"/>
      <c r="R629" s="10"/>
      <c r="S629" s="41">
        <f t="shared" si="978"/>
        <v>0</v>
      </c>
      <c r="W629" s="190"/>
      <c r="Y629" s="42"/>
      <c r="Z629" s="1"/>
      <c r="AA629" s="206" t="str">
        <f t="shared" si="979"/>
        <v/>
      </c>
    </row>
    <row r="630" spans="1:27" ns3:dyDescent="0.3">
      <c r="A630" s="60"/>
      <c r="B630" s="11"/>
      <c r="C630" s="62" t="s">
        <v>787</v>
      </c>
      <c r="D630" s="166">
        <f t="shared" ref="D630" si="980">IFERROR((F630/E630),"")</f>
        <v>-5.083333333333333</v>
      </c>
      <c r="E630" s="4">
        <v>12</v>
      </c>
      <c r="F630" s="3">
        <f t="shared" ref="F630" si="981">IFERROR((L630-K630),"")</f>
        <v>-61</v>
      </c>
      <c r="G630" s="5">
        <f>G625</f>
        <v>5.5</v>
      </c>
      <c r="H630" s="39">
        <f>ROUNDUP(SUMPRODUCT(B631,C631)/1000,0)</f>
        <v>8</v>
      </c>
      <c r="I630" s="34">
        <f>IFERROR((S630*E630),"")</f>
        <v>0</v>
      </c>
      <c r="J630" s="78">
        <f>IFERROR(VLOOKUP(C630,[2]Sheet1!$D:$J,7,0),"")</f>
        <v>105</v>
      </c>
      <c r="K630" s="80">
        <f>IFERROR((I630+J630),"")</f>
        <v>105</v>
      </c>
      <c r="L630" s="7">
        <f>IFERROR((G630*H630),"")</f>
        <v>44</v>
      </c>
      <c r="M630" s="8">
        <f>IFERROR(K630-L630,"")</f>
        <v>61</v>
      </c>
      <c r="N630" s="57">
        <f t="shared" ref="N630" si="982">IFERROR((K630/H630),"")</f>
        <v>13.125</v>
      </c>
      <c r="O630" s="9"/>
      <c r="P630" s="10"/>
      <c r="Q630" s="10">
        <v>4500</v>
      </c>
      <c r="R630" s="10">
        <f t="shared" ref="R630" si="983">O630*P630*Q630</f>
        <v>0</v>
      </c>
      <c r="S630" s="41">
        <f t="shared" ref="S630:S631" si="984">SUM(Y630,T630:X630)</f>
        <v>0</v>
      </c>
      <c r="T630" s="173"/>
      <c r="V630" s="173"/>
      <c r="W630" s="190"/>
      <c r="X630" s="183"/>
      <c r="Y630" s="178"/>
      <c r="Z630" s="1"/>
      <c r="AA630" s="206">
        <f t="shared" ref="AA630:AA631" si="985">IFERROR(H630*7.5/E630/7,"")</f>
        <v>0.7142857142857143</v>
      </c>
    </row>
    <row r="631" spans="1:27" ns3:dyDescent="0.3">
      <c r="A631" s="60" t="s">
        <v>786</v>
      </c>
      <c r="B631" s="11">
        <f>ROUNDUP(HLOOKUP(A631,'야채 계산기'!$2:$3,2,0),0)</f>
        <v>550</v>
      </c>
      <c r="C631" s="62">
        <v>13.82</v>
      </c>
      <c r="D631" s="166"/>
      <c r="E631" s="4"/>
      <c r="F631" s="3"/>
      <c r="G631" s="5"/>
      <c r="H631" s="6"/>
      <c r="I631" s="34">
        <f>IFERROR((S631*E631),"")</f>
        <v>0</v>
      </c>
      <c r="J631" s="78" t="str">
        <f>IFERROR(VLOOKUP(C631,[2]Sheet1!$D:$J,7,0),"")</f>
        <v/>
      </c>
      <c r="K631" s="80" t="str">
        <f>IFERROR((I631+J631),"")</f>
        <v/>
      </c>
      <c r="L631" s="7">
        <f>IFERROR((G631*H631),"")</f>
        <v>0</v>
      </c>
      <c r="M631" s="8" t="str">
        <f>IFERROR(K631-L631,"")</f>
        <v/>
      </c>
      <c r="N631" s="57"/>
      <c r="O631" s="9"/>
      <c r="P631" s="10"/>
      <c r="Q631" s="10"/>
      <c r="R631" s="10"/>
      <c r="S631" s="41">
        <f t="shared" si="984"/>
        <v>0</v>
      </c>
      <c r="W631" s="190"/>
      <c r="Y631" s="42"/>
      <c r="Z631" s="1"/>
      <c r="AA631" s="206" t="str">
        <f t="shared" si="985"/>
        <v/>
      </c>
    </row>
    <row r="632" spans="1:27" ns3:dyDescent="0.3">
      <c r="A632" s="60"/>
      <c r="B632" s="60"/>
      <c r="C632" s="62" t="s">
        <v>182</v>
      </c>
      <c r="D632" s="166">
        <f t="shared" ref="D632" si="986">IFERROR((F632/E632),"")</f>
        <v>-2.3799999999999981</v>
      </c>
      <c r="E632" s="4">
        <v>10</v>
      </c>
      <c r="F632" s="3">
        <f t="shared" ref="F632" si="987">IFERROR((L632-K632),"")</f>
        <v>-23.799999999999983</v>
      </c>
      <c r="G632" s="5">
        <f>G618</f>
        <v>5.5</v>
      </c>
      <c r="H632" s="39">
        <f>ROUNDUP(SUMPRODUCT(B633,C633)/1000,0)*0.8</f>
        <v>18.400000000000002</v>
      </c>
      <c r="I632" s="34">
        <f t="shared" ref="I632:I633" si="988">IFERROR((S632*E632),"")</f>
        <v>80</v>
      </c>
      <c r="J632" s="78">
        <f>IFERROR(VLOOKUP(C632,[2]Sheet1!$D:$J,7,0),"")</f>
        <v>45</v>
      </c>
      <c r="K632" s="80">
        <f t="shared" ref="K632:K633" si="989">IFERROR((I632+J632),"")</f>
        <v>125</v>
      </c>
      <c r="L632" s="7">
        <f t="shared" ref="L632:L633" si="990">IFERROR((G632*H632),"")</f>
        <v>101.20000000000002</v>
      </c>
      <c r="M632" s="8">
        <f t="shared" ref="M632:M633" si="991">IFERROR(K632-L632,"")</f>
        <v>23.799999999999983</v>
      </c>
      <c r="N632" s="57">
        <f t="shared" ref="N632" si="992">IFERROR((K632/H632),"")</f>
        <v>6.7934782608695645</v>
      </c>
      <c r="O632" s="9"/>
      <c r="P632" s="10"/>
      <c r="Q632" s="10">
        <v>11195</v>
      </c>
      <c r="R632" s="10">
        <f t="shared" ref="R632" si="993">O632*P632*Q632</f>
        <v>0</v>
      </c>
      <c r="S632" s="41">
        <f t="shared" si="973"/>
        <v>8</v>
      </c>
      <c r="T632" s="173">
        <v>4</v>
      </c>
      <c r="V632" s="173">
        <v>4</v>
      </c>
      <c r="W632" s="190"/>
      <c r="X632" s="183"/>
      <c r="Y632" s="178"/>
      <c r="Z632" s="1"/>
      <c r="AA632" s="206">
        <f t="shared" si="974"/>
        <v>1.9714285714285718</v>
      </c>
    </row>
    <row r="633" spans="1:27" ns3:dyDescent="0.3">
      <c r="A633" s="60" t="s">
        <v>496</v>
      </c>
      <c r="B633" s="60">
        <f>ROUNDUP(HLOOKUP(A633,'야채 계산기'!$2:$3,2,0),0)</f>
        <v>1080</v>
      </c>
      <c r="C633" s="62">
        <f>'[1]뭘좋아할지몰라다넣어봤어(26.08.11)'!$B$21</f>
        <v>20.61</v>
      </c>
      <c r="D633" s="166"/>
      <c r="E633" s="4"/>
      <c r="F633" s="3"/>
      <c r="G633" s="5"/>
      <c r="H633" s="6"/>
      <c r="I633" s="34">
        <f t="shared" si="988"/>
        <v>0</v>
      </c>
      <c r="J633" s="78" t="str">
        <f>IFERROR(VLOOKUP(C633,[2]Sheet1!$D:$J,7,0),"")</f>
        <v/>
      </c>
      <c r="K633" s="80" t="str">
        <f t="shared" si="989"/>
        <v/>
      </c>
      <c r="L633" s="7">
        <f t="shared" si="990"/>
        <v>0</v>
      </c>
      <c r="M633" s="8" t="str">
        <f t="shared" si="991"/>
        <v/>
      </c>
      <c r="N633" s="57"/>
      <c r="O633" s="9"/>
      <c r="P633" s="10"/>
      <c r="Q633" s="10"/>
      <c r="R633" s="10"/>
      <c r="S633" s="41">
        <f>SUM(Y633,T633:X633)</f>
        <v>0</v>
      </c>
      <c r="W633" s="190"/>
      <c r="Y633" s="42"/>
      <c r="Z633" s="1"/>
      <c r="AA633" s="206" t="str">
        <f t="shared" si="974"/>
        <v/>
      </c>
    </row>
    <row r="634" spans="1:27" ns3:dyDescent="0.3">
      <c r="A634" s="60"/>
      <c r="B634" s="60"/>
      <c r="C634" s="62" t="s">
        <v>747</v>
      </c>
      <c r="D634" s="166">
        <f t="shared" ref="D634" si="994">IFERROR((F634/E634),"")</f>
        <v>6.333333333333333</v>
      </c>
      <c r="E634" s="4">
        <v>3</v>
      </c>
      <c r="F634" s="3">
        <f t="shared" ref="F634" si="995">IFERROR((L634-K634),"")</f>
        <v>19</v>
      </c>
      <c r="G634" s="5">
        <f>G614</f>
        <v>5.5</v>
      </c>
      <c r="H634" s="39">
        <f>ROUNDUP(SUMPRODUCT(B635:B638,C635:C638)/5000,0)</f>
        <v>26</v>
      </c>
      <c r="I634" s="34">
        <f t="shared" ref="I634:I638" si="996">IFERROR((S634*E634),"")</f>
        <v>90</v>
      </c>
      <c r="J634" s="78">
        <f>IFERROR(VLOOKUP(C634,[2]Sheet1!$D:$J,7,0),"")</f>
        <v>34</v>
      </c>
      <c r="K634" s="80">
        <f t="shared" ref="K634:K638" si="997">IFERROR((I634+J634),"")</f>
        <v>124</v>
      </c>
      <c r="L634" s="7">
        <f t="shared" ref="L634:L638" si="998">IFERROR((G634*H634),"")</f>
        <v>143</v>
      </c>
      <c r="M634" s="8">
        <f t="shared" ref="M634:M638" si="999">IFERROR(K634-L634,"")</f>
        <v>-19</v>
      </c>
      <c r="N634" s="57">
        <f t="shared" ref="N634" si="1000">IFERROR((K634/H634),"")</f>
        <v>4.7692307692307692</v>
      </c>
      <c r="O634" s="9"/>
      <c r="P634" s="10"/>
      <c r="Q634" s="10">
        <v>19700</v>
      </c>
      <c r="R634" s="10">
        <f t="shared" ref="R634" si="1001">O634*P634*Q634</f>
        <v>0</v>
      </c>
      <c r="S634" s="41">
        <f t="shared" si="973"/>
        <v>30</v>
      </c>
      <c r="T634" s="173">
        <v>10</v>
      </c>
      <c r="V634" s="173">
        <v>20</v>
      </c>
      <c r="W634" s="190"/>
      <c r="X634" s="183"/>
      <c r="Y634" s="178"/>
      <c r="Z634" s="1"/>
      <c r="AA634" s="206">
        <f t="shared" si="974"/>
        <v>9.2857142857142865</v>
      </c>
    </row>
    <row r="635" spans="1:27" ns3:dyDescent="0.3">
      <c r="A635" s="60" t="s">
        <v>727</v>
      </c>
      <c r="B635" s="60">
        <f>ROUNDUP(HLOOKUP(A635,'야채 계산기'!$2:$3,2,0),0)</f>
        <v>2020</v>
      </c>
      <c r="C635" s="62">
        <v>18.25</v>
      </c>
      <c r="D635" s="166"/>
      <c r="E635" s="4"/>
      <c r="F635" s="3"/>
      <c r="G635" s="5"/>
      <c r="H635" s="6"/>
      <c r="I635" s="34">
        <f t="shared" si="996"/>
        <v>0</v>
      </c>
      <c r="J635" s="78" t="str">
        <f>IFERROR(VLOOKUP(C635,[2]Sheet1!$D:$J,7,0),"")</f>
        <v/>
      </c>
      <c r="K635" s="80" t="str">
        <f t="shared" si="997"/>
        <v/>
      </c>
      <c r="L635" s="7">
        <f t="shared" si="998"/>
        <v>0</v>
      </c>
      <c r="M635" s="8" t="str">
        <f t="shared" si="999"/>
        <v/>
      </c>
      <c r="N635" s="57"/>
      <c r="O635" s="9"/>
      <c r="P635" s="10"/>
      <c r="Q635" s="10"/>
      <c r="R635" s="10"/>
      <c r="S635" s="41">
        <f t="shared" si="973"/>
        <v>0</v>
      </c>
      <c r="W635" s="190"/>
      <c r="Y635" s="42"/>
      <c r="Z635" s="1"/>
      <c r="AA635" s="206" t="str">
        <f t="shared" si="974"/>
        <v/>
      </c>
    </row>
    <row r="636" spans="1:27" ns3:dyDescent="0.3">
      <c r="A636" s="60" t="s">
        <v>780</v>
      </c>
      <c r="B636" s="60">
        <f>ROUNDUP(HLOOKUP(A636,'야채 계산기'!$2:$3,2,0),0)</f>
        <v>550</v>
      </c>
      <c r="C636" s="62">
        <v>42.59</v>
      </c>
      <c r="D636" s="166"/>
      <c r="E636" s="4"/>
      <c r="F636" s="3"/>
      <c r="G636" s="5"/>
      <c r="H636" s="6"/>
      <c r="I636" s="34">
        <f t="shared" ref="I636" si="1002">IFERROR((S636*E636),"")</f>
        <v>0</v>
      </c>
      <c r="J636" s="78" t="str">
        <f>IFERROR(VLOOKUP(C636,[2]Sheet1!$D:$J,7,0),"")</f>
        <v/>
      </c>
      <c r="K636" s="80" t="str">
        <f t="shared" ref="K636" si="1003">IFERROR((I636+J636),"")</f>
        <v/>
      </c>
      <c r="L636" s="7">
        <f t="shared" ref="L636" si="1004">IFERROR((G636*H636),"")</f>
        <v>0</v>
      </c>
      <c r="M636" s="8" t="str">
        <f t="shared" ref="M636" si="1005">IFERROR(K636-L636,"")</f>
        <v/>
      </c>
      <c r="N636" s="57"/>
      <c r="O636" s="9"/>
      <c r="P636" s="10"/>
      <c r="Q636" s="10"/>
      <c r="R636" s="10"/>
      <c r="S636" s="41">
        <f t="shared" ref="S636" si="1006">SUM(Y636,T636:X636)</f>
        <v>0</v>
      </c>
      <c r="W636" s="190"/>
      <c r="Y636" s="42"/>
      <c r="Z636" s="1"/>
      <c r="AA636" s="206" t="str">
        <f t="shared" ref="AA636" si="1007">IFERROR(H636*7.5/E636/7,"")</f>
        <v/>
      </c>
    </row>
    <row r="637" spans="1:27" ns3:dyDescent="0.3">
      <c r="A637" s="60" t="s">
        <v>870</v>
      </c>
      <c r="B637" s="60">
        <f>ROUNDUP(HLOOKUP(A637,'야채 계산기'!$2:$3,2,0),0)</f>
        <v>1470</v>
      </c>
      <c r="C637" s="62">
        <v>30.42</v>
      </c>
      <c r="D637" s="166"/>
      <c r="E637" s="4"/>
      <c r="F637" s="3"/>
      <c r="G637" s="5"/>
      <c r="H637" s="6"/>
      <c r="I637" s="34">
        <f t="shared" ref="I637" si="1008">IFERROR((S637*E637),"")</f>
        <v>0</v>
      </c>
      <c r="J637" s="78" t="str">
        <f>IFERROR(VLOOKUP(C637,[2]Sheet1!$D:$J,7,0),"")</f>
        <v/>
      </c>
      <c r="K637" s="80" t="str">
        <f t="shared" ref="K637" si="1009">IFERROR((I637+J637),"")</f>
        <v/>
      </c>
      <c r="L637" s="7">
        <f t="shared" ref="L637" si="1010">IFERROR((G637*H637),"")</f>
        <v>0</v>
      </c>
      <c r="M637" s="8" t="str">
        <f t="shared" ref="M637" si="1011">IFERROR(K637-L637,"")</f>
        <v/>
      </c>
      <c r="N637" s="57"/>
      <c r="O637" s="9"/>
      <c r="P637" s="10"/>
      <c r="Q637" s="10"/>
      <c r="R637" s="10"/>
      <c r="S637" s="41">
        <f t="shared" ref="S637" si="1012">SUM(Y637,T637:X637)</f>
        <v>0</v>
      </c>
      <c r="W637" s="190"/>
      <c r="Y637" s="42"/>
      <c r="Z637" s="1"/>
      <c r="AA637" s="206" t="str">
        <f t="shared" ref="AA637" si="1013">IFERROR(H637*7.5/E637/7,"")</f>
        <v/>
      </c>
    </row>
    <row r="638" spans="1:27" ns3:dyDescent="0.3">
      <c r="A638" s="273" t="s">
        <v>871</v>
      </c>
      <c r="B638" s="60">
        <f>ROUNDUP(HLOOKUP(A638,'야채 계산기'!$2:$3,2,0),0)</f>
        <v>810</v>
      </c>
      <c r="C638" s="62">
        <v>30.42</v>
      </c>
      <c r="D638" s="166"/>
      <c r="E638" s="4"/>
      <c r="F638" s="3"/>
      <c r="G638" s="5"/>
      <c r="H638" s="6"/>
      <c r="I638" s="34">
        <f t="shared" si="996"/>
        <v>0</v>
      </c>
      <c r="J638" s="78" t="str">
        <f>IFERROR(VLOOKUP(C638,[2]Sheet1!$D:$J,7,0),"")</f>
        <v/>
      </c>
      <c r="K638" s="80" t="str">
        <f t="shared" si="997"/>
        <v/>
      </c>
      <c r="L638" s="7">
        <f t="shared" si="998"/>
        <v>0</v>
      </c>
      <c r="M638" s="8" t="str">
        <f t="shared" si="999"/>
        <v/>
      </c>
      <c r="N638" s="57"/>
      <c r="O638" s="9"/>
      <c r="P638" s="10"/>
      <c r="Q638" s="10"/>
      <c r="R638" s="10"/>
      <c r="S638" s="41">
        <f t="shared" si="973"/>
        <v>0</v>
      </c>
      <c r="W638" s="190"/>
      <c r="Y638" s="42"/>
      <c r="Z638" s="1"/>
      <c r="AA638" s="206" t="str">
        <f t="shared" si="974"/>
        <v/>
      </c>
    </row>
    <row r="639" spans="1:27" hidden="1" ns3:dyDescent="0.3">
      <c r="A639" s="60"/>
      <c r="B639" s="11"/>
      <c r="C639" s="262" t="s">
        <v>543</v>
      </c>
      <c r="D639" s="166" t="str">
        <f>IFERROR((F639/E639),"")</f>
        <v/>
      </c>
      <c r="E639" s="4">
        <v>10</v>
      </c>
      <c r="F639" s="3" t="str">
        <f t="shared" ref="F639" si="1014">IFERROR((L639-K639),"")</f>
        <v/>
      </c>
      <c r="G639" s="5">
        <v>8.5</v>
      </c>
      <c r="H639" s="39" t="e">
        <f>ROUNDUP(SUMPRODUCT(B640,C640)/1000,1)</f>
        <v>#N/A</v>
      </c>
      <c r="I639" s="34">
        <f>IFERROR((S639*E639),"")</f>
        <v>0</v>
      </c>
      <c r="J639" s="78" t="str">
        <f>IFERROR(VLOOKUP(C639,[2]Sheet1!$D:$J,7,0),"")</f>
        <v/>
      </c>
      <c r="K639" s="80" t="str">
        <f t="shared" ref="K639:K640" si="1015">IFERROR((I639+J639),"")</f>
        <v/>
      </c>
      <c r="L639" s="7" t="str">
        <f>IFERROR((G639*H639),"")</f>
        <v/>
      </c>
      <c r="M639" s="8" t="str">
        <f>IFERROR(K639-L639,"")</f>
        <v/>
      </c>
      <c r="N639" s="57" t="str">
        <f t="shared" ref="N639" si="1016">IFERROR((K639/H639),"")</f>
        <v/>
      </c>
      <c r="O639" s="9"/>
      <c r="P639" s="10"/>
      <c r="Q639" s="10">
        <v>6850</v>
      </c>
      <c r="R639" s="10">
        <f t="shared" ref="R639" si="1017">O639*P639*Q639</f>
        <v>0</v>
      </c>
      <c r="S639" s="41">
        <f>SUM(Y639,T639:X639)</f>
        <v>0</v>
      </c>
      <c r="T639" s="173"/>
      <c r="V639" s="173"/>
      <c r="W639" s="190"/>
      <c r="X639" s="183"/>
      <c r="Y639" s="178"/>
      <c r="Z639" s="1"/>
      <c r="AA639" s="206" t="str">
        <f>IFERROR(H639*7.5/E639/7,"")</f>
        <v/>
      </c>
    </row>
    <row r="640" spans="1:27" hidden="1" ns3:dyDescent="0.3">
      <c r="A640" s="273" t="s">
        <v>542</v>
      </c>
      <c r="B640" s="11" t="e">
        <f>ROUNDUP(HLOOKUP(A640,'야채 계산기'!$2:$3,2,0)*1.03,0)</f>
        <v>#N/A</v>
      </c>
      <c r="C640" s="170">
        <v>10.31</v>
      </c>
      <c r="D640" s="166"/>
      <c r="E640" s="4"/>
      <c r="F640" s="3"/>
      <c r="G640" s="5"/>
      <c r="H640" s="6"/>
      <c r="I640" s="34">
        <f>IFERROR((S640*E640),"")</f>
        <v>0</v>
      </c>
      <c r="J640" s="78" t="str">
        <f>IFERROR(VLOOKUP(C640,[2]Sheet1!$D:$J,7,0),"")</f>
        <v/>
      </c>
      <c r="K640" s="80" t="str">
        <f t="shared" si="1015"/>
        <v/>
      </c>
      <c r="L640" s="7">
        <f>IFERROR((G640*H640),"")</f>
        <v>0</v>
      </c>
      <c r="M640" s="8" t="str">
        <f>IFERROR(K640-L640,"")</f>
        <v/>
      </c>
      <c r="N640" s="57"/>
      <c r="O640" s="9"/>
      <c r="P640" s="10"/>
      <c r="Q640" s="10"/>
      <c r="R640" s="10"/>
      <c r="S640" s="41">
        <f>SUM(Y640,T640:X640)</f>
        <v>0</v>
      </c>
      <c r="W640" s="190"/>
      <c r="Y640" s="42"/>
      <c r="Z640" s="1"/>
      <c r="AA640" s="206" t="str">
        <f>IFERROR(H640*7.5/E640/7,"")</f>
        <v/>
      </c>
    </row>
    <row r="641" spans="1:28" hidden="1" ns3:dyDescent="0.3">
      <c r="A641" s="60"/>
      <c r="B641" s="11" t="e">
        <f>ROUNDUP(HLOOKUP(A641,'야채 계산기'!$2:$3,2,0),0)</f>
        <v>#N/A</v>
      </c>
      <c r="C641" s="274" t="s">
        <v>544</v>
      </c>
      <c r="D641" s="166" t="str">
        <f t="shared" ref="D641" si="1018">IFERROR((F641/E641),"")</f>
        <v/>
      </c>
      <c r="E641" s="4">
        <v>10</v>
      </c>
      <c r="F641" s="3" t="str">
        <f t="shared" ref="F641" si="1019">IFERROR((L641-K641),"")</f>
        <v/>
      </c>
      <c r="G641" s="5">
        <f>G639</f>
        <v>8.5</v>
      </c>
      <c r="H641" s="39" t="e">
        <f>ROUNDUP(SUMPRODUCT(B642,C642)/1000,1)</f>
        <v>#N/A</v>
      </c>
      <c r="I641" s="34">
        <f t="shared" ref="I641:I642" si="1020">IFERROR((S641*E641),"")</f>
        <v>0</v>
      </c>
      <c r="J641" s="78" t="str">
        <f>IFERROR(VLOOKUP(C641,[2]Sheet1!$D:$J,7,0),"")</f>
        <v/>
      </c>
      <c r="K641" s="80" t="str">
        <f t="shared" ref="K641:K642" si="1021">IFERROR((I641+J641),"")</f>
        <v/>
      </c>
      <c r="L641" s="7" t="str">
        <f t="shared" ref="L641:L642" si="1022">IFERROR((G641*H641),"")</f>
        <v/>
      </c>
      <c r="M641" s="8" t="str">
        <f t="shared" ref="M641:M642" si="1023">IFERROR(K641-L641,"")</f>
        <v/>
      </c>
      <c r="N641" s="57" t="str">
        <f t="shared" ref="N641" si="1024">IFERROR((K641/H641),"")</f>
        <v/>
      </c>
      <c r="O641" s="9"/>
      <c r="P641" s="10"/>
      <c r="Q641" s="10">
        <v>7950</v>
      </c>
      <c r="R641" s="10">
        <f t="shared" ref="R641" si="1025">O641*P641*Q641</f>
        <v>0</v>
      </c>
      <c r="S641" s="41">
        <f>SUM(Y641,T641:X641)</f>
        <v>0</v>
      </c>
      <c r="T641" s="173"/>
      <c r="V641" s="173"/>
      <c r="W641" s="190"/>
      <c r="X641" s="183"/>
      <c r="Y641" s="178"/>
      <c r="Z641" s="1"/>
      <c r="AA641" s="206" t="str">
        <f>IFERROR(H641*7.5/E641/7,"")</f>
        <v/>
      </c>
    </row>
    <row r="642" spans="1:28" hidden="1" ns3:dyDescent="0.3">
      <c r="A642" s="273" t="s">
        <v>542</v>
      </c>
      <c r="B642" s="11" t="e">
        <f>ROUNDUP(HLOOKUP(A642,'야채 계산기'!$2:$3,2,0),0)</f>
        <v>#N/A</v>
      </c>
      <c r="C642" s="170">
        <v>15.46</v>
      </c>
      <c r="D642" s="166"/>
      <c r="E642" s="4"/>
      <c r="F642" s="3"/>
      <c r="G642" s="5"/>
      <c r="H642" s="6"/>
      <c r="I642" s="34">
        <f t="shared" si="1020"/>
        <v>0</v>
      </c>
      <c r="J642" s="78" t="str">
        <f>IFERROR(VLOOKUP(C642,[2]Sheet1!$D:$J,7,0),"")</f>
        <v/>
      </c>
      <c r="K642" s="80" t="str">
        <f t="shared" si="1021"/>
        <v/>
      </c>
      <c r="L642" s="7">
        <f t="shared" si="1022"/>
        <v>0</v>
      </c>
      <c r="M642" s="8" t="str">
        <f t="shared" si="1023"/>
        <v/>
      </c>
      <c r="N642" s="57"/>
      <c r="O642" s="9"/>
      <c r="P642" s="10"/>
      <c r="Q642" s="10"/>
      <c r="R642" s="10"/>
      <c r="S642" s="41">
        <f>SUM(Y642,T642:X642)</f>
        <v>0</v>
      </c>
      <c r="W642" s="190"/>
      <c r="Y642" s="42"/>
      <c r="Z642" s="1"/>
      <c r="AA642" s="206" t="str">
        <f>IFERROR(H642*7.5/E642/7,"")</f>
        <v/>
      </c>
    </row>
    <row r="643" spans="1:28" ns3:dyDescent="0.3">
      <c r="A643" s="263"/>
      <c r="B643" s="263"/>
      <c r="C643" s="62"/>
      <c r="D643" s="166" t="str">
        <f>IFERROR((F643/E643),"")</f>
        <v/>
      </c>
      <c r="E643" s="4"/>
      <c r="F643" s="17"/>
      <c r="G643" s="5"/>
      <c r="H643" s="6"/>
      <c r="I643" s="34">
        <f t="shared" ref="I643:I644" si="1026">IFERROR((S643*E643),"")</f>
        <v>0</v>
      </c>
      <c r="J643" s="78" t="str">
        <f>IFERROR(VLOOKUP(C643,[2]Sheet1!$D:$J,7,0),"")</f>
        <v/>
      </c>
      <c r="K643" s="80" t="str">
        <f>IFERROR((I643+J643),"")</f>
        <v/>
      </c>
      <c r="L643" s="7">
        <f t="shared" ref="L643:L644" si="1027">IFERROR((G643*H643),"")</f>
        <v>0</v>
      </c>
      <c r="M643" s="8" t="str">
        <f t="shared" ref="M643:M644" si="1028">IFERROR(K643-L643,"")</f>
        <v/>
      </c>
      <c r="N643" s="57"/>
      <c r="O643" s="9"/>
      <c r="P643" s="10"/>
      <c r="Q643" s="10"/>
      <c r="R643" s="10">
        <f>O643*P643*Q643</f>
        <v>0</v>
      </c>
      <c r="S643" s="41">
        <f t="shared" si="973"/>
        <v>0</v>
      </c>
      <c r="W643" s="190"/>
      <c r="Y643" s="42"/>
      <c r="Z643" s="1"/>
      <c r="AA643" s="206" t="str">
        <f t="shared" si="974"/>
        <v/>
      </c>
    </row>
    <row r="644" spans="1:28" ns3:dyDescent="0.3">
      <c r="A644" s="263"/>
      <c r="B644" s="263"/>
      <c r="C644" s="62"/>
      <c r="D644" s="166" t="str">
        <f>IFERROR((F644/E644),"")</f>
        <v/>
      </c>
      <c r="E644" s="4"/>
      <c r="F644" s="17"/>
      <c r="G644" s="5"/>
      <c r="H644" s="6"/>
      <c r="I644" s="34">
        <f t="shared" si="1026"/>
        <v>0</v>
      </c>
      <c r="J644" s="78" t="str">
        <f>IFERROR(VLOOKUP(C644,[2]Sheet1!$D:$J,7,0),"")</f>
        <v/>
      </c>
      <c r="K644" s="80" t="str">
        <f>IFERROR((I644+J644),"")</f>
        <v/>
      </c>
      <c r="L644" s="7">
        <f t="shared" si="1027"/>
        <v>0</v>
      </c>
      <c r="M644" s="8" t="str">
        <f t="shared" si="1028"/>
        <v/>
      </c>
      <c r="N644" s="57"/>
      <c r="O644" s="9"/>
      <c r="P644" s="10"/>
      <c r="Q644" s="10"/>
      <c r="R644" s="10">
        <f>O644*P644*Q644</f>
        <v>0</v>
      </c>
      <c r="S644" s="41">
        <f t="shared" si="973"/>
        <v>0</v>
      </c>
      <c r="W644" s="190"/>
      <c r="Y644" s="42"/>
      <c r="Z644" s="1"/>
      <c r="AA644" s="206" t="str">
        <f t="shared" si="974"/>
        <v/>
      </c>
    </row>
    <row r="645" spans="1:28" ns3:dyDescent="0.3">
      <c r="A645" s="263"/>
      <c r="B645" s="263"/>
      <c r="C645" s="62"/>
      <c r="D645" s="166"/>
      <c r="E645" s="4"/>
      <c r="F645" s="17"/>
      <c r="G645" s="5"/>
      <c r="H645" s="6"/>
      <c r="I645" s="34"/>
      <c r="J645" s="78" t="str">
        <f>IFERROR(VLOOKUP(C645,[2]Sheet1!$D:$J,7,0),"")</f>
        <v/>
      </c>
      <c r="K645" s="80"/>
      <c r="L645" s="7"/>
      <c r="M645" s="8"/>
      <c r="N645" s="57"/>
      <c r="O645" s="9"/>
      <c r="P645" s="10"/>
      <c r="Q645" s="10"/>
      <c r="R645" s="10"/>
      <c r="W645" s="190"/>
      <c r="Y645" s="42"/>
      <c r="Z645" s="1"/>
      <c r="AA645" s="206"/>
    </row>
    <row r="646" spans="1:28" ns3:dyDescent="0.3">
      <c r="A646" s="209" t="s">
        <v>351</v>
      </c>
      <c r="B646" s="58" t="s">
        <v>313</v>
      </c>
      <c r="C646" s="196"/>
      <c r="D646" s="166" t="str">
        <f t="shared" ref="D646:D659" si="1029">IFERROR((F646/E646),"")</f>
        <v/>
      </c>
      <c r="E646" s="4"/>
      <c r="F646" s="17"/>
      <c r="G646" s="5"/>
      <c r="H646" s="6"/>
      <c r="I646" s="34">
        <f t="shared" ref="I646:I659" si="1030">IFERROR((S646*E646),"")</f>
        <v>0</v>
      </c>
      <c r="J646" s="78" t="str">
        <f>IFERROR(VLOOKUP(C646,[2]Sheet1!$D:$J,7,0),"")</f>
        <v/>
      </c>
      <c r="K646" s="80" t="str">
        <f t="shared" ref="K646:K659" si="1031">IFERROR((I646+J646),"")</f>
        <v/>
      </c>
      <c r="L646" s="7">
        <f t="shared" ref="L646:L659" si="1032">IFERROR((G646*H646),"")</f>
        <v>0</v>
      </c>
      <c r="M646" s="8" t="str">
        <f t="shared" ref="M646:M659" si="1033">IFERROR(K646-L646,"")</f>
        <v/>
      </c>
      <c r="N646" s="57" t="str">
        <f>IFERROR((K646/H646),"")</f>
        <v/>
      </c>
      <c r="O646" s="9"/>
      <c r="P646" s="10"/>
      <c r="Q646" s="10"/>
      <c r="R646" s="10">
        <f t="shared" ref="R646:R659" si="1034">O646*P646*Q646</f>
        <v>0</v>
      </c>
      <c r="S646" s="41">
        <f t="shared" si="973"/>
        <v>0</v>
      </c>
      <c r="W646" s="190"/>
      <c r="Y646" s="42"/>
      <c r="Z646" s="1"/>
      <c r="AA646" s="206" t="str">
        <f t="shared" si="974"/>
        <v/>
      </c>
    </row>
    <row r="647" spans="1:28" hidden="1" ns3:dyDescent="0.3">
      <c r="A647" s="11"/>
      <c r="B647" s="11"/>
      <c r="C647" s="262" t="s">
        <v>515</v>
      </c>
      <c r="D647" s="166" t="str">
        <f>IFERROR((F647/E647),"")</f>
        <v/>
      </c>
      <c r="E647" s="4">
        <v>4</v>
      </c>
      <c r="F647" s="3" t="str">
        <f>IFERROR((L647-K647),"")</f>
        <v/>
      </c>
      <c r="G647" s="5">
        <v>6.5</v>
      </c>
      <c r="H647" s="6" t="e">
        <f>ROUNDUP(SUMPRODUCT(B648,C648)/2800,1)</f>
        <v>#N/A</v>
      </c>
      <c r="I647" s="34">
        <f t="shared" ref="I647:I648" si="1035">IFERROR((S647*E647),"")</f>
        <v>0</v>
      </c>
      <c r="J647" s="78" t="str">
        <f>IFERROR(VLOOKUP(C647,[2]Sheet1!$D:$J,7,0),"")</f>
        <v/>
      </c>
      <c r="K647" s="80" t="str">
        <f t="shared" ref="K647:K648" si="1036">IFERROR((I647+J647),"")</f>
        <v/>
      </c>
      <c r="L647" s="7" t="str">
        <f t="shared" ref="L647:L648" si="1037">IFERROR((G647*H647),"")</f>
        <v/>
      </c>
      <c r="M647" s="8" t="str">
        <f t="shared" ref="M647:M648" si="1038">IFERROR(K647-L647,"")</f>
        <v/>
      </c>
      <c r="N647" s="57" t="str">
        <f>IFERROR((K647/H647),"")</f>
        <v/>
      </c>
      <c r="O647" s="9"/>
      <c r="P647" s="10"/>
      <c r="Q647" s="10">
        <v>4800</v>
      </c>
      <c r="R647" s="10">
        <f>O647*P647*Q647</f>
        <v>0</v>
      </c>
      <c r="S647" s="41">
        <f t="shared" si="973"/>
        <v>0</v>
      </c>
      <c r="T647" s="173"/>
      <c r="V647" s="173"/>
      <c r="W647" s="190"/>
      <c r="X647" s="183"/>
      <c r="Y647" s="42"/>
      <c r="Z647" s="1"/>
      <c r="AA647" s="206" t="str">
        <f t="shared" si="974"/>
        <v/>
      </c>
    </row>
    <row r="648" spans="1:28" hidden="1" ns3:dyDescent="0.3">
      <c r="A648" s="273" t="s">
        <v>504</v>
      </c>
      <c r="B648" s="11" t="e">
        <f>ROUNDUP(HLOOKUP(A648,'야채 계산기'!$2:$3,2,0),0)</f>
        <v>#N/A</v>
      </c>
      <c r="C648" s="164">
        <v>48.1</v>
      </c>
      <c r="D648" s="166"/>
      <c r="E648" s="4"/>
      <c r="F648" s="3"/>
      <c r="G648" s="5"/>
      <c r="H648" s="6"/>
      <c r="I648" s="34">
        <f t="shared" si="1035"/>
        <v>0</v>
      </c>
      <c r="J648" s="78" t="str">
        <f>IFERROR(VLOOKUP(C648,[2]Sheet1!$D:$J,7,0),"")</f>
        <v/>
      </c>
      <c r="K648" s="80" t="str">
        <f t="shared" si="1036"/>
        <v/>
      </c>
      <c r="L648" s="7">
        <f t="shared" si="1037"/>
        <v>0</v>
      </c>
      <c r="M648" s="8" t="str">
        <f t="shared" si="1038"/>
        <v/>
      </c>
      <c r="N648" s="57"/>
      <c r="O648" s="9"/>
      <c r="P648" s="10"/>
      <c r="Q648" s="10"/>
      <c r="R648" s="10"/>
      <c r="S648" s="41">
        <f t="shared" si="973"/>
        <v>0</v>
      </c>
      <c r="W648" s="190"/>
      <c r="Y648" s="42"/>
      <c r="Z648" s="1"/>
      <c r="AA648" s="206" t="str">
        <f t="shared" si="974"/>
        <v/>
      </c>
    </row>
    <row r="649" spans="1:28" ns3:dyDescent="0.3">
      <c r="A649" s="11"/>
      <c r="B649" s="11"/>
      <c r="C649" s="164" t="s">
        <v>229</v>
      </c>
      <c r="D649" s="166">
        <f>IFERROR((F649/E649),"")</f>
        <v>-20.375</v>
      </c>
      <c r="E649" s="4">
        <v>4</v>
      </c>
      <c r="F649" s="3">
        <f>IFERROR((L649-K649),"")</f>
        <v>-81.5</v>
      </c>
      <c r="G649" s="5">
        <v>5.5</v>
      </c>
      <c r="H649" s="6">
        <f>ROUNDUP(SUMPRODUCT(B650:B653,C650:C653)/2500,0)</f>
        <v>71</v>
      </c>
      <c r="I649" s="34">
        <f t="shared" si="1030"/>
        <v>256</v>
      </c>
      <c r="J649" s="78">
        <f>IFERROR(VLOOKUP(C649,[2]Sheet1!$D:$J,7,0),"")</f>
        <v>216</v>
      </c>
      <c r="K649" s="80">
        <f t="shared" si="1031"/>
        <v>472</v>
      </c>
      <c r="L649" s="7">
        <f t="shared" si="1032"/>
        <v>390.5</v>
      </c>
      <c r="M649" s="8">
        <f t="shared" si="1033"/>
        <v>81.5</v>
      </c>
      <c r="N649" s="57">
        <f>IFERROR((K649/H649),"")</f>
        <v>6.647887323943662</v>
      </c>
      <c r="O649" s="9"/>
      <c r="P649" s="10"/>
      <c r="Q649" s="10">
        <v>4300</v>
      </c>
      <c r="R649" s="10">
        <f>O649*P649*Q649</f>
        <v>0</v>
      </c>
      <c r="S649" s="41">
        <f t="shared" si="973"/>
        <v>64</v>
      </c>
      <c r="T649" s="173">
        <v>34</v>
      </c>
      <c r="V649" s="173">
        <v>30</v>
      </c>
      <c r="W649" s="190"/>
      <c r="X649" s="183"/>
      <c r="Y649" s="42"/>
      <c r="Z649" s="1"/>
      <c r="AA649" s="206">
        <f t="shared" si="974"/>
        <v>19.017857142857142</v>
      </c>
    </row>
    <row r="650" spans="1:28" ns3:dyDescent="0.3">
      <c r="A650" s="60" t="s">
        <v>858</v>
      </c>
      <c r="B650" s="11">
        <f>ROUNDUP(HLOOKUP(A650,'야채 계산기'!$2:$3,2,0),0)</f>
        <v>170</v>
      </c>
      <c r="C650" s="164">
        <v>43.51</v>
      </c>
      <c r="D650" s="166"/>
      <c r="E650" s="4"/>
      <c r="F650" s="3"/>
      <c r="G650" s="5"/>
      <c r="H650" s="6"/>
      <c r="I650" s="34">
        <f t="shared" si="1030"/>
        <v>0</v>
      </c>
      <c r="J650" s="78" t="str">
        <f>IFERROR(VLOOKUP(C650,[2]Sheet1!$D:$J,7,0),"")</f>
        <v/>
      </c>
      <c r="K650" s="80" t="str">
        <f t="shared" si="1031"/>
        <v/>
      </c>
      <c r="L650" s="7">
        <f t="shared" si="1032"/>
        <v>0</v>
      </c>
      <c r="M650" s="8" t="str">
        <f t="shared" si="1033"/>
        <v/>
      </c>
      <c r="N650" s="57"/>
      <c r="O650" s="9"/>
      <c r="P650" s="10"/>
      <c r="Q650" s="10"/>
      <c r="R650" s="10"/>
      <c r="S650" s="41">
        <f t="shared" si="973"/>
        <v>0</v>
      </c>
      <c r="W650" s="190"/>
      <c r="Y650" s="42"/>
      <c r="Z650" s="1"/>
      <c r="AA650" s="206" t="str">
        <f t="shared" si="974"/>
        <v/>
      </c>
    </row>
    <row r="651" spans="1:28" ns3:dyDescent="0.3">
      <c r="A651" s="60" t="s">
        <v>859</v>
      </c>
      <c r="B651" s="11">
        <f>ROUNDUP(HLOOKUP(A651,'야채 계산기'!$2:$3,2,0),0)</f>
        <v>140</v>
      </c>
      <c r="C651" s="164">
        <f>'[1]착한김치김밥(250612)슈퍼'!$B$17</f>
        <v>43.51</v>
      </c>
      <c r="D651" s="166"/>
      <c r="E651" s="4"/>
      <c r="F651" s="3"/>
      <c r="G651" s="5"/>
      <c r="H651" s="6"/>
      <c r="I651" s="34">
        <f t="shared" si="1030"/>
        <v>0</v>
      </c>
      <c r="J651" s="78" t="str">
        <f>IFERROR(VLOOKUP(C651,[2]Sheet1!$D:$J,7,0),"")</f>
        <v/>
      </c>
      <c r="K651" s="80" t="str">
        <f>IFERROR((I651+J651),"")</f>
        <v/>
      </c>
      <c r="L651" s="7">
        <f t="shared" si="1032"/>
        <v>0</v>
      </c>
      <c r="M651" s="8" t="str">
        <f t="shared" si="1033"/>
        <v/>
      </c>
      <c r="N651" s="57"/>
      <c r="O651" s="9"/>
      <c r="P651" s="10"/>
      <c r="Q651" s="10"/>
      <c r="R651" s="10"/>
      <c r="S651" s="41">
        <f t="shared" si="973"/>
        <v>0</v>
      </c>
      <c r="W651" s="190"/>
      <c r="Y651" s="42"/>
      <c r="Z651" s="1"/>
      <c r="AA651" s="206" t="str">
        <f t="shared" si="974"/>
        <v/>
      </c>
    </row>
    <row r="652" spans="1:28" ns3:dyDescent="0.3">
      <c r="A652" s="60" t="s">
        <v>256</v>
      </c>
      <c r="B652" s="11">
        <f>ROUNDUP(HLOOKUP(A652,'야채 계산기'!$2:$3,2,0),0)</f>
        <v>2840</v>
      </c>
      <c r="C652" s="164">
        <v>41.75</v>
      </c>
      <c r="D652" s="166" t="str">
        <f>IFERROR((F652/E652),"")</f>
        <v/>
      </c>
      <c r="E652" s="4"/>
      <c r="F652" s="3"/>
      <c r="G652" s="5"/>
      <c r="H652" s="6"/>
      <c r="I652" s="34">
        <f>IFERROR((S652*E652),"")</f>
        <v>0</v>
      </c>
      <c r="J652" s="78" t="str">
        <f>IFERROR(VLOOKUP(C652,[2]Sheet1!$D:$J,7,0),"")</f>
        <v/>
      </c>
      <c r="K652" s="80" t="str">
        <f>IFERROR((I652+J652),"")</f>
        <v/>
      </c>
      <c r="L652" s="7">
        <f>IFERROR((G652*H652),"")</f>
        <v>0</v>
      </c>
      <c r="M652" s="8" t="str">
        <f>IFERROR(K652-L652,"")</f>
        <v/>
      </c>
      <c r="N652" s="57" t="str">
        <f>IFERROR((K652/H652),"")</f>
        <v/>
      </c>
      <c r="O652" s="9"/>
      <c r="P652" s="10"/>
      <c r="Q652" s="10"/>
      <c r="R652" s="10"/>
      <c r="S652" s="41">
        <f t="shared" si="973"/>
        <v>0</v>
      </c>
      <c r="W652" s="190"/>
      <c r="Y652" s="42"/>
      <c r="Z652" s="1"/>
      <c r="AA652" s="206" t="str">
        <f t="shared" si="974"/>
        <v/>
      </c>
    </row>
    <row r="653" spans="1:28" ns3:dyDescent="0.3">
      <c r="A653" s="60" t="s">
        <v>269</v>
      </c>
      <c r="B653" s="11">
        <f>ROUNDUP(HLOOKUP(A653,'야채 계산기'!$2:$3,2,0),0)</f>
        <v>1050</v>
      </c>
      <c r="C653" s="164">
        <v>41.75</v>
      </c>
      <c r="D653" s="166" t="str">
        <f>IFERROR((F653/E653),"")</f>
        <v/>
      </c>
      <c r="E653" s="4"/>
      <c r="F653" s="3"/>
      <c r="G653" s="5"/>
      <c r="H653" s="6"/>
      <c r="I653" s="34">
        <f>IFERROR((S653*E653),"")</f>
        <v>0</v>
      </c>
      <c r="J653" s="78" t="str">
        <f>IFERROR(VLOOKUP(C653,[2]Sheet1!$D:$J,7,0),"")</f>
        <v/>
      </c>
      <c r="K653" s="80" t="str">
        <f>IFERROR((I653+J653),"")</f>
        <v/>
      </c>
      <c r="L653" s="7">
        <f>IFERROR((G653*H653),"")</f>
        <v>0</v>
      </c>
      <c r="M653" s="8" t="str">
        <f>IFERROR(K653-L653,"")</f>
        <v/>
      </c>
      <c r="N653" s="57" t="str">
        <f>IFERROR((K653/H653),"")</f>
        <v/>
      </c>
      <c r="O653" s="9"/>
      <c r="P653" s="10"/>
      <c r="Q653" s="10"/>
      <c r="R653" s="10"/>
      <c r="S653" s="41">
        <f t="shared" si="973"/>
        <v>0</v>
      </c>
      <c r="W653" s="190"/>
      <c r="Y653" s="42"/>
      <c r="Z653" s="1"/>
      <c r="AA653" s="206" t="str">
        <f t="shared" si="974"/>
        <v/>
      </c>
    </row>
    <row r="654" spans="1:28" ht="17.25" customHeight="1" ns3:dyDescent="0.3">
      <c r="A654" s="2"/>
      <c r="B654" s="2"/>
      <c r="C654" s="164"/>
      <c r="D654" s="166" t="str">
        <f>IFERROR((F654/E654),"")</f>
        <v/>
      </c>
      <c r="E654" s="4"/>
      <c r="F654" s="17"/>
      <c r="G654" s="5"/>
      <c r="H654" s="6"/>
      <c r="I654" s="34">
        <f t="shared" si="1030"/>
        <v>0</v>
      </c>
      <c r="J654" s="78" t="str">
        <f>IFERROR(VLOOKUP(C654,[2]Sheet1!$D:$J,7,0),"")</f>
        <v/>
      </c>
      <c r="K654" s="80" t="str">
        <f t="shared" si="1031"/>
        <v/>
      </c>
      <c r="L654" s="7">
        <f t="shared" si="1032"/>
        <v>0</v>
      </c>
      <c r="M654" s="8" t="str">
        <f t="shared" si="1033"/>
        <v/>
      </c>
      <c r="N654" s="57"/>
      <c r="O654" s="9"/>
      <c r="P654" s="10"/>
      <c r="Q654" s="10"/>
      <c r="R654" s="10">
        <f>O654*P654*Q654</f>
        <v>0</v>
      </c>
      <c r="S654" s="41">
        <f t="shared" si="973"/>
        <v>0</v>
      </c>
      <c r="W654" s="190"/>
      <c r="Y654" s="42"/>
      <c r="Z654" s="1"/>
      <c r="AA654" s="206" t="str">
        <f t="shared" si="974"/>
        <v/>
      </c>
    </row>
    <row r="655" spans="1:28" ns3:dyDescent="0.3">
      <c r="A655" s="184" t="s">
        <v>572</v>
      </c>
      <c r="B655" s="58" t="s">
        <v>213</v>
      </c>
      <c r="C655" s="196"/>
      <c r="D655" s="166" t="str">
        <f t="shared" ref="D655:D657" si="1039">IFERROR((F655/E655),"")</f>
        <v/>
      </c>
      <c r="E655" s="4"/>
      <c r="F655" s="3"/>
      <c r="G655" s="5"/>
      <c r="H655" s="6"/>
      <c r="I655" s="34">
        <f t="shared" si="1030"/>
        <v>0</v>
      </c>
      <c r="J655" s="78" t="str">
        <f>IFERROR(VLOOKUP(C655,[2]Sheet1!$D:$J,7,0),"")</f>
        <v/>
      </c>
      <c r="K655" s="80" t="str">
        <f t="shared" si="1031"/>
        <v/>
      </c>
      <c r="L655" s="7">
        <f t="shared" si="1032"/>
        <v>0</v>
      </c>
      <c r="M655" s="8" t="str">
        <f t="shared" si="1033"/>
        <v/>
      </c>
      <c r="N655" s="57" t="str">
        <f>IFERROR((K655/H655),"")</f>
        <v/>
      </c>
      <c r="O655" s="9"/>
      <c r="P655" s="10"/>
      <c r="Q655" s="10"/>
      <c r="R655" s="10">
        <f t="shared" ref="R655:R656" si="1040">O655*P655*Q655</f>
        <v>0</v>
      </c>
      <c r="S655" s="41">
        <f t="shared" si="973"/>
        <v>0</v>
      </c>
      <c r="W655" s="190"/>
      <c r="Y655" s="42"/>
      <c r="AA655" s="206" t="str">
        <f t="shared" si="974"/>
        <v/>
      </c>
      <c r="AB655" s="192"/>
    </row>
    <row r="656" spans="1:28" ns3:dyDescent="0.3">
      <c r="A656" s="60"/>
      <c r="B656" s="11"/>
      <c r="C656" s="260" t="s">
        <v>593</v>
      </c>
      <c r="D656" s="166">
        <f t="shared" si="1039"/>
        <v>-4.01</v>
      </c>
      <c r="E656" s="4">
        <v>10</v>
      </c>
      <c r="F656" s="3">
        <f>IFERROR((L656-K656),"")</f>
        <v>-40.1</v>
      </c>
      <c r="G656" s="5">
        <v>5.5</v>
      </c>
      <c r="H656" s="6">
        <f>ROUNDUP((B657*C657)/1000,1)</f>
        <v>7.8</v>
      </c>
      <c r="I656" s="34">
        <f t="shared" si="1030"/>
        <v>50</v>
      </c>
      <c r="J656" s="78">
        <f>IFERROR(VLOOKUP(C656,[2]Sheet1!$D:$J,7,0),"")</f>
        <v>33</v>
      </c>
      <c r="K656" s="80">
        <f t="shared" si="1031"/>
        <v>83</v>
      </c>
      <c r="L656" s="7">
        <f t="shared" si="1032"/>
        <v>42.9</v>
      </c>
      <c r="M656" s="8">
        <f t="shared" si="1033"/>
        <v>40.1</v>
      </c>
      <c r="N656" s="57">
        <f>IFERROR((K656/H656),"")</f>
        <v>10.641025641025641</v>
      </c>
      <c r="O656" s="9"/>
      <c r="P656" s="10">
        <v>4</v>
      </c>
      <c r="Q656" s="10">
        <v>6500</v>
      </c>
      <c r="R656" s="10">
        <f t="shared" si="1040"/>
        <v>0</v>
      </c>
      <c r="S656" s="41">
        <f t="shared" si="973"/>
        <v>5</v>
      </c>
      <c r="T656" s="173">
        <v>3</v>
      </c>
      <c r="V656" s="268">
        <v>2</v>
      </c>
      <c r="W656" s="190"/>
      <c r="X656" s="183"/>
      <c r="Y656" s="42"/>
      <c r="AA656" s="206">
        <f t="shared" si="974"/>
        <v>0.83571428571428563</v>
      </c>
    </row>
    <row r="657" spans="1:29" ht="15.75" customHeight="1" ns3:dyDescent="0.3">
      <c r="A657" s="273" t="s">
        <v>571</v>
      </c>
      <c r="B657" s="11">
        <f>ROUNDUP(HLOOKUP(A657,'야채 계산기'!$2:$3,2,0),0)</f>
        <v>810</v>
      </c>
      <c r="C657" s="91">
        <v>9.6199999999999992</v>
      </c>
      <c r="D657" s="166" t="str">
        <f t="shared" si="1039"/>
        <v/>
      </c>
      <c r="E657" s="4"/>
      <c r="F657" s="3"/>
      <c r="G657" s="5"/>
      <c r="H657" s="6"/>
      <c r="I657" s="34">
        <f t="shared" si="1030"/>
        <v>0</v>
      </c>
      <c r="J657" s="78" t="str">
        <f>IFERROR(VLOOKUP(C657,[2]Sheet1!$D:$J,7,0),"")</f>
        <v/>
      </c>
      <c r="K657" s="80" t="str">
        <f t="shared" si="1031"/>
        <v/>
      </c>
      <c r="L657" s="7">
        <f t="shared" si="1032"/>
        <v>0</v>
      </c>
      <c r="M657" s="8" t="str">
        <f t="shared" si="1033"/>
        <v/>
      </c>
      <c r="N657" s="57"/>
      <c r="O657" s="9"/>
      <c r="P657" s="10"/>
      <c r="Q657" s="10"/>
      <c r="R657" s="10"/>
      <c r="S657" s="41">
        <f t="shared" si="973"/>
        <v>0</v>
      </c>
      <c r="W657" s="190"/>
      <c r="Y657" s="42"/>
      <c r="AA657" s="206" t="str">
        <f t="shared" si="974"/>
        <v/>
      </c>
    </row>
    <row r="658" spans="1:29" ns3:dyDescent="0.3">
      <c r="A658" s="60"/>
      <c r="B658" s="11"/>
      <c r="C658" s="170"/>
      <c r="D658" s="166"/>
      <c r="E658" s="4"/>
      <c r="F658" s="3"/>
      <c r="G658" s="5"/>
      <c r="H658" s="6"/>
      <c r="I658" s="34">
        <f t="shared" si="1030"/>
        <v>0</v>
      </c>
      <c r="J658" s="78" t="str">
        <f>IFERROR(VLOOKUP(C658,[2]Sheet1!$D:$J,7,0),"")</f>
        <v/>
      </c>
      <c r="K658" s="80" t="str">
        <f t="shared" si="1031"/>
        <v/>
      </c>
      <c r="L658" s="7">
        <f t="shared" si="1032"/>
        <v>0</v>
      </c>
      <c r="M658" s="8" t="str">
        <f t="shared" si="1033"/>
        <v/>
      </c>
      <c r="N658" s="57"/>
      <c r="O658" s="9"/>
      <c r="P658" s="10"/>
      <c r="Q658" s="10"/>
      <c r="R658" s="10"/>
      <c r="S658" s="41">
        <f t="shared" si="973"/>
        <v>0</v>
      </c>
      <c r="W658" s="190"/>
      <c r="Y658" s="42"/>
      <c r="Z658" s="1"/>
      <c r="AA658" s="206" t="str">
        <f t="shared" si="974"/>
        <v/>
      </c>
      <c r="AB658" s="187"/>
      <c r="AC658" s="189"/>
    </row>
    <row r="659" spans="1:29" ns3:dyDescent="0.3">
      <c r="A659" s="2"/>
      <c r="B659" s="2"/>
      <c r="C659" s="164"/>
      <c r="D659" s="166" t="str">
        <f t="shared" si="1029"/>
        <v/>
      </c>
      <c r="E659" s="4"/>
      <c r="F659" s="17"/>
      <c r="G659" s="5"/>
      <c r="H659" s="6"/>
      <c r="I659" s="34">
        <f t="shared" si="1030"/>
        <v>0</v>
      </c>
      <c r="J659" s="78" t="str">
        <f>IFERROR(VLOOKUP(C659,[2]Sheet1!$D:$J,7,0),"")</f>
        <v/>
      </c>
      <c r="K659" s="80" t="str">
        <f t="shared" si="1031"/>
        <v/>
      </c>
      <c r="L659" s="7">
        <f t="shared" si="1032"/>
        <v>0</v>
      </c>
      <c r="M659" s="8" t="str">
        <f t="shared" si="1033"/>
        <v/>
      </c>
      <c r="N659" s="57"/>
      <c r="O659" s="9"/>
      <c r="P659" s="10"/>
      <c r="Q659" s="10"/>
      <c r="R659" s="10">
        <f t="shared" si="1034"/>
        <v>0</v>
      </c>
      <c r="S659" s="41">
        <f t="shared" si="973"/>
        <v>0</v>
      </c>
      <c r="W659" s="190"/>
      <c r="Y659" s="42"/>
      <c r="Z659" s="1"/>
      <c r="AA659" s="206" t="str">
        <f t="shared" si="974"/>
        <v/>
      </c>
    </row>
    <row r="660" spans="1:29" hidden="1" ns3:dyDescent="0.3">
      <c r="A660" s="213" t="s">
        <v>366</v>
      </c>
      <c r="B660" s="58" t="s">
        <v>213</v>
      </c>
      <c r="C660" s="196"/>
      <c r="D660" s="166" t="str">
        <f t="shared" ref="D660:D662" si="1041">IFERROR((F660/E660),"")</f>
        <v/>
      </c>
      <c r="E660" s="4"/>
      <c r="F660" s="3"/>
      <c r="G660" s="5"/>
      <c r="H660" s="6"/>
      <c r="I660" s="34">
        <f t="shared" ref="I660:I664" si="1042">IFERROR((S660*E660),"")</f>
        <v>0</v>
      </c>
      <c r="J660" s="78" t="str">
        <f>IFERROR(VLOOKUP(C660,[2]Sheet1!$D:$J,7,0),"")</f>
        <v/>
      </c>
      <c r="K660" s="80" t="str">
        <f t="shared" ref="K660:K662" si="1043">IFERROR((I660+J660),"")</f>
        <v/>
      </c>
      <c r="L660" s="7">
        <f t="shared" ref="L660:L664" si="1044">IFERROR((G660*H660),"")</f>
        <v>0</v>
      </c>
      <c r="M660" s="8" t="str">
        <f t="shared" ref="M660:M664" si="1045">IFERROR(K660-L660,"")</f>
        <v/>
      </c>
      <c r="N660" s="57" t="str">
        <f>IFERROR((K660/H660),"")</f>
        <v/>
      </c>
      <c r="O660" s="9"/>
      <c r="P660" s="10"/>
      <c r="Q660" s="10"/>
      <c r="R660" s="10">
        <f t="shared" ref="R660:R661" si="1046">O660*P660*Q660</f>
        <v>0</v>
      </c>
      <c r="S660" s="41">
        <f t="shared" si="973"/>
        <v>0</v>
      </c>
      <c r="W660" s="190"/>
      <c r="Y660" s="42"/>
      <c r="AA660" s="206" t="str">
        <f t="shared" si="974"/>
        <v/>
      </c>
      <c r="AB660" s="192"/>
    </row>
    <row r="661" spans="1:29" hidden="1" ns3:dyDescent="0.3">
      <c r="A661" s="60"/>
      <c r="B661" s="11"/>
      <c r="C661" s="275" t="s">
        <v>545</v>
      </c>
      <c r="D661" s="166" t="str">
        <f t="shared" si="1041"/>
        <v/>
      </c>
      <c r="E661" s="4">
        <v>10</v>
      </c>
      <c r="F661" s="3" t="str">
        <f>IFERROR((L661-K661),"")</f>
        <v/>
      </c>
      <c r="G661" s="5">
        <v>5</v>
      </c>
      <c r="H661" s="6" t="e">
        <f>ROUNDUP((B662*C662)/10,1)</f>
        <v>#N/A</v>
      </c>
      <c r="I661" s="34">
        <f t="shared" si="1042"/>
        <v>0</v>
      </c>
      <c r="J661" s="78" t="str">
        <f>IFERROR(VLOOKUP(C661,[2]Sheet1!$D:$J,7,0),"")</f>
        <v/>
      </c>
      <c r="K661" s="80" t="str">
        <f t="shared" si="1043"/>
        <v/>
      </c>
      <c r="L661" s="7" t="str">
        <f t="shared" si="1044"/>
        <v/>
      </c>
      <c r="M661" s="8" t="str">
        <f t="shared" si="1045"/>
        <v/>
      </c>
      <c r="N661" s="57" t="str">
        <f>IFERROR((K661/H661),"")</f>
        <v/>
      </c>
      <c r="O661" s="9"/>
      <c r="P661" s="10">
        <v>4</v>
      </c>
      <c r="Q661" s="10">
        <v>22000</v>
      </c>
      <c r="R661" s="10">
        <f t="shared" si="1046"/>
        <v>0</v>
      </c>
      <c r="S661" s="41">
        <f t="shared" si="973"/>
        <v>0</v>
      </c>
      <c r="T661" s="173"/>
      <c r="V661" s="183"/>
      <c r="W661" s="190"/>
      <c r="X661" s="183"/>
      <c r="Y661" s="42"/>
      <c r="AA661" s="206" t="str">
        <f t="shared" si="974"/>
        <v/>
      </c>
    </row>
    <row r="662" spans="1:29" ht="15.75" hidden="1" customHeight="1" ns3:dyDescent="0.3">
      <c r="A662" s="273" t="s">
        <v>542</v>
      </c>
      <c r="B662" s="11" t="e">
        <f>ROUNDUP(HLOOKUP(A662,'야채 계산기'!$2:$3,2,0),0)</f>
        <v>#N/A</v>
      </c>
      <c r="C662" s="91">
        <v>0.25</v>
      </c>
      <c r="D662" s="166" t="str">
        <f t="shared" si="1041"/>
        <v/>
      </c>
      <c r="E662" s="4"/>
      <c r="F662" s="3"/>
      <c r="G662" s="5"/>
      <c r="H662" s="6"/>
      <c r="I662" s="34">
        <f t="shared" si="1042"/>
        <v>0</v>
      </c>
      <c r="J662" s="78" t="str">
        <f>IFERROR(VLOOKUP(C662,[2]Sheet1!$D:$J,7,0),"")</f>
        <v/>
      </c>
      <c r="K662" s="80" t="str">
        <f t="shared" si="1043"/>
        <v/>
      </c>
      <c r="L662" s="7">
        <f t="shared" si="1044"/>
        <v>0</v>
      </c>
      <c r="M662" s="8" t="str">
        <f t="shared" si="1045"/>
        <v/>
      </c>
      <c r="N662" s="57"/>
      <c r="O662" s="9"/>
      <c r="P662" s="10"/>
      <c r="Q662" s="10"/>
      <c r="R662" s="10"/>
      <c r="S662" s="41">
        <f t="shared" si="973"/>
        <v>0</v>
      </c>
      <c r="W662" s="190"/>
      <c r="Y662" s="42"/>
      <c r="AA662" s="206" t="str">
        <f t="shared" si="974"/>
        <v/>
      </c>
    </row>
    <row r="663" spans="1:29" ns3:dyDescent="0.3">
      <c r="A663" s="60"/>
      <c r="B663" s="11"/>
      <c r="C663" s="170"/>
      <c r="D663" s="166"/>
      <c r="E663" s="4"/>
      <c r="F663" s="3"/>
      <c r="G663" s="5"/>
      <c r="H663" s="6"/>
      <c r="I663" s="34">
        <f t="shared" si="1042"/>
        <v>0</v>
      </c>
      <c r="J663" s="78" t="str">
        <f>IFERROR(VLOOKUP(C663,[2]Sheet1!$D:$J,7,0),"")</f>
        <v/>
      </c>
      <c r="K663" s="80" t="str">
        <f t="shared" ref="K663:K664" si="1047">IFERROR((I663+J663),"")</f>
        <v/>
      </c>
      <c r="L663" s="7">
        <f t="shared" si="1044"/>
        <v>0</v>
      </c>
      <c r="M663" s="8" t="str">
        <f t="shared" si="1045"/>
        <v/>
      </c>
      <c r="N663" s="57"/>
      <c r="O663" s="9"/>
      <c r="P663" s="10"/>
      <c r="Q663" s="10"/>
      <c r="R663" s="10"/>
      <c r="S663" s="41">
        <f t="shared" si="973"/>
        <v>0</v>
      </c>
      <c r="U663" s="1">
        <f t="shared" ref="U663:W663" si="1048">U661*242000</f>
        <v>0</v>
      </c>
      <c r="V663" s="1">
        <f t="shared" si="1048"/>
        <v>0</v>
      </c>
      <c r="W663" s="1">
        <f t="shared" si="1048"/>
        <v>0</v>
      </c>
      <c r="Y663" s="42"/>
      <c r="Z663" s="1"/>
      <c r="AA663" s="206" t="str">
        <f t="shared" si="974"/>
        <v/>
      </c>
      <c r="AB663" s="187"/>
      <c r="AC663" s="189"/>
    </row>
    <row r="664" spans="1:29" ns3:dyDescent="0.3">
      <c r="A664" s="60"/>
      <c r="B664" s="11"/>
      <c r="C664" s="170"/>
      <c r="D664" s="166"/>
      <c r="E664" s="4"/>
      <c r="F664" s="3"/>
      <c r="G664" s="5"/>
      <c r="H664" s="6"/>
      <c r="I664" s="34">
        <f t="shared" si="1042"/>
        <v>0</v>
      </c>
      <c r="J664" s="78" t="str">
        <f>IFERROR(VLOOKUP(C664,[2]Sheet1!$D:$J,7,0),"")</f>
        <v/>
      </c>
      <c r="K664" s="80" t="str">
        <f t="shared" si="1047"/>
        <v/>
      </c>
      <c r="L664" s="7">
        <f t="shared" si="1044"/>
        <v>0</v>
      </c>
      <c r="M664" s="8" t="str">
        <f t="shared" si="1045"/>
        <v/>
      </c>
      <c r="N664" s="57"/>
      <c r="O664" s="9"/>
      <c r="P664" s="10"/>
      <c r="Q664" s="10"/>
      <c r="R664" s="10"/>
      <c r="S664" s="41">
        <f t="shared" si="973"/>
        <v>0</v>
      </c>
      <c r="W664" s="190"/>
      <c r="Y664" s="42"/>
      <c r="Z664" s="1"/>
      <c r="AA664" s="206" t="str">
        <f t="shared" si="974"/>
        <v/>
      </c>
    </row>
    <row r="665" spans="1:29" ns3:dyDescent="0.3">
      <c r="A665" s="213" t="s">
        <v>370</v>
      </c>
      <c r="B665" s="58" t="s">
        <v>213</v>
      </c>
      <c r="C665" s="196"/>
      <c r="D665" s="166" t="str">
        <f>IFERROR((F665/E665),"")</f>
        <v/>
      </c>
      <c r="E665" s="4"/>
      <c r="F665" s="17"/>
      <c r="G665" s="5"/>
      <c r="H665" s="6"/>
      <c r="I665" s="34">
        <f>IFERROR((S665*E665),"")</f>
        <v>0</v>
      </c>
      <c r="J665" s="78" t="str">
        <f>IFERROR(VLOOKUP(C665,[2]Sheet1!$D:$J,7,0),"")</f>
        <v/>
      </c>
      <c r="K665" s="80" t="str">
        <f t="shared" ref="K665:K685" si="1049">IFERROR((I665+J665),"")</f>
        <v/>
      </c>
      <c r="L665" s="7">
        <f>IFERROR((G665*H665),"")</f>
        <v>0</v>
      </c>
      <c r="M665" s="8" t="str">
        <f>IFERROR(K665-L665,"")</f>
        <v/>
      </c>
      <c r="N665" s="57" t="str">
        <f>IFERROR((K665/H665),"")</f>
        <v/>
      </c>
      <c r="O665" s="9"/>
      <c r="P665" s="10"/>
      <c r="Q665" s="10"/>
      <c r="R665" s="10">
        <f>O665*P665*Q665</f>
        <v>0</v>
      </c>
      <c r="S665" s="41">
        <f t="shared" si="973"/>
        <v>0</v>
      </c>
      <c r="W665" s="190"/>
      <c r="Y665" s="42"/>
      <c r="Z665" s="1"/>
      <c r="AA665" s="206" t="str">
        <f t="shared" ref="AA665:AA715" si="1050">IFERROR(H665*7.5/E665/7,"")</f>
        <v/>
      </c>
    </row>
    <row r="666" spans="1:29" hidden="1" ns3:dyDescent="0.3">
      <c r="A666" s="11"/>
      <c r="B666" s="134"/>
      <c r="C666" s="62" t="s">
        <v>678</v>
      </c>
      <c r="D666" s="166" t="str">
        <f t="shared" ref="D666:D667" si="1051">IFERROR((F666/E666),"")</f>
        <v/>
      </c>
      <c r="E666" s="4">
        <v>10</v>
      </c>
      <c r="F666" s="3" t="str">
        <f>IFERROR((L666-K666),"")</f>
        <v/>
      </c>
      <c r="G666" s="5">
        <v>8.5</v>
      </c>
      <c r="H666" s="6" t="e">
        <f>ROUNDUP((B667*C667)/900,1)</f>
        <v>#N/A</v>
      </c>
      <c r="I666" s="34">
        <f t="shared" ref="I666:I667" si="1052">IFERROR((S666*E666),"")</f>
        <v>0</v>
      </c>
      <c r="J666" s="78" t="str">
        <f>IFERROR(VLOOKUP(C666,[2]Sheet1!$D:$J,7,0),"")</f>
        <v/>
      </c>
      <c r="K666" s="80" t="str">
        <f t="shared" si="1049"/>
        <v/>
      </c>
      <c r="L666" s="7" t="str">
        <f t="shared" ref="L666:L667" si="1053">IFERROR((G666*H666),"")</f>
        <v/>
      </c>
      <c r="M666" s="8" t="str">
        <f t="shared" ref="M666:M667" si="1054">IFERROR(K666-L666,"")</f>
        <v/>
      </c>
      <c r="N666" s="57" t="str">
        <f t="shared" ref="N666:N667" si="1055">IFERROR((K666/H666),"")</f>
        <v/>
      </c>
      <c r="O666" s="9"/>
      <c r="P666" s="10"/>
      <c r="Q666" s="10">
        <v>5600</v>
      </c>
      <c r="R666" s="10">
        <f t="shared" ref="R666:R667" si="1056">O666*P666*Q666</f>
        <v>0</v>
      </c>
      <c r="S666" s="41">
        <f t="shared" si="973"/>
        <v>0</v>
      </c>
      <c r="T666" s="173"/>
      <c r="V666" s="173"/>
      <c r="W666" s="190"/>
      <c r="X666" s="173"/>
      <c r="Y666" s="42"/>
      <c r="Z666" s="1"/>
      <c r="AA666" s="206" t="str">
        <f t="shared" si="1050"/>
        <v/>
      </c>
    </row>
    <row r="667" spans="1:29" hidden="1" ns3:dyDescent="0.3">
      <c r="A667" s="273" t="s">
        <v>671</v>
      </c>
      <c r="B667" s="11" t="e">
        <f>ROUNDUP(HLOOKUP(A667,'야채 계산기'!$2:$3,2,0),0)</f>
        <v>#N/A</v>
      </c>
      <c r="C667" s="164">
        <f>'[1]이달의도시락9월(한가위편)(26.09.01)'!$B$8</f>
        <v>1.68</v>
      </c>
      <c r="D667" s="166" t="str">
        <f t="shared" si="1051"/>
        <v/>
      </c>
      <c r="E667" s="4"/>
      <c r="F667" s="3"/>
      <c r="G667" s="5"/>
      <c r="H667" s="6"/>
      <c r="I667" s="34">
        <f t="shared" si="1052"/>
        <v>0</v>
      </c>
      <c r="J667" s="78" t="str">
        <f>IFERROR(VLOOKUP(C667,[2]Sheet1!$D:$J,7,0),"")</f>
        <v/>
      </c>
      <c r="K667" s="80" t="str">
        <f t="shared" si="1049"/>
        <v/>
      </c>
      <c r="L667" s="7">
        <f t="shared" si="1053"/>
        <v>0</v>
      </c>
      <c r="M667" s="8" t="str">
        <f t="shared" si="1054"/>
        <v/>
      </c>
      <c r="N667" s="57" t="str">
        <f t="shared" si="1055"/>
        <v/>
      </c>
      <c r="O667" s="9"/>
      <c r="P667" s="10"/>
      <c r="Q667" s="10"/>
      <c r="R667" s="10">
        <f t="shared" si="1056"/>
        <v>0</v>
      </c>
      <c r="S667" s="41">
        <f t="shared" si="973"/>
        <v>0</v>
      </c>
      <c r="W667" s="190"/>
      <c r="Y667" s="42"/>
      <c r="Z667" s="1"/>
      <c r="AA667" s="206" t="str">
        <f t="shared" si="1050"/>
        <v/>
      </c>
    </row>
    <row r="668" spans="1:29" hidden="1" ns3:dyDescent="0.3">
      <c r="A668" s="11"/>
      <c r="B668" s="134" t="s">
        <v>183</v>
      </c>
      <c r="C668" s="262" t="s">
        <v>201</v>
      </c>
      <c r="D668" s="166" t="str">
        <f>IFERROR((F668/E668),"")</f>
        <v/>
      </c>
      <c r="E668" s="4">
        <v>5</v>
      </c>
      <c r="F668" s="3" t="str">
        <f>IFERROR((L668-K668),"")</f>
        <v/>
      </c>
      <c r="G668" s="5">
        <v>6</v>
      </c>
      <c r="H668" s="6" t="e">
        <f>ROUNDUP((B669*C669)/40,1)</f>
        <v>#N/A</v>
      </c>
      <c r="I668" s="34">
        <f>IFERROR((S668*E668),"")</f>
        <v>0</v>
      </c>
      <c r="J668" s="78">
        <f>IFERROR(VLOOKUP(C668,[2]Sheet1!$D:$J,7,0),"")</f>
        <v>0</v>
      </c>
      <c r="K668" s="80">
        <f>IFERROR((I668+J668),"")</f>
        <v>0</v>
      </c>
      <c r="L668" s="7" t="str">
        <f>IFERROR((G668*H668),"")</f>
        <v/>
      </c>
      <c r="M668" s="8" t="str">
        <f>IFERROR(K668-L668,"")</f>
        <v/>
      </c>
      <c r="N668" s="57" t="str">
        <f>IFERROR((K668/H668),"")</f>
        <v/>
      </c>
      <c r="O668" s="9"/>
      <c r="P668" s="10"/>
      <c r="Q668" s="10">
        <v>11080</v>
      </c>
      <c r="R668" s="10">
        <f>O668*P668*Q668</f>
        <v>0</v>
      </c>
      <c r="S668" s="41">
        <f>SUM(Y668,T668:X668)</f>
        <v>0</v>
      </c>
      <c r="T668" s="173"/>
      <c r="V668" s="173"/>
      <c r="W668" s="190"/>
      <c r="X668" s="183"/>
      <c r="Y668" s="42"/>
      <c r="Z668" s="1"/>
      <c r="AA668" s="206" t="str">
        <f>IFERROR(H668*7.5/E668/7,"")</f>
        <v/>
      </c>
    </row>
    <row r="669" spans="1:29" hidden="1" ns3:dyDescent="0.3">
      <c r="A669" s="273" t="s">
        <v>199</v>
      </c>
      <c r="B669" s="11" t="e">
        <f>ROUNDUP(HLOOKUP(A669,'야채 계산기'!$2:$3,2,0),0)</f>
        <v>#N/A</v>
      </c>
      <c r="C669" s="164">
        <v>1</v>
      </c>
      <c r="D669" s="166" t="str">
        <f>IFERROR((F669/E669),"")</f>
        <v/>
      </c>
      <c r="E669" s="4"/>
      <c r="F669" s="3"/>
      <c r="G669" s="5"/>
      <c r="H669" s="6"/>
      <c r="I669" s="34">
        <f>IFERROR((S669*E669),"")</f>
        <v>0</v>
      </c>
      <c r="J669" s="78" t="str">
        <f>IFERROR(VLOOKUP(C669,[2]Sheet1!$D:$J,7,0),"")</f>
        <v/>
      </c>
      <c r="K669" s="80" t="str">
        <f>IFERROR((I669+J669),"")</f>
        <v/>
      </c>
      <c r="L669" s="7">
        <f>IFERROR((G669*H669),"")</f>
        <v>0</v>
      </c>
      <c r="M669" s="8" t="str">
        <f>IFERROR(K669-L669,"")</f>
        <v/>
      </c>
      <c r="N669" s="57" t="str">
        <f>IFERROR((K669/H669),"")</f>
        <v/>
      </c>
      <c r="O669" s="9"/>
      <c r="P669" s="10"/>
      <c r="Q669" s="10"/>
      <c r="R669" s="10">
        <f>O669*P669*Q669</f>
        <v>0</v>
      </c>
      <c r="S669" s="41">
        <f>SUM(Y669,T669:X669)</f>
        <v>0</v>
      </c>
      <c r="W669" s="190"/>
      <c r="Y669" s="42"/>
      <c r="Z669" s="1"/>
      <c r="AA669" s="206" t="str">
        <f>IFERROR(H669*7.5/E669/7,"")</f>
        <v/>
      </c>
    </row>
    <row r="670" spans="1:29" hidden="1" ns3:dyDescent="0.3">
      <c r="A670" s="11"/>
      <c r="B670" s="11"/>
      <c r="C670" s="62" t="s">
        <v>688</v>
      </c>
      <c r="D670" s="166" t="str">
        <f>IFERROR((F670/E670),"")</f>
        <v/>
      </c>
      <c r="E670" s="4">
        <v>4</v>
      </c>
      <c r="F670" s="3" t="str">
        <f>IFERROR((L670-K670),"")</f>
        <v/>
      </c>
      <c r="G670" s="5">
        <f>G666</f>
        <v>8.5</v>
      </c>
      <c r="H670" s="6" t="e">
        <f>ROUNDUP((B671*C671)/2000,1)</f>
        <v>#N/A</v>
      </c>
      <c r="I670" s="34">
        <f>IFERROR((S670*E670),"")</f>
        <v>0</v>
      </c>
      <c r="J670" s="78" t="str">
        <f>IFERROR(VLOOKUP(C670,[2]Sheet1!$D:$J,7,0),"")</f>
        <v/>
      </c>
      <c r="K670" s="80" t="str">
        <f>IFERROR((I670+J670),"")</f>
        <v/>
      </c>
      <c r="L670" s="7" t="str">
        <f>IFERROR((G670*H670),"")</f>
        <v/>
      </c>
      <c r="M670" s="8" t="str">
        <f>IFERROR(K670-L670,"")</f>
        <v/>
      </c>
      <c r="N670" s="57" t="str">
        <f>IFERROR((K670/H670),"")</f>
        <v/>
      </c>
      <c r="O670" s="9"/>
      <c r="P670" s="10"/>
      <c r="Q670" s="10">
        <v>11040</v>
      </c>
      <c r="R670" s="10">
        <f>O670*P670*Q670</f>
        <v>0</v>
      </c>
      <c r="S670" s="41">
        <f>SUM(Y670,T670:X670)</f>
        <v>0</v>
      </c>
      <c r="T670" s="173"/>
      <c r="V670" s="173"/>
      <c r="W670" s="190"/>
      <c r="X670" s="173"/>
      <c r="Y670" s="42"/>
      <c r="Z670" s="1"/>
      <c r="AA670" s="206" t="str">
        <f>IFERROR(H670*7.5/E670/7,"")</f>
        <v/>
      </c>
    </row>
    <row r="671" spans="1:29" hidden="1" ns3:dyDescent="0.3">
      <c r="A671" s="273" t="s">
        <v>671</v>
      </c>
      <c r="B671" s="11" t="e">
        <f>ROUNDUP(HLOOKUP(A671,'야채 계산기'!$2:$3,2,0),0)</f>
        <v>#N/A</v>
      </c>
      <c r="C671" s="164">
        <v>24</v>
      </c>
      <c r="D671" s="166" t="str">
        <f>IFERROR((F671/E671),"")</f>
        <v/>
      </c>
      <c r="E671" s="4"/>
      <c r="F671" s="3"/>
      <c r="G671" s="5"/>
      <c r="H671" s="6"/>
      <c r="I671" s="34">
        <f>IFERROR((S671*E671),"")</f>
        <v>0</v>
      </c>
      <c r="J671" s="78" t="str">
        <f>IFERROR(VLOOKUP(C671,[2]Sheet1!$D:$J,7,0),"")</f>
        <v/>
      </c>
      <c r="K671" s="80" t="str">
        <f>IFERROR((I671+J671),"")</f>
        <v/>
      </c>
      <c r="L671" s="7">
        <f>IFERROR((G671*H671),"")</f>
        <v>0</v>
      </c>
      <c r="M671" s="8" t="str">
        <f>IFERROR(K671-L671,"")</f>
        <v/>
      </c>
      <c r="N671" s="57" t="str">
        <f>IFERROR((K671/H671),"")</f>
        <v/>
      </c>
      <c r="O671" s="9"/>
      <c r="P671" s="10"/>
      <c r="Q671" s="10"/>
      <c r="R671" s="10">
        <f>O671*P671*Q671</f>
        <v>0</v>
      </c>
      <c r="S671" s="41">
        <f>SUM(Y671,T671:X671)</f>
        <v>0</v>
      </c>
      <c r="W671" s="190"/>
      <c r="Y671" s="42"/>
      <c r="Z671" s="1"/>
      <c r="AA671" s="206" t="str">
        <f>IFERROR(H671*7.5/E671/7,"")</f>
        <v/>
      </c>
    </row>
    <row r="672" spans="1:29" hidden="1" ns3:dyDescent="0.3">
      <c r="A672" s="11"/>
      <c r="B672" s="11"/>
      <c r="C672" s="62" t="s">
        <v>679</v>
      </c>
      <c r="D672" s="166" t="str">
        <f t="shared" ref="D672:D673" si="1057">IFERROR((F672/E672),"")</f>
        <v/>
      </c>
      <c r="E672" s="4">
        <v>2</v>
      </c>
      <c r="F672" s="3" t="str">
        <f>IFERROR((L672-K672),"")</f>
        <v/>
      </c>
      <c r="G672" s="5">
        <f>G666</f>
        <v>8.5</v>
      </c>
      <c r="H672" s="6" t="e">
        <f>ROUNDUP((B673*C673)/4000,1)</f>
        <v>#N/A</v>
      </c>
      <c r="I672" s="34">
        <f t="shared" ref="I672:I673" si="1058">IFERROR((S672*E672),"")</f>
        <v>0</v>
      </c>
      <c r="J672" s="78" t="str">
        <f>IFERROR(VLOOKUP(C672,[2]Sheet1!$D:$J,7,0),"")</f>
        <v/>
      </c>
      <c r="K672" s="80" t="str">
        <f t="shared" ref="K672:K673" si="1059">IFERROR((I672+J672),"")</f>
        <v/>
      </c>
      <c r="L672" s="7" t="str">
        <f t="shared" ref="L672:L673" si="1060">IFERROR((G672*H672),"")</f>
        <v/>
      </c>
      <c r="M672" s="8" t="str">
        <f t="shared" ref="M672:M673" si="1061">IFERROR(K672-L672,"")</f>
        <v/>
      </c>
      <c r="N672" s="57" t="str">
        <f t="shared" ref="N672:N673" si="1062">IFERROR((K672/H672),"")</f>
        <v/>
      </c>
      <c r="O672" s="9"/>
      <c r="P672" s="10"/>
      <c r="Q672" s="10">
        <v>25600</v>
      </c>
      <c r="R672" s="10">
        <f t="shared" ref="R672:R673" si="1063">O672*P672*Q672</f>
        <v>0</v>
      </c>
      <c r="S672" s="41">
        <f t="shared" ref="S672:S673" si="1064">SUM(Y672,T672:X672)</f>
        <v>0</v>
      </c>
      <c r="T672" s="173"/>
      <c r="V672" s="173"/>
      <c r="W672" s="190"/>
      <c r="X672" s="173"/>
      <c r="Y672" s="42"/>
      <c r="Z672" s="1"/>
      <c r="AA672" s="206" t="str">
        <f>IFERROR(H672*7.5/E672/7,"")</f>
        <v/>
      </c>
    </row>
    <row r="673" spans="1:27" hidden="1" ns3:dyDescent="0.3">
      <c r="A673" s="273" t="s">
        <v>671</v>
      </c>
      <c r="B673" s="11" t="e">
        <f>ROUNDUP(HLOOKUP(A673,'야채 계산기'!$2:$3,2,0),0)</f>
        <v>#N/A</v>
      </c>
      <c r="C673" s="164">
        <f>'[1]이달의도시락9월(한가위편)(26.09.01)'!$B$36</f>
        <v>64.75</v>
      </c>
      <c r="D673" s="166" t="str">
        <f t="shared" si="1057"/>
        <v/>
      </c>
      <c r="E673" s="4"/>
      <c r="F673" s="3"/>
      <c r="G673" s="5"/>
      <c r="H673" s="6"/>
      <c r="I673" s="34">
        <f t="shared" si="1058"/>
        <v>0</v>
      </c>
      <c r="J673" s="78" t="str">
        <f>IFERROR(VLOOKUP(C673,[2]Sheet1!$D:$J,7,0),"")</f>
        <v/>
      </c>
      <c r="K673" s="80" t="str">
        <f t="shared" si="1059"/>
        <v/>
      </c>
      <c r="L673" s="7">
        <f t="shared" si="1060"/>
        <v>0</v>
      </c>
      <c r="M673" s="8" t="str">
        <f t="shared" si="1061"/>
        <v/>
      </c>
      <c r="N673" s="57" t="str">
        <f t="shared" si="1062"/>
        <v/>
      </c>
      <c r="O673" s="9"/>
      <c r="P673" s="10"/>
      <c r="Q673" s="10"/>
      <c r="R673" s="10">
        <f t="shared" si="1063"/>
        <v>0</v>
      </c>
      <c r="S673" s="41">
        <f t="shared" si="1064"/>
        <v>0</v>
      </c>
      <c r="W673" s="190"/>
      <c r="Y673" s="42"/>
      <c r="Z673" s="1"/>
      <c r="AA673" s="206" t="str">
        <f t="shared" ref="AA673" si="1065">IFERROR(H673*7.5/E673/7,"")</f>
        <v/>
      </c>
    </row>
    <row r="674" spans="1:27" ns3:dyDescent="0.3">
      <c r="A674" s="11"/>
      <c r="B674" s="134" t="s">
        <v>183</v>
      </c>
      <c r="C674" s="164" t="s">
        <v>442</v>
      </c>
      <c r="D674" s="166">
        <f t="shared" ref="D674:D678" si="1066">IFERROR((F674/E674),"")</f>
        <v>-19.949999999999989</v>
      </c>
      <c r="E674" s="4">
        <v>2</v>
      </c>
      <c r="F674" s="3">
        <f>IFERROR((L674-K674),"")</f>
        <v>-39.899999999999977</v>
      </c>
      <c r="G674" s="5">
        <v>5.5</v>
      </c>
      <c r="H674" s="6">
        <f>ROUNDUP(SUMPRODUCT(B675:B678,C675:C678)/5000,1)</f>
        <v>22.200000000000003</v>
      </c>
      <c r="I674" s="34">
        <f t="shared" ref="I674:I678" si="1067">IFERROR((S674*E674),"")</f>
        <v>84</v>
      </c>
      <c r="J674" s="78">
        <f>IFERROR(VLOOKUP(C674,[2]Sheet1!$D:$J,7,0),"")</f>
        <v>78</v>
      </c>
      <c r="K674" s="80">
        <f t="shared" ref="K674:K678" si="1068">IFERROR((I674+J674),"")</f>
        <v>162</v>
      </c>
      <c r="L674" s="7">
        <f t="shared" ref="L674:L678" si="1069">IFERROR((G674*H674),"")</f>
        <v>122.10000000000002</v>
      </c>
      <c r="M674" s="8">
        <f t="shared" ref="M674:M678" si="1070">IFERROR(K674-L674,"")</f>
        <v>39.899999999999977</v>
      </c>
      <c r="N674" s="57">
        <f t="shared" ref="N674:N678" si="1071">IFERROR((K674/H674),"")</f>
        <v>7.2972972972972965</v>
      </c>
      <c r="O674" s="9"/>
      <c r="P674" s="10"/>
      <c r="Q674" s="10">
        <v>18716</v>
      </c>
      <c r="R674" s="10">
        <f t="shared" ref="R674:R678" si="1072">O674*P674*Q674</f>
        <v>0</v>
      </c>
      <c r="S674" s="41">
        <f t="shared" si="973"/>
        <v>42</v>
      </c>
      <c r="T674" s="173">
        <v>26</v>
      </c>
      <c r="V674" s="173">
        <v>16</v>
      </c>
      <c r="W674" s="190"/>
      <c r="X674" s="183"/>
      <c r="Y674" s="42"/>
      <c r="Z674" s="1"/>
      <c r="AA674" s="206">
        <f t="shared" si="1050"/>
        <v>11.892857142857144</v>
      </c>
    </row>
    <row r="675" spans="1:27" ns3:dyDescent="0.3">
      <c r="A675" s="61" t="s">
        <v>757</v>
      </c>
      <c r="B675" s="11">
        <f>ROUNDUP(HLOOKUP(A675,'야채 계산기'!$2:$3,2,0)*1.03,0)</f>
        <v>2266</v>
      </c>
      <c r="C675" s="164">
        <f>'[1]혜자)돌아온 명불허전(25.8.12)'!$B$16</f>
        <v>14.61</v>
      </c>
      <c r="D675" s="166" t="str">
        <f t="shared" si="1066"/>
        <v/>
      </c>
      <c r="E675" s="4"/>
      <c r="F675" s="3"/>
      <c r="G675" s="5"/>
      <c r="H675" s="6"/>
      <c r="I675" s="34">
        <f t="shared" si="1067"/>
        <v>0</v>
      </c>
      <c r="J675" s="78" t="str">
        <f>IFERROR(VLOOKUP(C675,[2]Sheet1!$D:$J,7,0),"")</f>
        <v/>
      </c>
      <c r="K675" s="80" t="str">
        <f t="shared" si="1068"/>
        <v/>
      </c>
      <c r="L675" s="7">
        <f t="shared" si="1069"/>
        <v>0</v>
      </c>
      <c r="M675" s="8" t="str">
        <f t="shared" si="1070"/>
        <v/>
      </c>
      <c r="N675" s="57" t="str">
        <f t="shared" si="1071"/>
        <v/>
      </c>
      <c r="O675" s="9"/>
      <c r="P675" s="10"/>
      <c r="Q675" s="10"/>
      <c r="R675" s="10">
        <f t="shared" si="1072"/>
        <v>0</v>
      </c>
      <c r="S675" s="41">
        <f t="shared" si="973"/>
        <v>0</v>
      </c>
      <c r="W675" s="190"/>
      <c r="Y675" s="42"/>
      <c r="AA675" s="206" t="str">
        <f t="shared" si="1050"/>
        <v/>
      </c>
    </row>
    <row r="676" spans="1:27" ns3:dyDescent="0.3">
      <c r="A676" s="61" t="s">
        <v>734</v>
      </c>
      <c r="B676" s="11">
        <f>ROUNDUP(HLOOKUP(A676,'야채 계산기'!$2:$3,2,0)*1.03,0)</f>
        <v>2081</v>
      </c>
      <c r="C676" s="164">
        <v>14.42</v>
      </c>
      <c r="D676" s="166" t="str">
        <f t="shared" ref="D676:D677" si="1073">IFERROR((F676/E676),"")</f>
        <v/>
      </c>
      <c r="E676" s="4"/>
      <c r="F676" s="3"/>
      <c r="G676" s="5"/>
      <c r="H676" s="6"/>
      <c r="I676" s="34">
        <f t="shared" ref="I676:I677" si="1074">IFERROR((S676*E676),"")</f>
        <v>0</v>
      </c>
      <c r="J676" s="78" t="str">
        <f>IFERROR(VLOOKUP(C676,[2]Sheet1!$D:$J,7,0),"")</f>
        <v/>
      </c>
      <c r="K676" s="80" t="str">
        <f t="shared" ref="K676:K677" si="1075">IFERROR((I676+J676),"")</f>
        <v/>
      </c>
      <c r="L676" s="7">
        <f t="shared" ref="L676:L677" si="1076">IFERROR((G676*H676),"")</f>
        <v>0</v>
      </c>
      <c r="M676" s="8" t="str">
        <f t="shared" ref="M676:M677" si="1077">IFERROR(K676-L676,"")</f>
        <v/>
      </c>
      <c r="N676" s="57" t="str">
        <f t="shared" ref="N676:N677" si="1078">IFERROR((K676/H676),"")</f>
        <v/>
      </c>
      <c r="O676" s="9"/>
      <c r="P676" s="10"/>
      <c r="Q676" s="10"/>
      <c r="R676" s="10">
        <f t="shared" ref="R676:R677" si="1079">O676*P676*Q676</f>
        <v>0</v>
      </c>
      <c r="S676" s="41">
        <f t="shared" ref="S676:S677" si="1080">SUM(Y676,T676:X676)</f>
        <v>0</v>
      </c>
      <c r="W676" s="190"/>
      <c r="Y676" s="42"/>
      <c r="AA676" s="206" t="str">
        <f t="shared" ref="AA676:AA677" si="1081">IFERROR(H676*7.5/E676/7,"")</f>
        <v/>
      </c>
    </row>
    <row r="677" spans="1:27" ns3:dyDescent="0.3">
      <c r="A677" s="61" t="s">
        <v>624</v>
      </c>
      <c r="B677" s="11">
        <f>ROUNDUP(HLOOKUP(A677,'야채 계산기'!$2:$3,2,0)*1.03,0)</f>
        <v>1206</v>
      </c>
      <c r="C677" s="164">
        <v>19.010000000000002</v>
      </c>
      <c r="D677" s="166" t="str">
        <f t="shared" si="1073"/>
        <v/>
      </c>
      <c r="E677" s="4"/>
      <c r="F677" s="3"/>
      <c r="G677" s="5"/>
      <c r="H677" s="6"/>
      <c r="I677" s="34">
        <f t="shared" si="1074"/>
        <v>0</v>
      </c>
      <c r="J677" s="78" t="str">
        <f>IFERROR(VLOOKUP(C677,[2]Sheet1!$D:$J,7,0),"")</f>
        <v/>
      </c>
      <c r="K677" s="80" t="str">
        <f t="shared" si="1075"/>
        <v/>
      </c>
      <c r="L677" s="7">
        <f t="shared" si="1076"/>
        <v>0</v>
      </c>
      <c r="M677" s="8" t="str">
        <f t="shared" si="1077"/>
        <v/>
      </c>
      <c r="N677" s="57" t="str">
        <f t="shared" si="1078"/>
        <v/>
      </c>
      <c r="O677" s="9"/>
      <c r="P677" s="10"/>
      <c r="Q677" s="10"/>
      <c r="R677" s="10">
        <f t="shared" si="1079"/>
        <v>0</v>
      </c>
      <c r="S677" s="41">
        <f t="shared" si="1080"/>
        <v>0</v>
      </c>
      <c r="W677" s="190"/>
      <c r="Y677" s="42"/>
      <c r="AA677" s="206" t="str">
        <f t="shared" si="1081"/>
        <v/>
      </c>
    </row>
    <row r="678" spans="1:27" ns3:dyDescent="0.3">
      <c r="A678" s="61" t="s">
        <v>712</v>
      </c>
      <c r="B678" s="11">
        <f>ROUNDUP(HLOOKUP(A678,'야채 계산기'!$2:$3,2,0)*1.03,0)</f>
        <v>1731</v>
      </c>
      <c r="C678" s="164">
        <v>14.26</v>
      </c>
      <c r="D678" s="166" t="str">
        <f t="shared" si="1066"/>
        <v/>
      </c>
      <c r="E678" s="4"/>
      <c r="F678" s="3"/>
      <c r="G678" s="5"/>
      <c r="H678" s="6"/>
      <c r="I678" s="34">
        <f t="shared" si="1067"/>
        <v>0</v>
      </c>
      <c r="J678" s="78" t="str">
        <f>IFERROR(VLOOKUP(C678,[2]Sheet1!$D:$J,7,0),"")</f>
        <v/>
      </c>
      <c r="K678" s="80" t="str">
        <f t="shared" si="1068"/>
        <v/>
      </c>
      <c r="L678" s="7">
        <f t="shared" si="1069"/>
        <v>0</v>
      </c>
      <c r="M678" s="8" t="str">
        <f t="shared" si="1070"/>
        <v/>
      </c>
      <c r="N678" s="57" t="str">
        <f t="shared" si="1071"/>
        <v/>
      </c>
      <c r="O678" s="9"/>
      <c r="P678" s="10"/>
      <c r="Q678" s="10"/>
      <c r="R678" s="10">
        <f t="shared" si="1072"/>
        <v>0</v>
      </c>
      <c r="S678" s="41">
        <f t="shared" si="973"/>
        <v>0</v>
      </c>
      <c r="W678" s="190"/>
      <c r="Y678" s="42"/>
      <c r="AA678" s="206" t="str">
        <f t="shared" si="1050"/>
        <v/>
      </c>
    </row>
    <row r="679" spans="1:27" hidden="1" ns3:dyDescent="0.3">
      <c r="A679" s="11"/>
      <c r="B679" s="11"/>
      <c r="C679" s="62" t="s">
        <v>689</v>
      </c>
      <c r="D679" s="166" t="str">
        <f t="shared" ref="D679:D682" si="1082">IFERROR((F679/E679),"")</f>
        <v/>
      </c>
      <c r="E679" s="4">
        <v>4</v>
      </c>
      <c r="F679" s="3" t="str">
        <f>IFERROR((L679-K679),"")</f>
        <v/>
      </c>
      <c r="G679" s="5">
        <f>G666</f>
        <v>8.5</v>
      </c>
      <c r="H679" s="6" t="e">
        <f>ROUNDUP((B680*C680)/2000,1)</f>
        <v>#N/A</v>
      </c>
      <c r="I679" s="34">
        <f t="shared" ref="I679:I682" si="1083">IFERROR((S679*E679),"")</f>
        <v>0</v>
      </c>
      <c r="J679" s="78" t="str">
        <f>IFERROR(VLOOKUP(C679,[2]Sheet1!$D:$J,7,0),"")</f>
        <v/>
      </c>
      <c r="K679" s="80" t="str">
        <f t="shared" ref="K679:K682" si="1084">IFERROR((I679+J679),"")</f>
        <v/>
      </c>
      <c r="L679" s="7" t="str">
        <f t="shared" ref="L679:L682" si="1085">IFERROR((G679*H679),"")</f>
        <v/>
      </c>
      <c r="M679" s="8" t="str">
        <f t="shared" ref="M679:M682" si="1086">IFERROR(K679-L679,"")</f>
        <v/>
      </c>
      <c r="N679" s="57" t="str">
        <f t="shared" ref="N679:N682" si="1087">IFERROR((K679/H679),"")</f>
        <v/>
      </c>
      <c r="O679" s="9"/>
      <c r="P679" s="10"/>
      <c r="Q679" s="10">
        <v>11040</v>
      </c>
      <c r="R679" s="10">
        <f t="shared" ref="R679:R682" si="1088">O679*P679*Q679</f>
        <v>0</v>
      </c>
      <c r="S679" s="41">
        <f t="shared" ref="S679:S682" si="1089">SUM(Y679,T679:X679)</f>
        <v>0</v>
      </c>
      <c r="T679" s="173"/>
      <c r="V679" s="173"/>
      <c r="W679" s="190"/>
      <c r="X679" s="173"/>
      <c r="Y679" s="42"/>
      <c r="Z679" s="1"/>
      <c r="AA679" s="206" t="str">
        <f t="shared" ref="AA679:AA682" si="1090">IFERROR(H679*7.5/E679/7,"")</f>
        <v/>
      </c>
    </row>
    <row r="680" spans="1:27" hidden="1" ns3:dyDescent="0.3">
      <c r="A680" s="273" t="s">
        <v>671</v>
      </c>
      <c r="B680" s="11" t="e">
        <f>ROUNDUP(HLOOKUP(A680,'야채 계산기'!$2:$3,2,0),0)</f>
        <v>#N/A</v>
      </c>
      <c r="C680" s="164">
        <v>24</v>
      </c>
      <c r="D680" s="166" t="str">
        <f t="shared" si="1082"/>
        <v/>
      </c>
      <c r="E680" s="4"/>
      <c r="F680" s="3"/>
      <c r="G680" s="5"/>
      <c r="H680" s="6"/>
      <c r="I680" s="34">
        <f t="shared" si="1083"/>
        <v>0</v>
      </c>
      <c r="J680" s="78" t="str">
        <f>IFERROR(VLOOKUP(C680,[2]Sheet1!$D:$J,7,0),"")</f>
        <v/>
      </c>
      <c r="K680" s="80" t="str">
        <f t="shared" si="1084"/>
        <v/>
      </c>
      <c r="L680" s="7">
        <f t="shared" si="1085"/>
        <v>0</v>
      </c>
      <c r="M680" s="8" t="str">
        <f t="shared" si="1086"/>
        <v/>
      </c>
      <c r="N680" s="57" t="str">
        <f t="shared" si="1087"/>
        <v/>
      </c>
      <c r="O680" s="9"/>
      <c r="P680" s="10"/>
      <c r="Q680" s="10"/>
      <c r="R680" s="10">
        <f t="shared" si="1088"/>
        <v>0</v>
      </c>
      <c r="S680" s="41">
        <f t="shared" si="1089"/>
        <v>0</v>
      </c>
      <c r="W680" s="190"/>
      <c r="Y680" s="42"/>
      <c r="Z680" s="1"/>
      <c r="AA680" s="206" t="str">
        <f t="shared" si="1090"/>
        <v/>
      </c>
    </row>
    <row r="681" spans="1:27" ns3:dyDescent="0.3">
      <c r="A681" s="11"/>
      <c r="B681" s="134" t="s">
        <v>183</v>
      </c>
      <c r="C681" s="164" t="s">
        <v>864</v>
      </c>
      <c r="D681" s="166">
        <f t="shared" si="1082"/>
        <v>0.85000000000000053</v>
      </c>
      <c r="E681" s="4">
        <v>2</v>
      </c>
      <c r="F681" s="3">
        <f>IFERROR((L681-K681),"")</f>
        <v>1.7000000000000011</v>
      </c>
      <c r="G681" s="5">
        <f>G674</f>
        <v>5.5</v>
      </c>
      <c r="H681" s="6">
        <f>ROUNDUP(SUMPRODUCT(B682:B682,C682:C682)/5000,1)</f>
        <v>1.4000000000000001</v>
      </c>
      <c r="I681" s="34">
        <f t="shared" si="1083"/>
        <v>0</v>
      </c>
      <c r="J681" s="78">
        <f>IFERROR(VLOOKUP(C681,[2]Sheet1!$D:$J,7,0),"")</f>
        <v>6</v>
      </c>
      <c r="K681" s="80">
        <f t="shared" si="1084"/>
        <v>6</v>
      </c>
      <c r="L681" s="7">
        <f t="shared" si="1085"/>
        <v>7.7000000000000011</v>
      </c>
      <c r="M681" s="8">
        <f t="shared" si="1086"/>
        <v>-1.7000000000000011</v>
      </c>
      <c r="N681" s="57">
        <f t="shared" si="1087"/>
        <v>4.2857142857142856</v>
      </c>
      <c r="O681" s="9"/>
      <c r="P681" s="10"/>
      <c r="Q681" s="10">
        <v>17600</v>
      </c>
      <c r="R681" s="10">
        <f t="shared" si="1088"/>
        <v>0</v>
      </c>
      <c r="S681" s="41">
        <f t="shared" si="1089"/>
        <v>0</v>
      </c>
      <c r="T681" s="173"/>
      <c r="V681" s="173"/>
      <c r="W681" s="190"/>
      <c r="X681" s="183"/>
      <c r="Y681" s="42"/>
      <c r="Z681" s="1"/>
      <c r="AA681" s="206">
        <f t="shared" si="1090"/>
        <v>0.75000000000000011</v>
      </c>
    </row>
    <row r="682" spans="1:27" ns3:dyDescent="0.3">
      <c r="A682" s="61" t="s">
        <v>860</v>
      </c>
      <c r="B682" s="11">
        <f>ROUNDUP(HLOOKUP(A682,'야채 계산기'!$2:$3,2,0)*1.03,0)</f>
        <v>567</v>
      </c>
      <c r="C682" s="164">
        <v>11.5</v>
      </c>
      <c r="D682" s="166" t="str">
        <f t="shared" si="1082"/>
        <v/>
      </c>
      <c r="E682" s="4"/>
      <c r="F682" s="3"/>
      <c r="G682" s="5"/>
      <c r="H682" s="6"/>
      <c r="I682" s="34">
        <f t="shared" si="1083"/>
        <v>0</v>
      </c>
      <c r="J682" s="78" t="str">
        <f>IFERROR(VLOOKUP(C682,[2]Sheet1!$D:$J,7,0),"")</f>
        <v/>
      </c>
      <c r="K682" s="80" t="str">
        <f t="shared" si="1084"/>
        <v/>
      </c>
      <c r="L682" s="7">
        <f t="shared" si="1085"/>
        <v>0</v>
      </c>
      <c r="M682" s="8" t="str">
        <f t="shared" si="1086"/>
        <v/>
      </c>
      <c r="N682" s="57" t="str">
        <f t="shared" si="1087"/>
        <v/>
      </c>
      <c r="O682" s="9"/>
      <c r="P682" s="10"/>
      <c r="Q682" s="10"/>
      <c r="R682" s="10">
        <f t="shared" si="1088"/>
        <v>0</v>
      </c>
      <c r="S682" s="41">
        <f t="shared" si="1089"/>
        <v>0</v>
      </c>
      <c r="W682" s="190"/>
      <c r="Y682" s="42"/>
      <c r="AA682" s="206" t="str">
        <f t="shared" si="1090"/>
        <v/>
      </c>
    </row>
    <row r="683" spans="1:27" ht="15.75" customHeight="1" ns3:dyDescent="0.3">
      <c r="A683" s="61"/>
      <c r="B683" s="11"/>
      <c r="C683" s="164" t="s">
        <v>282</v>
      </c>
      <c r="D683" s="166">
        <f t="shared" ref="D683:D684" si="1091">IFERROR((F683/E683),"")</f>
        <v>-0.78333333333333321</v>
      </c>
      <c r="E683" s="4">
        <v>6</v>
      </c>
      <c r="F683" s="3">
        <f>IFERROR((L683-K683),"")</f>
        <v>-4.6999999999999993</v>
      </c>
      <c r="G683" s="5">
        <f>G674</f>
        <v>5.5</v>
      </c>
      <c r="H683" s="6">
        <f>ROUNDUP(SUMPRODUCT(B684:B685,C684:C685)/1000,1)</f>
        <v>2.6</v>
      </c>
      <c r="I683" s="34">
        <f t="shared" ref="I683:I690" si="1092">IFERROR((S683*E683),"")</f>
        <v>6</v>
      </c>
      <c r="J683" s="78">
        <f>IFERROR(VLOOKUP(C683,[2]Sheet1!$D:$J,7,0),"")</f>
        <v>13</v>
      </c>
      <c r="K683" s="80">
        <f t="shared" si="1049"/>
        <v>19</v>
      </c>
      <c r="L683" s="7">
        <f t="shared" ref="L683:L690" si="1093">IFERROR((G683*H683),"")</f>
        <v>14.3</v>
      </c>
      <c r="M683" s="8">
        <f t="shared" ref="M683:M690" si="1094">IFERROR(K683-L683,"")</f>
        <v>4.6999999999999993</v>
      </c>
      <c r="N683" s="57">
        <f t="shared" ref="N683" si="1095">IFERROR((K683/H683),"")</f>
        <v>7.3076923076923075</v>
      </c>
      <c r="O683" s="9"/>
      <c r="P683" s="10"/>
      <c r="Q683" s="10">
        <v>3900</v>
      </c>
      <c r="R683" s="10">
        <f t="shared" ref="R683" si="1096">O683*P683*Q683</f>
        <v>0</v>
      </c>
      <c r="S683" s="41">
        <f t="shared" si="973"/>
        <v>1</v>
      </c>
      <c r="T683" s="173">
        <v>1</v>
      </c>
      <c r="V683" s="173"/>
      <c r="W683" s="190"/>
      <c r="X683" s="183"/>
      <c r="Y683" s="42"/>
      <c r="Z683" s="1"/>
      <c r="AA683" s="206">
        <f t="shared" si="1050"/>
        <v>0.4642857142857143</v>
      </c>
    </row>
    <row r="684" spans="1:27" ns3:dyDescent="0.3">
      <c r="A684" s="61" t="s">
        <v>861</v>
      </c>
      <c r="B684" s="11">
        <f>ROUNDUP(HLOOKUP(A684,'야채 계산기'!$2:$3,2,0)*1.03,0)</f>
        <v>108</v>
      </c>
      <c r="C684" s="170">
        <f>'[1]슈퍼)착한1900핫도그-사라다(25.09.02)'!$B$8</f>
        <v>10.63</v>
      </c>
      <c r="D684" s="166" t="str">
        <f t="shared" si="1091"/>
        <v/>
      </c>
      <c r="E684" s="4"/>
      <c r="F684" s="3"/>
      <c r="G684" s="5"/>
      <c r="H684" s="6"/>
      <c r="I684" s="34">
        <f t="shared" si="1092"/>
        <v>0</v>
      </c>
      <c r="J684" s="78" t="str">
        <f>IFERROR(VLOOKUP(C684,[2]Sheet1!$D:$J,7,0),"")</f>
        <v/>
      </c>
      <c r="K684" s="80" t="str">
        <f t="shared" si="1049"/>
        <v/>
      </c>
      <c r="L684" s="7">
        <f t="shared" si="1093"/>
        <v>0</v>
      </c>
      <c r="M684" s="8" t="str">
        <f t="shared" si="1094"/>
        <v/>
      </c>
      <c r="N684" s="57"/>
      <c r="O684" s="9"/>
      <c r="P684" s="10"/>
      <c r="Q684" s="10"/>
      <c r="R684" s="10"/>
      <c r="S684" s="41">
        <f t="shared" si="973"/>
        <v>0</v>
      </c>
      <c r="W684" s="190"/>
      <c r="Y684" s="42"/>
      <c r="Z684" s="1"/>
      <c r="AA684" s="206" t="str">
        <f t="shared" si="1050"/>
        <v/>
      </c>
    </row>
    <row r="685" spans="1:27" ns3:dyDescent="0.3">
      <c r="A685" s="61" t="s">
        <v>836</v>
      </c>
      <c r="B685" s="11">
        <f>ROUNDUP(HLOOKUP(A685,'야채 계산기'!$2:$3,2,0)*1.03,0)</f>
        <v>133</v>
      </c>
      <c r="C685" s="170">
        <f>'[1]슈퍼)착한1900핫도그-오리지널(25.09.02)'!$B$6</f>
        <v>10.63</v>
      </c>
      <c r="D685" s="166"/>
      <c r="E685" s="4"/>
      <c r="F685" s="3"/>
      <c r="G685" s="5"/>
      <c r="H685" s="6"/>
      <c r="I685" s="34">
        <f t="shared" si="1092"/>
        <v>0</v>
      </c>
      <c r="J685" s="78" t="str">
        <f>IFERROR(VLOOKUP(C685,[2]Sheet1!$D:$J,7,0),"")</f>
        <v/>
      </c>
      <c r="K685" s="80" t="str">
        <f t="shared" si="1049"/>
        <v/>
      </c>
      <c r="L685" s="7">
        <f t="shared" si="1093"/>
        <v>0</v>
      </c>
      <c r="M685" s="8" t="str">
        <f t="shared" si="1094"/>
        <v/>
      </c>
      <c r="N685" s="57"/>
      <c r="O685" s="9"/>
      <c r="P685" s="10"/>
      <c r="Q685" s="10"/>
      <c r="R685" s="10"/>
      <c r="S685" s="41">
        <f t="shared" si="973"/>
        <v>0</v>
      </c>
      <c r="W685" s="190"/>
      <c r="Y685" s="42"/>
      <c r="Z685" s="1"/>
      <c r="AA685" s="206" t="str">
        <f t="shared" si="1050"/>
        <v/>
      </c>
    </row>
    <row r="686" spans="1:27" ns3:dyDescent="0.3">
      <c r="A686" s="61"/>
      <c r="B686" s="11"/>
      <c r="C686" s="62" t="s">
        <v>337</v>
      </c>
      <c r="D686" s="166">
        <f>IFERROR((F686/E686),"")</f>
        <v>7.7666666666666515</v>
      </c>
      <c r="E686" s="4">
        <v>3</v>
      </c>
      <c r="F686" s="3">
        <f>IFERROR((L686-K686),"")</f>
        <v>23.299999999999955</v>
      </c>
      <c r="G686" s="5">
        <f>G674</f>
        <v>5.5</v>
      </c>
      <c r="H686" s="39">
        <f>ROUNDUP(SUMPRODUCT(B687:B688,C687:C688)/3000,1)</f>
        <v>64.599999999999994</v>
      </c>
      <c r="I686" s="34">
        <f>IFERROR((S686*E686),"")</f>
        <v>330</v>
      </c>
      <c r="J686" s="78">
        <f>IFERROR(VLOOKUP(C686,[2]Sheet1!$D:$J,7,0),"")</f>
        <v>2</v>
      </c>
      <c r="K686" s="80">
        <f>IFERROR((I686+J686),"")</f>
        <v>332</v>
      </c>
      <c r="L686" s="7">
        <f>IFERROR((G686*H686),"")</f>
        <v>355.29999999999995</v>
      </c>
      <c r="M686" s="8">
        <f>IFERROR(K686-L686,"")</f>
        <v>-23.299999999999955</v>
      </c>
      <c r="N686" s="57">
        <f>IFERROR((K686/H686),"")</f>
        <v>5.1393188854489171</v>
      </c>
      <c r="O686" s="9"/>
      <c r="P686" s="10"/>
      <c r="Q686" s="10">
        <v>7800</v>
      </c>
      <c r="R686" s="10">
        <f>O686*P686*Q686</f>
        <v>0</v>
      </c>
      <c r="S686" s="41">
        <f t="shared" si="973"/>
        <v>110</v>
      </c>
      <c r="T686" s="173">
        <v>40</v>
      </c>
      <c r="U686" s="1">
        <v>20</v>
      </c>
      <c r="V686" s="173">
        <v>50</v>
      </c>
      <c r="W686" s="190"/>
      <c r="X686" s="173"/>
      <c r="Y686" s="42"/>
      <c r="Z686" s="1"/>
      <c r="AA686" s="206">
        <f t="shared" si="1050"/>
        <v>23.071428571428566</v>
      </c>
    </row>
    <row r="687" spans="1:27" ns3:dyDescent="0.3">
      <c r="A687" s="61" t="s">
        <v>850</v>
      </c>
      <c r="B687" s="11">
        <f>ROUNDUP(HLOOKUP(A687,'야채 계산기'!$2:$3,2,0)*1.03,0)</f>
        <v>1515</v>
      </c>
      <c r="C687" s="164">
        <v>102.3</v>
      </c>
      <c r="D687" s="166" t="str">
        <f>IFERROR((F687/E687),"")</f>
        <v/>
      </c>
      <c r="E687" s="4"/>
      <c r="F687" s="3"/>
      <c r="G687" s="5"/>
      <c r="H687" s="6"/>
      <c r="I687" s="34">
        <f>IFERROR((S687*E687),"")</f>
        <v>0</v>
      </c>
      <c r="J687" s="78" t="str">
        <f>IFERROR(VLOOKUP(C687,[2]Sheet1!$D:$J,7,0),"")</f>
        <v/>
      </c>
      <c r="K687" s="80" t="str">
        <f>IFERROR((I687+J687),"")</f>
        <v/>
      </c>
      <c r="L687" s="7">
        <f>IFERROR((G687*H687),"")</f>
        <v>0</v>
      </c>
      <c r="M687" s="8" t="str">
        <f>IFERROR(K687-L687,"")</f>
        <v/>
      </c>
      <c r="N687" s="57" t="str">
        <f>IFERROR((K687/H687),"")</f>
        <v/>
      </c>
      <c r="O687" s="9"/>
      <c r="P687" s="10"/>
      <c r="Q687" s="10"/>
      <c r="R687" s="10">
        <f>O687*P687*Q687</f>
        <v>0</v>
      </c>
      <c r="S687" s="41">
        <f t="shared" ref="S687" si="1097">SUM(Y687,T687:X687)</f>
        <v>0</v>
      </c>
      <c r="W687" s="190"/>
      <c r="Y687" s="42"/>
      <c r="Z687" s="1"/>
      <c r="AA687" s="206" t="str">
        <f t="shared" ref="AA687" si="1098">IFERROR(H687*7.5/E687/7,"")</f>
        <v/>
      </c>
    </row>
    <row r="688" spans="1:27" ns3:dyDescent="0.3">
      <c r="A688" s="61" t="s">
        <v>860</v>
      </c>
      <c r="B688" s="11">
        <f>ROUNDUP(HLOOKUP(A688,'야채 계산기'!$2:$3,2,0)*1.03,0)</f>
        <v>567</v>
      </c>
      <c r="C688" s="164">
        <v>68.2</v>
      </c>
      <c r="D688" s="166" t="str">
        <f>IFERROR((F688/E688),"")</f>
        <v/>
      </c>
      <c r="E688" s="4"/>
      <c r="F688" s="3"/>
      <c r="G688" s="5"/>
      <c r="H688" s="6">
        <v>4</v>
      </c>
      <c r="I688" s="34">
        <f>IFERROR((S688*E688),"")</f>
        <v>0</v>
      </c>
      <c r="J688" s="78" t="str">
        <f>IFERROR(VLOOKUP(C688,[2]Sheet1!$D:$J,7,0),"")</f>
        <v/>
      </c>
      <c r="K688" s="80" t="str">
        <f>IFERROR((I688+J688),"")</f>
        <v/>
      </c>
      <c r="L688" s="7">
        <f>IFERROR((G688*H688),"")</f>
        <v>0</v>
      </c>
      <c r="M688" s="8" t="str">
        <f>IFERROR(K688-L688,"")</f>
        <v/>
      </c>
      <c r="N688" s="57" t="str">
        <f>IFERROR((K688/H688),"")</f>
        <v/>
      </c>
      <c r="O688" s="9"/>
      <c r="P688" s="10"/>
      <c r="Q688" s="10"/>
      <c r="R688" s="10">
        <f>O688*P688*Q688</f>
        <v>0</v>
      </c>
      <c r="S688" s="41">
        <f t="shared" si="973"/>
        <v>0</v>
      </c>
      <c r="W688" s="190"/>
      <c r="Y688" s="42"/>
      <c r="Z688" s="1"/>
      <c r="AA688" s="206" t="str">
        <f t="shared" si="1050"/>
        <v/>
      </c>
    </row>
    <row r="689" spans="1:27" ht="15.75" customHeight="1" ns3:dyDescent="0.3">
      <c r="A689" s="61"/>
      <c r="B689" s="11" t="e">
        <f>ROUNDUP(HLOOKUP(A689,'야채 계산기'!$2:$3,2,0)*1.03,0)</f>
        <v>#N/A</v>
      </c>
      <c r="C689" s="182" t="s">
        <v>278</v>
      </c>
      <c r="D689" s="166" t="str">
        <f t="shared" ref="D689:D691" si="1099">IFERROR((F689/E689),"")</f>
        <v/>
      </c>
      <c r="E689" s="4">
        <v>3</v>
      </c>
      <c r="F689" s="3" t="str">
        <f>IFERROR((L689-K689),"")</f>
        <v/>
      </c>
      <c r="G689" s="5">
        <f>G683</f>
        <v>5.5</v>
      </c>
      <c r="H689" s="39">
        <f>ROUNDUP((B690*C690)/3000,1)</f>
        <v>0</v>
      </c>
      <c r="I689" s="34">
        <f t="shared" si="1092"/>
        <v>0</v>
      </c>
      <c r="J689" s="78" t="str">
        <f>IFERROR(VLOOKUP(C689,[2]Sheet1!$D:$J,7,0),"")</f>
        <v/>
      </c>
      <c r="K689" s="80" t="str">
        <f t="shared" ref="K689:K690" si="1100">IFERROR((I689+J689),"")</f>
        <v/>
      </c>
      <c r="L689" s="7">
        <f t="shared" si="1093"/>
        <v>0</v>
      </c>
      <c r="M689" s="8" t="str">
        <f t="shared" si="1094"/>
        <v/>
      </c>
      <c r="N689" s="57" t="str">
        <f t="shared" ref="N689:N690" si="1101">IFERROR((K689/H689),"")</f>
        <v/>
      </c>
      <c r="O689" s="9"/>
      <c r="P689" s="10"/>
      <c r="Q689" s="10">
        <v>7800</v>
      </c>
      <c r="R689" s="10">
        <f t="shared" ref="R689:R691" si="1102">O689*P689*Q689</f>
        <v>0</v>
      </c>
      <c r="S689" s="41">
        <f t="shared" si="973"/>
        <v>0</v>
      </c>
      <c r="W689" s="190"/>
      <c r="Y689" s="42"/>
      <c r="Z689" s="1"/>
      <c r="AA689" s="206">
        <f t="shared" si="1050"/>
        <v>0</v>
      </c>
    </row>
    <row r="690" spans="1:27" ns3:dyDescent="0.3">
      <c r="A690" s="61" t="s">
        <v>862</v>
      </c>
      <c r="B690" s="11">
        <f>ROUNDUP(HLOOKUP(A690,'야채 계산기'!$2:$3,2,0)*1.03,0)</f>
        <v>0</v>
      </c>
      <c r="C690" s="164">
        <v>167.33</v>
      </c>
      <c r="D690" s="166" t="str">
        <f t="shared" si="1099"/>
        <v/>
      </c>
      <c r="E690" s="4"/>
      <c r="F690" s="3"/>
      <c r="G690" s="5"/>
      <c r="H690" s="6"/>
      <c r="I690" s="34">
        <f t="shared" si="1092"/>
        <v>0</v>
      </c>
      <c r="J690" s="78" t="str">
        <f>IFERROR(VLOOKUP(C690,[2]Sheet1!$D:$J,7,0),"")</f>
        <v/>
      </c>
      <c r="K690" s="80" t="str">
        <f t="shared" si="1100"/>
        <v/>
      </c>
      <c r="L690" s="7">
        <f t="shared" si="1093"/>
        <v>0</v>
      </c>
      <c r="M690" s="8" t="str">
        <f t="shared" si="1094"/>
        <v/>
      </c>
      <c r="N690" s="57" t="str">
        <f t="shared" si="1101"/>
        <v/>
      </c>
      <c r="O690" s="9"/>
      <c r="P690" s="10"/>
      <c r="Q690" s="10"/>
      <c r="R690" s="10">
        <f t="shared" si="1102"/>
        <v>0</v>
      </c>
      <c r="S690" s="41">
        <f t="shared" si="973"/>
        <v>0</v>
      </c>
      <c r="W690" s="190"/>
      <c r="Y690" s="42"/>
      <c r="Z690" s="1"/>
      <c r="AA690" s="206" t="str">
        <f t="shared" si="1050"/>
        <v/>
      </c>
    </row>
    <row r="691" spans="1:27" ns3:dyDescent="0.3">
      <c r="A691" s="61"/>
      <c r="B691" s="11"/>
      <c r="C691" s="170" t="s">
        <v>927</v>
      </c>
      <c r="D691" s="166">
        <f t="shared" si="1099"/>
        <v>1.6750000000000007</v>
      </c>
      <c r="E691" s="4">
        <v>2</v>
      </c>
      <c r="F691" s="3">
        <f>IFERROR((L691-K691),"")</f>
        <v>3.3500000000000014</v>
      </c>
      <c r="G691" s="5">
        <f>G689</f>
        <v>5.5</v>
      </c>
      <c r="H691" s="39">
        <f>ROUNDUP(SUMPRODUCT(B692:B693,C692:C693)/5000,1)</f>
        <v>1.7000000000000002</v>
      </c>
      <c r="I691" s="34">
        <f t="shared" ref="I691:I719" si="1103">IFERROR((S691*E691),"")</f>
        <v>6</v>
      </c>
      <c r="J691" s="78">
        <f>IFERROR(VLOOKUP(C691,[2]Sheet1!$D:$J,7,0),"")</f>
        <v>0</v>
      </c>
      <c r="K691" s="80">
        <f t="shared" ref="K691:K719" si="1104">IFERROR((I691+J691),"")</f>
        <v>6</v>
      </c>
      <c r="L691" s="7">
        <f t="shared" ref="L691:L719" si="1105">IFERROR((G691*H691),"")</f>
        <v>9.3500000000000014</v>
      </c>
      <c r="M691" s="8">
        <f t="shared" ref="M691:M719" si="1106">IFERROR(K691-L691,"")</f>
        <v>-3.3500000000000014</v>
      </c>
      <c r="N691" s="57">
        <f t="shared" ref="N691:N693" si="1107">IFERROR((K691/H691),"")</f>
        <v>3.5294117647058818</v>
      </c>
      <c r="O691" s="9"/>
      <c r="P691" s="10"/>
      <c r="Q691" s="10">
        <v>33000</v>
      </c>
      <c r="R691" s="10">
        <f t="shared" si="1102"/>
        <v>0</v>
      </c>
      <c r="S691" s="41">
        <f t="shared" si="973"/>
        <v>3</v>
      </c>
      <c r="T691" s="173"/>
      <c r="U691" s="1">
        <v>1</v>
      </c>
      <c r="V691" s="173">
        <v>2</v>
      </c>
      <c r="W691" s="190"/>
      <c r="X691" s="183"/>
      <c r="Y691" s="42"/>
      <c r="Z691" s="1"/>
      <c r="AA691" s="206">
        <f t="shared" si="1050"/>
        <v>0.91071428571428581</v>
      </c>
    </row>
    <row r="692" spans="1:27" ns3:dyDescent="0.3">
      <c r="A692" s="61" t="s">
        <v>863</v>
      </c>
      <c r="B692" s="11">
        <f>ROUNDUP(HLOOKUP(A692,'야채 계산기'!$2:$3,2,0)*1.03,0)</f>
        <v>3729</v>
      </c>
      <c r="C692" s="144">
        <v>1.3</v>
      </c>
      <c r="D692" s="166"/>
      <c r="E692" s="4"/>
      <c r="F692" s="3"/>
      <c r="G692" s="5"/>
      <c r="H692" s="6"/>
      <c r="I692" s="34">
        <f t="shared" si="1103"/>
        <v>0</v>
      </c>
      <c r="J692" s="78" t="str">
        <f>IFERROR(VLOOKUP(C692,[2]Sheet1!$D:$J,7,0),"")</f>
        <v/>
      </c>
      <c r="K692" s="80" t="str">
        <f t="shared" si="1104"/>
        <v/>
      </c>
      <c r="L692" s="7">
        <f t="shared" si="1105"/>
        <v>0</v>
      </c>
      <c r="M692" s="8" t="str">
        <f t="shared" si="1106"/>
        <v/>
      </c>
      <c r="N692" s="57" t="str">
        <f t="shared" si="1107"/>
        <v/>
      </c>
      <c r="O692" s="9"/>
      <c r="P692" s="10"/>
      <c r="Q692" s="10"/>
      <c r="R692" s="10"/>
      <c r="S692" s="41">
        <f t="shared" si="973"/>
        <v>0</v>
      </c>
      <c r="W692" s="190"/>
      <c r="Y692" s="42"/>
      <c r="Z692" s="1"/>
      <c r="AA692" s="206" t="str">
        <f t="shared" si="1050"/>
        <v/>
      </c>
    </row>
    <row r="693" spans="1:27" ns3:dyDescent="0.3">
      <c r="A693" s="11" t="s">
        <v>491</v>
      </c>
      <c r="B693" s="11">
        <f>ROUNDUP(HLOOKUP(A693,'야채 계산기'!$2:$3,2,0)*1.03,0)</f>
        <v>4553</v>
      </c>
      <c r="C693" s="144">
        <v>0.78</v>
      </c>
      <c r="D693" s="166"/>
      <c r="E693" s="4"/>
      <c r="F693" s="3"/>
      <c r="G693" s="5"/>
      <c r="H693" s="6"/>
      <c r="I693" s="34">
        <f t="shared" si="1103"/>
        <v>0</v>
      </c>
      <c r="J693" s="78" t="str">
        <f>IFERROR(VLOOKUP(C693,[2]Sheet1!$D:$J,7,0),"")</f>
        <v/>
      </c>
      <c r="K693" s="80" t="str">
        <f t="shared" si="1104"/>
        <v/>
      </c>
      <c r="L693" s="7">
        <f t="shared" si="1105"/>
        <v>0</v>
      </c>
      <c r="M693" s="8" t="str">
        <f t="shared" si="1106"/>
        <v/>
      </c>
      <c r="N693" s="57" t="str">
        <f t="shared" si="1107"/>
        <v/>
      </c>
      <c r="O693" s="9"/>
      <c r="P693" s="10"/>
      <c r="Q693" s="10"/>
      <c r="R693" s="10"/>
      <c r="S693" s="41">
        <f t="shared" si="973"/>
        <v>0</v>
      </c>
      <c r="W693" s="190"/>
      <c r="Y693" s="42"/>
      <c r="Z693" s="1"/>
      <c r="AA693" s="206" t="str">
        <f t="shared" si="1050"/>
        <v/>
      </c>
    </row>
    <row r="694" spans="1:27" ns3:dyDescent="0.3">
      <c r="A694" s="11"/>
      <c r="B694" s="11"/>
      <c r="C694" s="62" t="s">
        <v>773</v>
      </c>
      <c r="D694" s="166">
        <f>IFERROR((F694/E694),"")</f>
        <v>-1.6666666666666667</v>
      </c>
      <c r="E694" s="4">
        <v>6</v>
      </c>
      <c r="F694" s="3">
        <f>IFERROR((L694-K694),"")</f>
        <v>-10</v>
      </c>
      <c r="G694" s="5">
        <f>G752</f>
        <v>0</v>
      </c>
      <c r="H694" s="6">
        <f>ROUNDUP(SUMPRODUCT(B695:B695,C695:C695)/1800,1)</f>
        <v>2.3000000000000003</v>
      </c>
      <c r="I694" s="34">
        <f>IFERROR((S694*E694),"")</f>
        <v>6</v>
      </c>
      <c r="J694" s="78">
        <f>IFERROR(VLOOKUP(C694,[2]Sheet1!$D:$J,7,0),"")</f>
        <v>4</v>
      </c>
      <c r="K694" s="80">
        <f>IFERROR((I694+J694),"")</f>
        <v>10</v>
      </c>
      <c r="L694" s="7">
        <f>IFERROR((G694*H694),"")</f>
        <v>0</v>
      </c>
      <c r="M694" s="8">
        <f>IFERROR(K694-L694,"")</f>
        <v>10</v>
      </c>
      <c r="N694" s="57">
        <f>IFERROR((K694/H694),"")</f>
        <v>4.3478260869565215</v>
      </c>
      <c r="O694" s="9"/>
      <c r="P694" s="10"/>
      <c r="Q694" s="10">
        <v>72864</v>
      </c>
      <c r="R694" s="10">
        <f>O694*P694*Q694</f>
        <v>0</v>
      </c>
      <c r="S694" s="41">
        <f>SUM(Y694,T694:X694)</f>
        <v>1</v>
      </c>
      <c r="T694" s="173"/>
      <c r="V694" s="173">
        <v>1</v>
      </c>
      <c r="W694" s="190"/>
      <c r="X694" s="183"/>
      <c r="Y694" s="42"/>
      <c r="Z694" s="1"/>
      <c r="AA694" s="206">
        <f>IFERROR(H694*7.5/E694/7,"")</f>
        <v>0.41071428571428575</v>
      </c>
    </row>
    <row r="695" spans="1:27" ns3:dyDescent="0.3">
      <c r="A695" s="60" t="s">
        <v>772</v>
      </c>
      <c r="B695" s="11">
        <f>ROUNDUP(HLOOKUP(A695,'야채 계산기'!$2:$3,2,0)*1.03,0)</f>
        <v>4553</v>
      </c>
      <c r="C695" s="170">
        <v>0.87</v>
      </c>
      <c r="D695" s="166"/>
      <c r="E695" s="4"/>
      <c r="F695" s="3" t="str">
        <f t="shared" ref="F695" si="1108">IFERROR((L695-K695),"")</f>
        <v/>
      </c>
      <c r="G695" s="5"/>
      <c r="H695" s="6"/>
      <c r="I695" s="34">
        <f>IFERROR((S695*E695),"")</f>
        <v>0</v>
      </c>
      <c r="J695" s="78" t="str">
        <f>IFERROR(VLOOKUP(C695,[2]Sheet1!$D:$J,7,0),"")</f>
        <v/>
      </c>
      <c r="K695" s="80" t="str">
        <f>IFERROR((I695+J695),"")</f>
        <v/>
      </c>
      <c r="L695" s="7">
        <f>IFERROR((G695*H695),"")</f>
        <v>0</v>
      </c>
      <c r="M695" s="8" t="str">
        <f>IFERROR(K695-L695,"")</f>
        <v/>
      </c>
      <c r="N695" s="57"/>
      <c r="O695" s="9"/>
      <c r="P695" s="10"/>
      <c r="Q695" s="10"/>
      <c r="R695" s="10"/>
      <c r="S695" s="41">
        <f>SUM(Y695,T695:X695)</f>
        <v>0</v>
      </c>
      <c r="W695" s="190"/>
      <c r="Y695" s="42"/>
      <c r="AA695" s="206" t="str">
        <f>IFERROR(H695*7.5/E695/7,"")</f>
        <v/>
      </c>
    </row>
    <row r="696" spans="1:27" ns3:dyDescent="0.3">
      <c r="A696" s="11"/>
      <c r="B696" s="134" t="s">
        <v>183</v>
      </c>
      <c r="C696" s="62" t="s">
        <v>228</v>
      </c>
      <c r="D696" s="166">
        <f t="shared" ref="D696:D700" si="1109">IFERROR((F696/E696),"")</f>
        <v>-1.8432500000000001</v>
      </c>
      <c r="E696" s="4">
        <v>2000</v>
      </c>
      <c r="F696" s="3">
        <f>IFERROR((L696-K696),"")</f>
        <v>-3686.5</v>
      </c>
      <c r="G696" s="5">
        <f>G691</f>
        <v>5.5</v>
      </c>
      <c r="H696" s="6">
        <f>ROUNDUP((B697*C697)/1,1)</f>
        <v>57</v>
      </c>
      <c r="I696" s="34">
        <f t="shared" si="1103"/>
        <v>2000</v>
      </c>
      <c r="J696" s="78">
        <f>IFERROR(VLOOKUP(C696,[2]Sheet1!$D:$J,7,0),"")</f>
        <v>2000</v>
      </c>
      <c r="K696" s="80">
        <f t="shared" si="1104"/>
        <v>4000</v>
      </c>
      <c r="L696" s="7">
        <f t="shared" si="1105"/>
        <v>313.5</v>
      </c>
      <c r="M696" s="8">
        <f t="shared" si="1106"/>
        <v>3686.5</v>
      </c>
      <c r="N696" s="57">
        <f>IFERROR((K696/H696),"")</f>
        <v>70.175438596491233</v>
      </c>
      <c r="O696" s="9"/>
      <c r="P696" s="10"/>
      <c r="Q696" s="10">
        <v>67</v>
      </c>
      <c r="R696" s="10">
        <f>O696*P696*Q696</f>
        <v>0</v>
      </c>
      <c r="S696" s="41">
        <f t="shared" si="973"/>
        <v>1</v>
      </c>
      <c r="T696" s="173">
        <v>1</v>
      </c>
      <c r="V696" s="173"/>
      <c r="W696" s="190"/>
      <c r="X696" s="183"/>
      <c r="Y696" s="42"/>
      <c r="Z696" s="1"/>
      <c r="AA696" s="206">
        <f t="shared" si="1050"/>
        <v>3.0535714285714284E-2</v>
      </c>
    </row>
    <row r="697" spans="1:27" ns3:dyDescent="0.3">
      <c r="A697" s="13" t="s">
        <v>492</v>
      </c>
      <c r="B697" s="11">
        <f>ROUNDUP(HLOOKUP(A697,'야채 계산기'!$2:$3,2,0)*1.03,0)</f>
        <v>57</v>
      </c>
      <c r="C697" s="62">
        <v>1</v>
      </c>
      <c r="D697" s="166" t="str">
        <f t="shared" si="1109"/>
        <v/>
      </c>
      <c r="E697" s="4"/>
      <c r="F697" s="3"/>
      <c r="G697" s="5"/>
      <c r="H697" s="6"/>
      <c r="I697" s="34">
        <f t="shared" si="1103"/>
        <v>0</v>
      </c>
      <c r="J697" s="78" t="str">
        <f>IFERROR(VLOOKUP(C697,[2]Sheet1!$D:$J,7,0),"")</f>
        <v/>
      </c>
      <c r="K697" s="80" t="str">
        <f t="shared" si="1104"/>
        <v/>
      </c>
      <c r="L697" s="7">
        <f t="shared" si="1105"/>
        <v>0</v>
      </c>
      <c r="M697" s="8" t="str">
        <f t="shared" si="1106"/>
        <v/>
      </c>
      <c r="N697" s="57" t="str">
        <f>IFERROR((K697/H697),"")</f>
        <v/>
      </c>
      <c r="O697" s="9"/>
      <c r="P697" s="10"/>
      <c r="Q697" s="10"/>
      <c r="R697" s="10">
        <f>O697*P697*Q697</f>
        <v>0</v>
      </c>
      <c r="S697" s="41">
        <f t="shared" si="973"/>
        <v>0</v>
      </c>
      <c r="W697" s="190"/>
      <c r="Y697" s="42"/>
      <c r="Z697" s="1"/>
      <c r="AA697" s="206" t="str">
        <f t="shared" si="1050"/>
        <v/>
      </c>
    </row>
    <row r="698" spans="1:27" ns3:dyDescent="0.3">
      <c r="A698" s="11"/>
      <c r="B698" s="134"/>
      <c r="C698" s="164" t="s">
        <v>264</v>
      </c>
      <c r="D698" s="166">
        <f t="shared" si="1109"/>
        <v>-0.22499999999999964</v>
      </c>
      <c r="E698" s="4">
        <v>6</v>
      </c>
      <c r="F698" s="3">
        <f>IFERROR((L698-K698),"")</f>
        <v>-1.3499999999999979</v>
      </c>
      <c r="G698" s="5">
        <f>G696</f>
        <v>5.5</v>
      </c>
      <c r="H698" s="6">
        <f>ROUNDUP((B699*C699)/3000,1)</f>
        <v>2.3000000000000003</v>
      </c>
      <c r="I698" s="34">
        <f t="shared" si="1103"/>
        <v>12</v>
      </c>
      <c r="J698" s="78">
        <f>IFERROR(VLOOKUP(C698,[2]Sheet1!$D:$J,7,0),"")</f>
        <v>2</v>
      </c>
      <c r="K698" s="80">
        <f>IFERROR((I698+J698),"")</f>
        <v>14</v>
      </c>
      <c r="L698" s="7">
        <f t="shared" si="1105"/>
        <v>12.650000000000002</v>
      </c>
      <c r="M698" s="8">
        <f t="shared" si="1106"/>
        <v>1.3499999999999979</v>
      </c>
      <c r="N698" s="57">
        <f>IFERROR((K698/H698),"")</f>
        <v>6.0869565217391299</v>
      </c>
      <c r="O698" s="9"/>
      <c r="P698" s="10"/>
      <c r="Q698" s="10">
        <v>9459</v>
      </c>
      <c r="R698" s="10">
        <f>O698*P698*Q698</f>
        <v>0</v>
      </c>
      <c r="S698" s="41">
        <f t="shared" si="973"/>
        <v>2</v>
      </c>
      <c r="T698" s="173">
        <v>1</v>
      </c>
      <c r="V698" s="173">
        <v>1</v>
      </c>
      <c r="W698" s="190"/>
      <c r="X698" s="183"/>
      <c r="Y698" s="42"/>
      <c r="Z698" s="1"/>
      <c r="AA698" s="206">
        <f t="shared" si="1050"/>
        <v>0.41071428571428575</v>
      </c>
    </row>
    <row r="699" spans="1:27" ns3:dyDescent="0.3">
      <c r="A699" s="13" t="s">
        <v>267</v>
      </c>
      <c r="B699" s="11">
        <f>ROUNDUP(HLOOKUP(A699,'야채 계산기'!$2:$3,2,0)*1.03,0)</f>
        <v>1329</v>
      </c>
      <c r="C699" s="62">
        <v>5.0599999999999996</v>
      </c>
      <c r="D699" s="166" t="str">
        <f t="shared" si="1109"/>
        <v/>
      </c>
      <c r="E699" s="4"/>
      <c r="F699" s="3"/>
      <c r="G699" s="5"/>
      <c r="H699" s="6"/>
      <c r="I699" s="34">
        <f t="shared" si="1103"/>
        <v>0</v>
      </c>
      <c r="J699" s="78" t="str">
        <f>IFERROR(VLOOKUP(C699,[2]Sheet1!$D:$J,7,0),"")</f>
        <v/>
      </c>
      <c r="K699" s="80" t="str">
        <f>IFERROR((I699+J699),"")</f>
        <v/>
      </c>
      <c r="L699" s="7">
        <f t="shared" si="1105"/>
        <v>0</v>
      </c>
      <c r="M699" s="8" t="str">
        <f t="shared" si="1106"/>
        <v/>
      </c>
      <c r="N699" s="57" t="str">
        <f>IFERROR((K699/H699),"")</f>
        <v/>
      </c>
      <c r="O699" s="9"/>
      <c r="P699" s="10"/>
      <c r="Q699" s="10"/>
      <c r="R699" s="10">
        <f>O699*P699*Q699</f>
        <v>0</v>
      </c>
      <c r="S699" s="41">
        <f t="shared" si="973"/>
        <v>0</v>
      </c>
      <c r="W699" s="190"/>
      <c r="Y699" s="42"/>
      <c r="Z699" s="1"/>
      <c r="AA699" s="206" t="str">
        <f t="shared" si="1050"/>
        <v/>
      </c>
    </row>
    <row r="700" spans="1:27" hidden="1" ns3:dyDescent="0.3">
      <c r="A700" s="11"/>
      <c r="B700" s="11"/>
      <c r="C700" s="182" t="s">
        <v>253</v>
      </c>
      <c r="D700" s="166" t="str">
        <f t="shared" si="1109"/>
        <v/>
      </c>
      <c r="E700" s="4">
        <v>13</v>
      </c>
      <c r="F700" s="3" t="str">
        <f>IFERROR((L700-K700),"")</f>
        <v/>
      </c>
      <c r="G700" s="5">
        <v>0</v>
      </c>
      <c r="H700" s="6" t="e">
        <f>ROUNDUP(((B701*C701))/1000,1)</f>
        <v>#N/A</v>
      </c>
      <c r="I700" s="34">
        <f t="shared" si="1103"/>
        <v>0</v>
      </c>
      <c r="J700" s="78" t="str">
        <f>IFERROR(VLOOKUP(C700,[2]Sheet1!$D:$J,7,0),"")</f>
        <v/>
      </c>
      <c r="K700" s="80" t="str">
        <f>IFERROR((I700+J700),"")</f>
        <v/>
      </c>
      <c r="L700" s="7" t="str">
        <f t="shared" si="1105"/>
        <v/>
      </c>
      <c r="M700" s="8" t="str">
        <f t="shared" si="1106"/>
        <v/>
      </c>
      <c r="N700" s="57" t="str">
        <f>IFERROR((K700/H700),"")</f>
        <v/>
      </c>
      <c r="O700" s="9"/>
      <c r="P700" s="10"/>
      <c r="Q700" s="10">
        <v>15479</v>
      </c>
      <c r="R700" s="10">
        <f>O700*P700*Q700</f>
        <v>0</v>
      </c>
      <c r="S700" s="41">
        <f t="shared" si="973"/>
        <v>0</v>
      </c>
      <c r="W700" s="190"/>
      <c r="Y700" s="42"/>
      <c r="Z700" s="1"/>
      <c r="AA700" s="206" t="str">
        <f t="shared" si="1050"/>
        <v/>
      </c>
    </row>
    <row r="701" spans="1:27" hidden="1" ns3:dyDescent="0.3">
      <c r="A701" s="176" t="s">
        <v>539</v>
      </c>
      <c r="B701" s="11" t="e">
        <f>ROUNDUP(HLOOKUP(A701,'야채 계산기'!$2:$3,2,0)*1.03,0)</f>
        <v>#N/A</v>
      </c>
      <c r="C701" s="170">
        <v>1.05</v>
      </c>
      <c r="D701" s="166"/>
      <c r="E701" s="4"/>
      <c r="F701" s="3"/>
      <c r="G701" s="5"/>
      <c r="H701" s="6"/>
      <c r="I701" s="34">
        <f t="shared" si="1103"/>
        <v>0</v>
      </c>
      <c r="J701" s="78" t="str">
        <f>IFERROR(VLOOKUP(C701,[2]Sheet1!$D:$J,7,0),"")</f>
        <v/>
      </c>
      <c r="K701" s="80" t="str">
        <f>IFERROR((I701+J701),"")</f>
        <v/>
      </c>
      <c r="L701" s="7">
        <f t="shared" si="1105"/>
        <v>0</v>
      </c>
      <c r="M701" s="8" t="str">
        <f t="shared" si="1106"/>
        <v/>
      </c>
      <c r="N701" s="57"/>
      <c r="O701" s="9"/>
      <c r="P701" s="10"/>
      <c r="Q701" s="10"/>
      <c r="R701" s="10"/>
      <c r="S701" s="41">
        <f t="shared" si="973"/>
        <v>0</v>
      </c>
      <c r="W701" s="190"/>
      <c r="Y701" s="42"/>
      <c r="AA701" s="206" t="str">
        <f t="shared" si="1050"/>
        <v/>
      </c>
    </row>
    <row r="702" spans="1:27" ns3:dyDescent="0.3">
      <c r="A702" s="13"/>
      <c r="B702" s="11"/>
      <c r="C702" s="170" t="s">
        <v>48</v>
      </c>
      <c r="D702" s="166">
        <f>IFERROR((F702/E702),"")</f>
        <v>-8.5000000000000006E-2</v>
      </c>
      <c r="E702" s="4">
        <v>20</v>
      </c>
      <c r="F702" s="3">
        <f>IFERROR((L702-K702),"")</f>
        <v>-1.7000000000000002</v>
      </c>
      <c r="G702" s="5">
        <f>G698</f>
        <v>5.5</v>
      </c>
      <c r="H702" s="6">
        <f>ROUNDUP(SUMPRODUCT(B703:B706,C703:C706)/1000,1)</f>
        <v>0.6</v>
      </c>
      <c r="I702" s="34">
        <f t="shared" si="1103"/>
        <v>0</v>
      </c>
      <c r="J702" s="78">
        <f>IFERROR(VLOOKUP(C702,[2]Sheet1!$D:$J,7,0),"")</f>
        <v>5</v>
      </c>
      <c r="K702" s="80">
        <f t="shared" si="1104"/>
        <v>5</v>
      </c>
      <c r="L702" s="7">
        <f t="shared" si="1105"/>
        <v>3.3</v>
      </c>
      <c r="M702" s="8">
        <f t="shared" si="1106"/>
        <v>1.7000000000000002</v>
      </c>
      <c r="N702" s="57">
        <f>IFERROR((K702/H702),"")</f>
        <v>8.3333333333333339</v>
      </c>
      <c r="O702" s="9"/>
      <c r="P702" s="10"/>
      <c r="Q702" s="10">
        <v>8985</v>
      </c>
      <c r="R702" s="10">
        <f>O702*P702*Q702</f>
        <v>0</v>
      </c>
      <c r="S702" s="41">
        <f t="shared" si="973"/>
        <v>0</v>
      </c>
      <c r="T702" s="173"/>
      <c r="V702" s="173"/>
      <c r="W702" s="190"/>
      <c r="X702" s="183"/>
      <c r="Y702" s="42"/>
      <c r="Z702" s="1"/>
      <c r="AA702" s="206">
        <f t="shared" si="1050"/>
        <v>3.2142857142857147E-2</v>
      </c>
    </row>
    <row r="703" spans="1:27" ns3:dyDescent="0.3">
      <c r="A703" s="11" t="s">
        <v>174</v>
      </c>
      <c r="B703" s="11">
        <f>ROUNDUP(HLOOKUP(A703,'야채 계산기'!$2:$3,2,0)*1.03,0)</f>
        <v>176</v>
      </c>
      <c r="C703" s="164">
        <v>1.1399999999999999</v>
      </c>
      <c r="D703" s="166"/>
      <c r="E703" s="4"/>
      <c r="F703" s="3"/>
      <c r="G703" s="5"/>
      <c r="H703" s="6"/>
      <c r="I703" s="34">
        <f t="shared" si="1103"/>
        <v>0</v>
      </c>
      <c r="J703" s="78" t="str">
        <f>IFERROR(VLOOKUP(C703,[2]Sheet1!$D:$J,7,0),"")</f>
        <v/>
      </c>
      <c r="K703" s="80" t="str">
        <f>IFERROR((I703+J703),"")</f>
        <v/>
      </c>
      <c r="L703" s="7">
        <f t="shared" si="1105"/>
        <v>0</v>
      </c>
      <c r="M703" s="8" t="str">
        <f t="shared" si="1106"/>
        <v/>
      </c>
      <c r="N703" s="57"/>
      <c r="O703" s="9"/>
      <c r="P703" s="10"/>
      <c r="Q703" s="10"/>
      <c r="R703" s="10"/>
      <c r="S703" s="41">
        <f t="shared" si="973"/>
        <v>0</v>
      </c>
      <c r="W703" s="190"/>
      <c r="Y703" s="42"/>
      <c r="Z703" s="1"/>
      <c r="AA703" s="206" t="str">
        <f t="shared" si="1050"/>
        <v/>
      </c>
    </row>
    <row r="704" spans="1:27" ns3:dyDescent="0.3">
      <c r="A704" s="11" t="s">
        <v>189</v>
      </c>
      <c r="B704" s="11">
        <f>ROUNDUP(HLOOKUP(A704,'야채 계산기'!$2:$3,2,0)*1.03,0)</f>
        <v>145</v>
      </c>
      <c r="C704" s="164">
        <f>'[1]착한김치김밥(250612)슈퍼'!$B$12</f>
        <v>0.4</v>
      </c>
      <c r="D704" s="166"/>
      <c r="E704" s="4"/>
      <c r="F704" s="3"/>
      <c r="G704" s="5"/>
      <c r="H704" s="6"/>
      <c r="I704" s="34">
        <f t="shared" ref="I704:I705" si="1110">IFERROR((S704*E704),"")</f>
        <v>0</v>
      </c>
      <c r="J704" s="78" t="str">
        <f>IFERROR(VLOOKUP(C704,[2]Sheet1!$D:$J,7,0),"")</f>
        <v/>
      </c>
      <c r="K704" s="80" t="str">
        <f t="shared" ref="K704:K705" si="1111">IFERROR((I704+J704),"")</f>
        <v/>
      </c>
      <c r="L704" s="7">
        <f t="shared" ref="L704:L705" si="1112">IFERROR((G704*H704),"")</f>
        <v>0</v>
      </c>
      <c r="M704" s="8" t="str">
        <f t="shared" ref="M704:M705" si="1113">IFERROR(K704-L704,"")</f>
        <v/>
      </c>
      <c r="N704" s="57"/>
      <c r="O704" s="9"/>
      <c r="P704" s="10"/>
      <c r="Q704" s="10"/>
      <c r="R704" s="10"/>
      <c r="S704" s="41">
        <f t="shared" si="973"/>
        <v>0</v>
      </c>
      <c r="W704" s="190"/>
      <c r="Y704" s="42"/>
      <c r="Z704" s="1"/>
      <c r="AA704" s="206" t="str">
        <f t="shared" si="1050"/>
        <v/>
      </c>
    </row>
    <row r="705" spans="1:27" ns3:dyDescent="0.3">
      <c r="A705" s="60" t="s">
        <v>591</v>
      </c>
      <c r="B705" s="11">
        <f>ROUNDUP(HLOOKUP(A705,'야채 계산기'!$2:$3,2,0)*1.03,0)</f>
        <v>1896</v>
      </c>
      <c r="C705" s="164">
        <v>7.0000000000000007E-2</v>
      </c>
      <c r="D705" s="166"/>
      <c r="E705" s="4"/>
      <c r="F705" s="3"/>
      <c r="G705" s="5"/>
      <c r="H705" s="6"/>
      <c r="I705" s="34">
        <f t="shared" si="1110"/>
        <v>0</v>
      </c>
      <c r="J705" s="78" t="str">
        <f>IFERROR(VLOOKUP(C705,[2]Sheet1!$D:$J,7,0),"")</f>
        <v/>
      </c>
      <c r="K705" s="80" t="str">
        <f t="shared" si="1111"/>
        <v/>
      </c>
      <c r="L705" s="7">
        <f t="shared" si="1112"/>
        <v>0</v>
      </c>
      <c r="M705" s="8" t="str">
        <f t="shared" si="1113"/>
        <v/>
      </c>
      <c r="N705" s="57"/>
      <c r="O705" s="9"/>
      <c r="P705" s="10"/>
      <c r="Q705" s="10"/>
      <c r="R705" s="10"/>
      <c r="S705" s="41">
        <f t="shared" ref="S705" si="1114">SUM(Y705,T705:X705)</f>
        <v>0</v>
      </c>
      <c r="W705" s="190"/>
      <c r="Y705" s="42"/>
      <c r="Z705" s="1"/>
      <c r="AA705" s="206" t="str">
        <f t="shared" ref="AA705" si="1115">IFERROR(H705*7.5/E705/7,"")</f>
        <v/>
      </c>
    </row>
    <row r="706" spans="1:27" ns3:dyDescent="0.3">
      <c r="A706" s="60" t="s">
        <v>734</v>
      </c>
      <c r="B706" s="11">
        <f>ROUNDUP(HLOOKUP(A706,'야채 계산기'!$2:$3,2,0)*1.03,0)</f>
        <v>2081</v>
      </c>
      <c r="C706" s="164">
        <v>7.0000000000000007E-2</v>
      </c>
      <c r="D706" s="166"/>
      <c r="E706" s="4"/>
      <c r="F706" s="3"/>
      <c r="G706" s="5"/>
      <c r="H706" s="6"/>
      <c r="I706" s="34">
        <f t="shared" si="1103"/>
        <v>0</v>
      </c>
      <c r="J706" s="78" t="str">
        <f>IFERROR(VLOOKUP(C706,[2]Sheet1!$D:$J,7,0),"")</f>
        <v/>
      </c>
      <c r="K706" s="80" t="str">
        <f t="shared" si="1104"/>
        <v/>
      </c>
      <c r="L706" s="7">
        <f t="shared" si="1105"/>
        <v>0</v>
      </c>
      <c r="M706" s="8" t="str">
        <f t="shared" si="1106"/>
        <v/>
      </c>
      <c r="N706" s="57"/>
      <c r="O706" s="9"/>
      <c r="P706" s="10"/>
      <c r="Q706" s="10"/>
      <c r="R706" s="10"/>
      <c r="S706" s="41">
        <f t="shared" si="973"/>
        <v>0</v>
      </c>
      <c r="W706" s="190"/>
      <c r="Y706" s="42"/>
      <c r="Z706" s="1"/>
      <c r="AA706" s="206" t="str">
        <f t="shared" si="1050"/>
        <v/>
      </c>
    </row>
    <row r="707" spans="1:27" hidden="1" ns3:dyDescent="0.3">
      <c r="A707" s="11"/>
      <c r="B707" s="11"/>
      <c r="C707" s="262" t="s">
        <v>616</v>
      </c>
      <c r="D707" s="166" t="str">
        <f t="shared" ref="D707:D708" si="1116">IFERROR((F707/E707),"")</f>
        <v/>
      </c>
      <c r="E707" s="4">
        <v>6</v>
      </c>
      <c r="F707" s="3" t="str">
        <f>IFERROR((L707-K707),"")</f>
        <v/>
      </c>
      <c r="G707" s="5">
        <f>G679</f>
        <v>8.5</v>
      </c>
      <c r="H707" s="6" t="e">
        <f>ROUNDUP((B708*C708)/3000,1)</f>
        <v>#N/A</v>
      </c>
      <c r="I707" s="34">
        <f t="shared" ref="I707:I712" si="1117">IFERROR((S707*E707),"")</f>
        <v>0</v>
      </c>
      <c r="J707" s="78">
        <f>IFERROR(VLOOKUP(C707,[2]Sheet1!$D:$J,7,0),"")</f>
        <v>0</v>
      </c>
      <c r="K707" s="80">
        <f t="shared" ref="K707:K712" si="1118">IFERROR((I707+J707),"")</f>
        <v>0</v>
      </c>
      <c r="L707" s="7" t="str">
        <f t="shared" ref="L707:L712" si="1119">IFERROR((G707*H707),"")</f>
        <v/>
      </c>
      <c r="M707" s="8" t="str">
        <f t="shared" ref="M707:M712" si="1120">IFERROR(K707-L707,"")</f>
        <v/>
      </c>
      <c r="N707" s="57" t="str">
        <f t="shared" ref="N707:N708" si="1121">IFERROR((K707/H707),"")</f>
        <v/>
      </c>
      <c r="O707" s="9"/>
      <c r="P707" s="10"/>
      <c r="Q707" s="10">
        <v>4000</v>
      </c>
      <c r="R707" s="10">
        <f t="shared" ref="R707:R708" si="1122">O707*P707*Q707</f>
        <v>0</v>
      </c>
      <c r="S707" s="41">
        <f t="shared" ref="S707:S712" si="1123">SUM(Y707,T707:X707)</f>
        <v>0</v>
      </c>
      <c r="T707" s="173"/>
      <c r="V707" s="173"/>
      <c r="W707" s="190"/>
      <c r="X707" s="183"/>
      <c r="Y707" s="42"/>
      <c r="Z707" s="1"/>
      <c r="AA707" s="206" t="str">
        <f t="shared" ref="AA707:AA712" si="1124">IFERROR(H707*7.5/E707/7,"")</f>
        <v/>
      </c>
    </row>
    <row r="708" spans="1:27" hidden="1" ns3:dyDescent="0.3">
      <c r="A708" s="273" t="s">
        <v>597</v>
      </c>
      <c r="B708" s="11" t="e">
        <f>ROUNDUP(HLOOKUP(A708,'야채 계산기'!$2:$3,2,0),0)</f>
        <v>#N/A</v>
      </c>
      <c r="C708" s="164">
        <v>28.23</v>
      </c>
      <c r="D708" s="166" t="str">
        <f t="shared" si="1116"/>
        <v/>
      </c>
      <c r="E708" s="4"/>
      <c r="F708" s="3"/>
      <c r="G708" s="5"/>
      <c r="H708" s="6"/>
      <c r="I708" s="34">
        <f t="shared" si="1117"/>
        <v>0</v>
      </c>
      <c r="J708" s="78" t="str">
        <f>IFERROR(VLOOKUP(C708,[2]Sheet1!$D:$J,7,0),"")</f>
        <v/>
      </c>
      <c r="K708" s="80" t="str">
        <f t="shared" si="1118"/>
        <v/>
      </c>
      <c r="L708" s="7">
        <f t="shared" si="1119"/>
        <v>0</v>
      </c>
      <c r="M708" s="8" t="str">
        <f t="shared" si="1120"/>
        <v/>
      </c>
      <c r="N708" s="57" t="str">
        <f t="shared" si="1121"/>
        <v/>
      </c>
      <c r="O708" s="9"/>
      <c r="P708" s="10"/>
      <c r="Q708" s="10"/>
      <c r="R708" s="10">
        <f t="shared" si="1122"/>
        <v>0</v>
      </c>
      <c r="S708" s="41">
        <f t="shared" si="1123"/>
        <v>0</v>
      </c>
      <c r="W708" s="190"/>
      <c r="Y708" s="42"/>
      <c r="Z708" s="1"/>
      <c r="AA708" s="206" t="str">
        <f t="shared" si="1124"/>
        <v/>
      </c>
    </row>
    <row r="709" spans="1:27" ns3:dyDescent="0.3">
      <c r="A709" s="11"/>
      <c r="B709" s="11"/>
      <c r="C709" s="62" t="s">
        <v>735</v>
      </c>
      <c r="D709" s="166">
        <f t="shared" ref="D709:D714" si="1125">IFERROR((F709/E709),"")</f>
        <v>0.50833333333333341</v>
      </c>
      <c r="E709" s="4">
        <v>6</v>
      </c>
      <c r="F709" s="3">
        <f>IFERROR((L709-K709),"")</f>
        <v>3.0500000000000007</v>
      </c>
      <c r="G709" s="5">
        <f>G683</f>
        <v>5.5</v>
      </c>
      <c r="H709" s="6">
        <f>ROUNDUP((B710*C710)/1700,1)</f>
        <v>1.1000000000000001</v>
      </c>
      <c r="I709" s="34">
        <f t="shared" si="1117"/>
        <v>0</v>
      </c>
      <c r="J709" s="78">
        <f>IFERROR(VLOOKUP(C709,[2]Sheet1!$D:$J,7,0),"")</f>
        <v>3</v>
      </c>
      <c r="K709" s="80">
        <f t="shared" si="1118"/>
        <v>3</v>
      </c>
      <c r="L709" s="7">
        <f t="shared" si="1119"/>
        <v>6.0500000000000007</v>
      </c>
      <c r="M709" s="8">
        <f t="shared" si="1120"/>
        <v>-3.0500000000000007</v>
      </c>
      <c r="N709" s="57">
        <f t="shared" ref="N709:N714" si="1126">IFERROR((K709/H709),"")</f>
        <v>2.7272727272727271</v>
      </c>
      <c r="O709" s="9"/>
      <c r="P709" s="10"/>
      <c r="Q709" s="10">
        <v>5669</v>
      </c>
      <c r="R709" s="10">
        <f t="shared" ref="R709:R714" si="1127">O709*P709*Q709</f>
        <v>0</v>
      </c>
      <c r="S709" s="41">
        <f t="shared" si="1123"/>
        <v>0</v>
      </c>
      <c r="T709" s="173"/>
      <c r="V709" s="173"/>
      <c r="W709" s="190"/>
      <c r="X709" s="183"/>
      <c r="Y709" s="42"/>
      <c r="Z709" s="1"/>
      <c r="AA709" s="206">
        <f t="shared" si="1124"/>
        <v>0.19642857142857142</v>
      </c>
    </row>
    <row r="710" spans="1:27" ns3:dyDescent="0.3">
      <c r="A710" s="60" t="s">
        <v>736</v>
      </c>
      <c r="B710" s="11">
        <f>ROUNDUP(HLOOKUP(A710,'야채 계산기'!$2:$3,2,0),0)</f>
        <v>2020</v>
      </c>
      <c r="C710" s="164">
        <v>0.89</v>
      </c>
      <c r="D710" s="166" t="str">
        <f t="shared" si="1125"/>
        <v/>
      </c>
      <c r="E710" s="4"/>
      <c r="F710" s="3"/>
      <c r="G710" s="5"/>
      <c r="H710" s="6"/>
      <c r="I710" s="34">
        <f t="shared" si="1117"/>
        <v>0</v>
      </c>
      <c r="J710" s="78" t="str">
        <f>IFERROR(VLOOKUP(C710,[2]Sheet1!$D:$J,7,0),"")</f>
        <v/>
      </c>
      <c r="K710" s="80" t="str">
        <f t="shared" si="1118"/>
        <v/>
      </c>
      <c r="L710" s="7">
        <f t="shared" si="1119"/>
        <v>0</v>
      </c>
      <c r="M710" s="8" t="str">
        <f t="shared" si="1120"/>
        <v/>
      </c>
      <c r="N710" s="57" t="str">
        <f t="shared" si="1126"/>
        <v/>
      </c>
      <c r="O710" s="9"/>
      <c r="P710" s="10"/>
      <c r="Q710" s="10"/>
      <c r="R710" s="10">
        <f t="shared" si="1127"/>
        <v>0</v>
      </c>
      <c r="S710" s="41">
        <f t="shared" si="1123"/>
        <v>0</v>
      </c>
      <c r="W710" s="190"/>
      <c r="Y710" s="42"/>
      <c r="Z710" s="1"/>
      <c r="AA710" s="206" t="str">
        <f t="shared" si="1124"/>
        <v/>
      </c>
    </row>
    <row r="711" spans="1:27" ns3:dyDescent="0.3">
      <c r="A711" s="60"/>
      <c r="B711" s="11"/>
      <c r="C711" s="62" t="s">
        <v>737</v>
      </c>
      <c r="D711" s="166">
        <f t="shared" si="1125"/>
        <v>-1.03125</v>
      </c>
      <c r="E711" s="4">
        <v>8</v>
      </c>
      <c r="F711" s="3">
        <f>IFERROR((L711-K711),"")</f>
        <v>-8.25</v>
      </c>
      <c r="G711" s="5">
        <f>G691</f>
        <v>5.5</v>
      </c>
      <c r="H711" s="6">
        <f>ROUNDUP((B712*C712)/1500,1)</f>
        <v>0.5</v>
      </c>
      <c r="I711" s="34">
        <f t="shared" si="1117"/>
        <v>0</v>
      </c>
      <c r="J711" s="78">
        <f>IFERROR(VLOOKUP(C711,[2]Sheet1!$D:$J,7,0),"")</f>
        <v>11</v>
      </c>
      <c r="K711" s="80">
        <f t="shared" si="1118"/>
        <v>11</v>
      </c>
      <c r="L711" s="7">
        <f t="shared" si="1119"/>
        <v>2.75</v>
      </c>
      <c r="M711" s="8">
        <f t="shared" si="1120"/>
        <v>8.25</v>
      </c>
      <c r="N711" s="57">
        <f t="shared" si="1126"/>
        <v>22</v>
      </c>
      <c r="O711" s="9"/>
      <c r="P711" s="10"/>
      <c r="Q711" s="10">
        <v>2183</v>
      </c>
      <c r="R711" s="10">
        <f t="shared" si="1127"/>
        <v>0</v>
      </c>
      <c r="S711" s="41">
        <f t="shared" si="1123"/>
        <v>0</v>
      </c>
      <c r="T711" s="173"/>
      <c r="V711" s="173"/>
      <c r="W711" s="190"/>
      <c r="X711" s="183"/>
      <c r="Y711" s="42"/>
      <c r="Z711" s="1"/>
      <c r="AA711" s="206">
        <f t="shared" si="1124"/>
        <v>6.6964285714285712E-2</v>
      </c>
    </row>
    <row r="712" spans="1:27" ns3:dyDescent="0.3">
      <c r="A712" s="60" t="s">
        <v>736</v>
      </c>
      <c r="B712" s="11">
        <f>ROUNDUP(HLOOKUP(A712,'야채 계산기'!$2:$3,2,0),0)</f>
        <v>2020</v>
      </c>
      <c r="C712" s="164">
        <v>0.34</v>
      </c>
      <c r="D712" s="166" t="str">
        <f t="shared" si="1125"/>
        <v/>
      </c>
      <c r="E712" s="4"/>
      <c r="F712" s="3"/>
      <c r="G712" s="5"/>
      <c r="H712" s="6"/>
      <c r="I712" s="34">
        <f t="shared" si="1117"/>
        <v>0</v>
      </c>
      <c r="J712" s="78" t="str">
        <f>IFERROR(VLOOKUP(C712,[2]Sheet1!$D:$J,7,0),"")</f>
        <v/>
      </c>
      <c r="K712" s="80" t="str">
        <f t="shared" si="1118"/>
        <v/>
      </c>
      <c r="L712" s="7">
        <f t="shared" si="1119"/>
        <v>0</v>
      </c>
      <c r="M712" s="8" t="str">
        <f t="shared" si="1120"/>
        <v/>
      </c>
      <c r="N712" s="57" t="str">
        <f t="shared" si="1126"/>
        <v/>
      </c>
      <c r="O712" s="9"/>
      <c r="P712" s="10"/>
      <c r="Q712" s="10"/>
      <c r="R712" s="10">
        <f t="shared" si="1127"/>
        <v>0</v>
      </c>
      <c r="S712" s="41">
        <f t="shared" si="1123"/>
        <v>0</v>
      </c>
      <c r="W712" s="190"/>
      <c r="Y712" s="42"/>
      <c r="Z712" s="1"/>
      <c r="AA712" s="206" t="str">
        <f t="shared" si="1124"/>
        <v/>
      </c>
    </row>
    <row r="713" spans="1:27" ns3:dyDescent="0.3">
      <c r="A713" s="60"/>
      <c r="B713" s="11"/>
      <c r="C713" s="62" t="s">
        <v>743</v>
      </c>
      <c r="D713" s="166">
        <f t="shared" si="1125"/>
        <v>-0.1166666666666667</v>
      </c>
      <c r="E713" s="4">
        <v>6</v>
      </c>
      <c r="F713" s="3">
        <f>IFERROR((L713-K713),"")</f>
        <v>-0.70000000000000018</v>
      </c>
      <c r="G713" s="5">
        <f>G674</f>
        <v>5.5</v>
      </c>
      <c r="H713" s="6">
        <f>ROUNDUP((B714*C714)/1800,1)</f>
        <v>0.6</v>
      </c>
      <c r="I713" s="34">
        <f t="shared" ref="I713:I714" si="1128">IFERROR((S713*E713),"")</f>
        <v>0</v>
      </c>
      <c r="J713" s="78">
        <f>IFERROR(VLOOKUP(C713,[2]Sheet1!$D:$J,7,0),"")</f>
        <v>4</v>
      </c>
      <c r="K713" s="80">
        <f t="shared" ref="K713:K714" si="1129">IFERROR((I713+J713),"")</f>
        <v>4</v>
      </c>
      <c r="L713" s="7">
        <f t="shared" ref="L713:L714" si="1130">IFERROR((G713*H713),"")</f>
        <v>3.3</v>
      </c>
      <c r="M713" s="8">
        <f t="shared" ref="M713:M714" si="1131">IFERROR(K713-L713,"")</f>
        <v>0.70000000000000018</v>
      </c>
      <c r="N713" s="57">
        <f t="shared" si="1126"/>
        <v>6.666666666666667</v>
      </c>
      <c r="O713" s="9"/>
      <c r="P713" s="10"/>
      <c r="Q713" s="10">
        <v>1400</v>
      </c>
      <c r="R713" s="10">
        <f t="shared" si="1127"/>
        <v>0</v>
      </c>
      <c r="S713" s="41">
        <f t="shared" ref="S713:S714" si="1132">SUM(Y713,T713:X713)</f>
        <v>0</v>
      </c>
      <c r="T713" s="173"/>
      <c r="V713" s="173"/>
      <c r="W713" s="190"/>
      <c r="X713" s="183"/>
      <c r="Y713" s="42"/>
      <c r="Z713" s="1"/>
      <c r="AA713" s="206">
        <f t="shared" ref="AA713:AA714" si="1133">IFERROR(H713*7.5/E713/7,"")</f>
        <v>0.10714285714285714</v>
      </c>
    </row>
    <row r="714" spans="1:27" ns3:dyDescent="0.3">
      <c r="A714" s="60" t="s">
        <v>727</v>
      </c>
      <c r="B714" s="11">
        <f>ROUNDUP(HLOOKUP(A714,'야채 계산기'!$2:$3,2,0),0)</f>
        <v>2020</v>
      </c>
      <c r="C714" s="164">
        <v>0.5</v>
      </c>
      <c r="D714" s="166" t="str">
        <f t="shared" si="1125"/>
        <v/>
      </c>
      <c r="E714" s="4"/>
      <c r="F714" s="3"/>
      <c r="G714" s="5"/>
      <c r="H714" s="6"/>
      <c r="I714" s="34">
        <f t="shared" si="1128"/>
        <v>0</v>
      </c>
      <c r="J714" s="78" t="str">
        <f>IFERROR(VLOOKUP(C714,[2]Sheet1!$D:$J,7,0),"")</f>
        <v/>
      </c>
      <c r="K714" s="80" t="str">
        <f t="shared" si="1129"/>
        <v/>
      </c>
      <c r="L714" s="7">
        <f t="shared" si="1130"/>
        <v>0</v>
      </c>
      <c r="M714" s="8" t="str">
        <f t="shared" si="1131"/>
        <v/>
      </c>
      <c r="N714" s="57" t="str">
        <f t="shared" si="1126"/>
        <v/>
      </c>
      <c r="O714" s="9"/>
      <c r="P714" s="10"/>
      <c r="Q714" s="10"/>
      <c r="R714" s="10">
        <f t="shared" si="1127"/>
        <v>0</v>
      </c>
      <c r="S714" s="41">
        <f t="shared" si="1132"/>
        <v>0</v>
      </c>
      <c r="W714" s="190"/>
      <c r="Y714" s="42"/>
      <c r="Z714" s="1"/>
      <c r="AA714" s="206" t="str">
        <f t="shared" si="1133"/>
        <v/>
      </c>
    </row>
    <row r="715" spans="1:27" ns3:dyDescent="0.3">
      <c r="A715" s="59"/>
      <c r="B715" s="11"/>
      <c r="C715" s="164" t="s">
        <v>185</v>
      </c>
      <c r="D715" s="166">
        <f t="shared" ref="D715" si="1134">IFERROR((F715/E715),"")</f>
        <v>-13.1</v>
      </c>
      <c r="E715" s="4">
        <v>10</v>
      </c>
      <c r="F715" s="3">
        <f>IFERROR((L715-K715),"")</f>
        <v>-131</v>
      </c>
      <c r="G715" s="5">
        <f>G702</f>
        <v>5.5</v>
      </c>
      <c r="H715" s="6">
        <f>ROUNDUP((SUMPRODUCT(B716:B719,C716:C719))/1000,0)</f>
        <v>118</v>
      </c>
      <c r="I715" s="34">
        <f t="shared" si="1103"/>
        <v>500</v>
      </c>
      <c r="J715" s="78">
        <f>IFERROR(VLOOKUP(C715,[2]Sheet1!$D:$J,7,0),"")</f>
        <v>280</v>
      </c>
      <c r="K715" s="80">
        <f t="shared" si="1104"/>
        <v>780</v>
      </c>
      <c r="L715" s="7">
        <f t="shared" si="1105"/>
        <v>649</v>
      </c>
      <c r="M715" s="8">
        <f t="shared" si="1106"/>
        <v>131</v>
      </c>
      <c r="N715" s="57">
        <f t="shared" ref="N715" si="1135">IFERROR((K715/H715),"")</f>
        <v>6.6101694915254239</v>
      </c>
      <c r="O715" s="9"/>
      <c r="P715" s="10"/>
      <c r="Q715" s="10">
        <v>2450</v>
      </c>
      <c r="R715" s="10">
        <f t="shared" ref="R715" si="1136">O715*P715*Q715</f>
        <v>0</v>
      </c>
      <c r="S715" s="41">
        <f t="shared" si="973"/>
        <v>50</v>
      </c>
      <c r="T715" s="173">
        <v>25</v>
      </c>
      <c r="V715" s="173">
        <v>25</v>
      </c>
      <c r="W715" s="190"/>
      <c r="X715" s="183"/>
      <c r="Y715" s="42"/>
      <c r="Z715" s="1"/>
      <c r="AA715" s="206">
        <f t="shared" si="1050"/>
        <v>12.642857142857142</v>
      </c>
    </row>
    <row r="716" spans="1:27" ns3:dyDescent="0.3">
      <c r="A716" s="13" t="s">
        <v>268</v>
      </c>
      <c r="B716" s="11">
        <f>ROUNDUP(HLOOKUP(A716,'야채 계산기'!$2:$3,2,0)*1.03,0)</f>
        <v>1133</v>
      </c>
      <c r="C716" s="144">
        <v>31.94</v>
      </c>
      <c r="D716" s="166"/>
      <c r="E716" s="4"/>
      <c r="F716" s="3"/>
      <c r="G716" s="5"/>
      <c r="H716" s="6"/>
      <c r="I716" s="34">
        <f t="shared" ref="I716:I718" si="1137">IFERROR((S716*E716),"")</f>
        <v>0</v>
      </c>
      <c r="J716" s="78" t="str">
        <f>IFERROR(VLOOKUP(C716,[2]Sheet1!$D:$J,7,0),"")</f>
        <v/>
      </c>
      <c r="K716" s="80" t="str">
        <f t="shared" ref="K716:K718" si="1138">IFERROR((I716+J716),"")</f>
        <v/>
      </c>
      <c r="L716" s="7">
        <f t="shared" ref="L716:L718" si="1139">IFERROR((G716*H716),"")</f>
        <v>0</v>
      </c>
      <c r="M716" s="8" t="str">
        <f t="shared" ref="M716:M718" si="1140">IFERROR(K716-L716,"")</f>
        <v/>
      </c>
      <c r="N716" s="57"/>
      <c r="O716" s="9"/>
      <c r="P716" s="10"/>
      <c r="Q716" s="10"/>
      <c r="R716" s="10"/>
      <c r="S716" s="41">
        <f t="shared" ref="S716:S801" si="1141">SUM(Y716,T716:X716)</f>
        <v>0</v>
      </c>
      <c r="W716" s="190"/>
      <c r="Y716" s="42"/>
      <c r="Z716" s="1"/>
      <c r="AA716" s="206" t="str">
        <f t="shared" ref="AA716:AA759" si="1142">IFERROR(H716*7.5/E716/7,"")</f>
        <v/>
      </c>
    </row>
    <row r="717" spans="1:27" ns3:dyDescent="0.3">
      <c r="A717" s="13" t="s">
        <v>443</v>
      </c>
      <c r="B717" s="11">
        <f>ROUNDUP(HLOOKUP(A717,'야채 계산기'!$2:$3,2,0)*1.03,0)</f>
        <v>1381</v>
      </c>
      <c r="C717" s="144">
        <v>5.34</v>
      </c>
      <c r="D717" s="166"/>
      <c r="E717" s="4"/>
      <c r="F717" s="3"/>
      <c r="G717" s="5"/>
      <c r="H717" s="6"/>
      <c r="I717" s="34">
        <f t="shared" si="1137"/>
        <v>0</v>
      </c>
      <c r="J717" s="78" t="str">
        <f>IFERROR(VLOOKUP(C717,[2]Sheet1!$D:$J,7,0),"")</f>
        <v/>
      </c>
      <c r="K717" s="80" t="str">
        <f t="shared" si="1138"/>
        <v/>
      </c>
      <c r="L717" s="7">
        <f t="shared" si="1139"/>
        <v>0</v>
      </c>
      <c r="M717" s="8" t="str">
        <f t="shared" si="1140"/>
        <v/>
      </c>
      <c r="N717" s="57"/>
      <c r="O717" s="9"/>
      <c r="P717" s="10"/>
      <c r="Q717" s="10"/>
      <c r="R717" s="10"/>
      <c r="S717" s="41">
        <f t="shared" ref="S717:S718" si="1143">SUM(Y717,T717:X717)</f>
        <v>0</v>
      </c>
      <c r="W717" s="190"/>
      <c r="Y717" s="42"/>
      <c r="Z717" s="1"/>
      <c r="AA717" s="206" t="str">
        <f t="shared" ref="AA717:AA718" si="1144">IFERROR(H717*7.5/E717/7,"")</f>
        <v/>
      </c>
    </row>
    <row r="718" spans="1:27" ns3:dyDescent="0.3">
      <c r="A718" s="60" t="s">
        <v>731</v>
      </c>
      <c r="B718" s="11">
        <f>ROUNDUP(HLOOKUP(A718,'야채 계산기'!$2:$3,2,0)*1.03,0)</f>
        <v>2081</v>
      </c>
      <c r="C718" s="144">
        <v>12.07</v>
      </c>
      <c r="D718" s="166"/>
      <c r="E718" s="4"/>
      <c r="F718" s="3"/>
      <c r="G718" s="5"/>
      <c r="H718" s="6"/>
      <c r="I718" s="34">
        <f t="shared" si="1137"/>
        <v>0</v>
      </c>
      <c r="J718" s="78" t="str">
        <f>IFERROR(VLOOKUP(C718,[2]Sheet1!$D:$J,7,0),"")</f>
        <v/>
      </c>
      <c r="K718" s="80" t="str">
        <f t="shared" si="1138"/>
        <v/>
      </c>
      <c r="L718" s="7">
        <f t="shared" si="1139"/>
        <v>0</v>
      </c>
      <c r="M718" s="8" t="str">
        <f t="shared" si="1140"/>
        <v/>
      </c>
      <c r="N718" s="57"/>
      <c r="O718" s="9"/>
      <c r="P718" s="10"/>
      <c r="Q718" s="10"/>
      <c r="R718" s="10"/>
      <c r="S718" s="41">
        <f t="shared" si="1143"/>
        <v>0</v>
      </c>
      <c r="W718" s="190"/>
      <c r="Y718" s="42"/>
      <c r="Z718" s="1"/>
      <c r="AA718" s="206" t="str">
        <f t="shared" si="1144"/>
        <v/>
      </c>
    </row>
    <row r="719" spans="1:27" ns3:dyDescent="0.3">
      <c r="A719" s="60" t="s">
        <v>793</v>
      </c>
      <c r="B719" s="11">
        <f>ROUNDUP(HLOOKUP(A719,'야채 계산기'!$2:$3,2,0)*1.03,0)</f>
        <v>1875</v>
      </c>
      <c r="C719" s="144">
        <v>26.04</v>
      </c>
      <c r="D719" s="166"/>
      <c r="E719" s="4"/>
      <c r="F719" s="3"/>
      <c r="G719" s="5"/>
      <c r="H719" s="6"/>
      <c r="I719" s="34">
        <f t="shared" si="1103"/>
        <v>0</v>
      </c>
      <c r="J719" s="78" t="str">
        <f>IFERROR(VLOOKUP(C719,[2]Sheet1!$D:$J,7,0),"")</f>
        <v/>
      </c>
      <c r="K719" s="80" t="str">
        <f t="shared" si="1104"/>
        <v/>
      </c>
      <c r="L719" s="7">
        <f t="shared" si="1105"/>
        <v>0</v>
      </c>
      <c r="M719" s="8" t="str">
        <f t="shared" si="1106"/>
        <v/>
      </c>
      <c r="N719" s="57"/>
      <c r="O719" s="9"/>
      <c r="P719" s="10"/>
      <c r="Q719" s="10"/>
      <c r="R719" s="10"/>
      <c r="S719" s="41">
        <f t="shared" si="1141"/>
        <v>0</v>
      </c>
      <c r="W719" s="190"/>
      <c r="Y719" s="42"/>
      <c r="Z719" s="1"/>
      <c r="AA719" s="206" t="str">
        <f t="shared" si="1142"/>
        <v/>
      </c>
    </row>
    <row r="720" spans="1:27" ns3:dyDescent="0.3">
      <c r="A720" s="59"/>
      <c r="B720" s="11"/>
      <c r="C720" s="247" t="s">
        <v>928</v>
      </c>
      <c r="D720" s="166">
        <f t="shared" ref="D720" si="1145">IFERROR((F720/E720),"")</f>
        <v>-7.9</v>
      </c>
      <c r="E720" s="4">
        <v>10</v>
      </c>
      <c r="F720" s="3">
        <f>IFERROR((L720-K720),"")</f>
        <v>-79</v>
      </c>
      <c r="G720" s="5">
        <f>G707</f>
        <v>8.5</v>
      </c>
      <c r="H720" s="6">
        <f>ROUNDUP((SUMPRODUCT(B721:B724,C721:C724))/1000,0)</f>
        <v>6</v>
      </c>
      <c r="I720" s="34">
        <f t="shared" ref="I720:I721" si="1146">IFERROR((S720*E720),"")</f>
        <v>80</v>
      </c>
      <c r="J720" s="78">
        <f>IFERROR(VLOOKUP(C720,[2]Sheet1!$D:$J,7,0),"")</f>
        <v>50</v>
      </c>
      <c r="K720" s="80">
        <f t="shared" ref="K720:K721" si="1147">IFERROR((I720+J720),"")</f>
        <v>130</v>
      </c>
      <c r="L720" s="7">
        <f t="shared" ref="L720:L721" si="1148">IFERROR((G720*H720),"")</f>
        <v>51</v>
      </c>
      <c r="M720" s="8">
        <f t="shared" ref="M720:M721" si="1149">IFERROR(K720-L720,"")</f>
        <v>79</v>
      </c>
      <c r="N720" s="57">
        <f t="shared" ref="N720" si="1150">IFERROR((K720/H720),"")</f>
        <v>21.666666666666668</v>
      </c>
      <c r="O720" s="9"/>
      <c r="P720" s="10"/>
      <c r="Q720" s="10">
        <v>2450</v>
      </c>
      <c r="R720" s="10">
        <f t="shared" ref="R720" si="1151">O720*P720*Q720</f>
        <v>0</v>
      </c>
      <c r="S720" s="41">
        <f t="shared" si="1141"/>
        <v>8</v>
      </c>
      <c r="T720" s="173">
        <v>5</v>
      </c>
      <c r="V720" s="173">
        <v>3</v>
      </c>
      <c r="W720" s="190"/>
      <c r="X720" s="183"/>
      <c r="Y720" s="42"/>
      <c r="Z720" s="1"/>
      <c r="AA720" s="206">
        <f t="shared" si="1142"/>
        <v>0.6428571428571429</v>
      </c>
    </row>
    <row r="721" spans="1:27" ns3:dyDescent="0.3">
      <c r="A721" s="248" t="s">
        <v>892</v>
      </c>
      <c r="B721" s="11">
        <f>ROUNDUP(HLOOKUP(A721,'야채 계산기'!$2:$3,2,0)*1.03,0)</f>
        <v>0</v>
      </c>
      <c r="C721" s="144">
        <v>7.84</v>
      </c>
      <c r="D721" s="166"/>
      <c r="E721" s="4"/>
      <c r="F721" s="3"/>
      <c r="G721" s="5"/>
      <c r="H721" s="6"/>
      <c r="I721" s="34">
        <f t="shared" si="1146"/>
        <v>0</v>
      </c>
      <c r="J721" s="78" t="str">
        <f>IFERROR(VLOOKUP(C721,[2]Sheet1!$D:$J,7,0),"")</f>
        <v/>
      </c>
      <c r="K721" s="80" t="str">
        <f t="shared" si="1147"/>
        <v/>
      </c>
      <c r="L721" s="7">
        <f t="shared" si="1148"/>
        <v>0</v>
      </c>
      <c r="M721" s="8" t="str">
        <f t="shared" si="1149"/>
        <v/>
      </c>
      <c r="N721" s="57"/>
      <c r="O721" s="9"/>
      <c r="P721" s="10"/>
      <c r="Q721" s="10"/>
      <c r="R721" s="10"/>
      <c r="S721" s="41">
        <f t="shared" ref="S721" si="1152">SUM(Y721,T721:X721)</f>
        <v>0</v>
      </c>
      <c r="W721" s="190"/>
      <c r="Y721" s="42"/>
      <c r="Z721" s="1"/>
      <c r="AA721" s="206" t="str">
        <f t="shared" ref="AA721" si="1153">IFERROR(H721*7.5/E721/7,"")</f>
        <v/>
      </c>
    </row>
    <row r="722" spans="1:27" ns3:dyDescent="0.3">
      <c r="A722" s="60"/>
      <c r="B722" s="11"/>
      <c r="C722" s="62" t="s">
        <v>242</v>
      </c>
      <c r="D722" s="166">
        <f t="shared" ref="D722:D727" si="1154">IFERROR((F722/E722),"")</f>
        <v>0.19999999999999929</v>
      </c>
      <c r="E722" s="4">
        <v>1</v>
      </c>
      <c r="F722" s="3">
        <f>IFERROR((L722-K722),"")</f>
        <v>0.19999999999999929</v>
      </c>
      <c r="G722" s="5">
        <f>G715</f>
        <v>5.5</v>
      </c>
      <c r="H722" s="6">
        <f>ROUNDUP(SUMPRODUCT(B723:B726,C723:C726)/8000,0)*1.2</f>
        <v>2.4</v>
      </c>
      <c r="I722" s="34">
        <f t="shared" ref="I722:I753" si="1155">IFERROR((S722*E722),"")</f>
        <v>6</v>
      </c>
      <c r="J722" s="78">
        <f>IFERROR(VLOOKUP(C722,[2]Sheet1!$D:$J,7,0),"")</f>
        <v>7</v>
      </c>
      <c r="K722" s="80">
        <f t="shared" ref="K722:K752" si="1156">IFERROR((I722+J722),"")</f>
        <v>13</v>
      </c>
      <c r="L722" s="7">
        <f t="shared" ref="L722:L753" si="1157">IFERROR((G722*H722),"")</f>
        <v>13.2</v>
      </c>
      <c r="M722" s="8">
        <f t="shared" ref="M722:M753" si="1158">IFERROR(K722-L722,"")</f>
        <v>-0.19999999999999929</v>
      </c>
      <c r="N722" s="57">
        <f t="shared" ref="N722:N727" si="1159">IFERROR((K722/H722),"")</f>
        <v>5.416666666666667</v>
      </c>
      <c r="O722" s="9"/>
      <c r="P722" s="10"/>
      <c r="Q722" s="10">
        <v>10500</v>
      </c>
      <c r="R722" s="10">
        <f t="shared" ref="R722:R727" si="1160">O722*P722*Q722</f>
        <v>0</v>
      </c>
      <c r="S722" s="41">
        <f t="shared" si="1141"/>
        <v>6</v>
      </c>
      <c r="T722" s="173">
        <v>4</v>
      </c>
      <c r="V722" s="173">
        <v>2</v>
      </c>
      <c r="W722" s="190"/>
      <c r="X722" s="183"/>
      <c r="Y722" s="42"/>
      <c r="Z722" s="1"/>
      <c r="AA722" s="206">
        <f t="shared" si="1142"/>
        <v>2.5714285714285716</v>
      </c>
    </row>
    <row r="723" spans="1:27" ns3:dyDescent="0.3">
      <c r="A723" s="61" t="s">
        <v>189</v>
      </c>
      <c r="B723" s="11">
        <f>ROUNDUP(HLOOKUP(A723,'야채 계산기'!$2:$3,2,0)*1.03,0)</f>
        <v>145</v>
      </c>
      <c r="C723" s="62">
        <f>'[1]착한김치김밥(250612)슈퍼'!$B$10</f>
        <v>0.66</v>
      </c>
      <c r="D723" s="166" t="str">
        <f t="shared" si="1154"/>
        <v/>
      </c>
      <c r="E723" s="4"/>
      <c r="F723" s="3"/>
      <c r="G723" s="5"/>
      <c r="H723" s="6"/>
      <c r="I723" s="34">
        <f t="shared" si="1155"/>
        <v>0</v>
      </c>
      <c r="J723" s="78" t="str">
        <f>IFERROR(VLOOKUP(C723,[2]Sheet1!$D:$J,7,0),"")</f>
        <v/>
      </c>
      <c r="K723" s="80" t="str">
        <f t="shared" si="1156"/>
        <v/>
      </c>
      <c r="L723" s="7">
        <f t="shared" si="1157"/>
        <v>0</v>
      </c>
      <c r="M723" s="8" t="str">
        <f t="shared" si="1158"/>
        <v/>
      </c>
      <c r="N723" s="57" t="str">
        <f t="shared" si="1159"/>
        <v/>
      </c>
      <c r="O723" s="9"/>
      <c r="P723" s="10"/>
      <c r="Q723" s="10"/>
      <c r="R723" s="10">
        <f t="shared" si="1160"/>
        <v>0</v>
      </c>
      <c r="S723" s="41">
        <f t="shared" si="1141"/>
        <v>0</v>
      </c>
      <c r="W723" s="190"/>
      <c r="Y723" s="42"/>
      <c r="Z723" s="1"/>
      <c r="AA723" s="206" t="str">
        <f t="shared" si="1142"/>
        <v/>
      </c>
    </row>
    <row r="724" spans="1:27" ns3:dyDescent="0.3">
      <c r="A724" s="61" t="s">
        <v>757</v>
      </c>
      <c r="B724" s="11">
        <f>ROUNDUP(HLOOKUP(A724,'야채 계산기'!$2:$3,2,0)*1.03,0)</f>
        <v>2266</v>
      </c>
      <c r="C724" s="62">
        <f>'[1]혜자)돌아온 명불허전(25.9.18)리뉴얼'!$B$19</f>
        <v>2.2199999999999998</v>
      </c>
      <c r="D724" s="166" t="str">
        <f t="shared" si="1154"/>
        <v/>
      </c>
      <c r="E724" s="4"/>
      <c r="F724" s="3"/>
      <c r="G724" s="5"/>
      <c r="H724" s="6"/>
      <c r="I724" s="34">
        <f t="shared" si="1155"/>
        <v>0</v>
      </c>
      <c r="J724" s="78" t="str">
        <f>IFERROR(VLOOKUP(C724,[2]Sheet1!$D:$J,7,0),"")</f>
        <v/>
      </c>
      <c r="K724" s="80" t="str">
        <f t="shared" si="1156"/>
        <v/>
      </c>
      <c r="L724" s="7">
        <f t="shared" si="1157"/>
        <v>0</v>
      </c>
      <c r="M724" s="8" t="str">
        <f t="shared" si="1158"/>
        <v/>
      </c>
      <c r="N724" s="57" t="str">
        <f t="shared" si="1159"/>
        <v/>
      </c>
      <c r="O724" s="9"/>
      <c r="P724" s="10"/>
      <c r="Q724" s="10"/>
      <c r="R724" s="10">
        <f t="shared" si="1160"/>
        <v>0</v>
      </c>
      <c r="S724" s="41">
        <f t="shared" si="1141"/>
        <v>0</v>
      </c>
      <c r="W724" s="190"/>
      <c r="Y724" s="42"/>
      <c r="Z724" s="1"/>
      <c r="AA724" s="206" t="str">
        <f t="shared" si="1142"/>
        <v/>
      </c>
    </row>
    <row r="725" spans="1:27" ns3:dyDescent="0.3">
      <c r="A725" s="61" t="s">
        <v>734</v>
      </c>
      <c r="B725" s="11">
        <f>ROUNDUP(HLOOKUP(A725,'야채 계산기'!$2:$3,2,0)*1.03,0)</f>
        <v>2081</v>
      </c>
      <c r="C725" s="164">
        <v>0.56999999999999995</v>
      </c>
      <c r="D725" s="166" t="str">
        <f t="shared" ref="D725" si="1161">IFERROR((F725/E725),"")</f>
        <v/>
      </c>
      <c r="E725" s="4"/>
      <c r="F725" s="3"/>
      <c r="G725" s="5"/>
      <c r="H725" s="6"/>
      <c r="I725" s="34">
        <f t="shared" ref="I725" si="1162">IFERROR((S725*E725),"")</f>
        <v>0</v>
      </c>
      <c r="J725" s="78" t="str">
        <f>IFERROR(VLOOKUP(C725,[2]Sheet1!$D:$J,7,0),"")</f>
        <v/>
      </c>
      <c r="K725" s="80" t="str">
        <f t="shared" ref="K725" si="1163">IFERROR((I725+J725),"")</f>
        <v/>
      </c>
      <c r="L725" s="7">
        <f t="shared" ref="L725" si="1164">IFERROR((G725*H725),"")</f>
        <v>0</v>
      </c>
      <c r="M725" s="8" t="str">
        <f t="shared" ref="M725" si="1165">IFERROR(K725-L725,"")</f>
        <v/>
      </c>
      <c r="N725" s="57" t="str">
        <f t="shared" ref="N725" si="1166">IFERROR((K725/H725),"")</f>
        <v/>
      </c>
      <c r="O725" s="9"/>
      <c r="P725" s="10"/>
      <c r="Q725" s="10"/>
      <c r="R725" s="10">
        <f t="shared" ref="R725" si="1167">O725*P725*Q725</f>
        <v>0</v>
      </c>
      <c r="S725" s="41">
        <f t="shared" ref="S725" si="1168">SUM(Y725,T725:X725)</f>
        <v>0</v>
      </c>
      <c r="W725" s="190"/>
      <c r="Y725" s="42"/>
      <c r="Z725" s="1"/>
      <c r="AA725" s="206" t="str">
        <f t="shared" ref="AA725" si="1169">IFERROR(H725*7.5/E725/7,"")</f>
        <v/>
      </c>
    </row>
    <row r="726" spans="1:27" ns3:dyDescent="0.3">
      <c r="A726" s="61" t="s">
        <v>712</v>
      </c>
      <c r="B726" s="11">
        <f>ROUNDUP(HLOOKUP(A726,'야채 계산기'!$2:$3,2,0)*1.03,0)</f>
        <v>1731</v>
      </c>
      <c r="C726" s="164">
        <v>1.2</v>
      </c>
      <c r="D726" s="166" t="str">
        <f t="shared" si="1154"/>
        <v/>
      </c>
      <c r="E726" s="4"/>
      <c r="F726" s="3"/>
      <c r="G726" s="5"/>
      <c r="H726" s="6"/>
      <c r="I726" s="34">
        <f t="shared" si="1155"/>
        <v>0</v>
      </c>
      <c r="J726" s="78" t="str">
        <f>IFERROR(VLOOKUP(C726,[2]Sheet1!$D:$J,7,0),"")</f>
        <v/>
      </c>
      <c r="K726" s="80" t="str">
        <f t="shared" si="1156"/>
        <v/>
      </c>
      <c r="L726" s="7">
        <f t="shared" si="1157"/>
        <v>0</v>
      </c>
      <c r="M726" s="8" t="str">
        <f t="shared" si="1158"/>
        <v/>
      </c>
      <c r="N726" s="57" t="str">
        <f t="shared" si="1159"/>
        <v/>
      </c>
      <c r="O726" s="9"/>
      <c r="P726" s="10"/>
      <c r="Q726" s="10"/>
      <c r="R726" s="10">
        <f t="shared" si="1160"/>
        <v>0</v>
      </c>
      <c r="S726" s="41">
        <f t="shared" si="1141"/>
        <v>0</v>
      </c>
      <c r="W726" s="190"/>
      <c r="Y726" s="42"/>
      <c r="Z726" s="1"/>
      <c r="AA726" s="206" t="str">
        <f t="shared" si="1142"/>
        <v/>
      </c>
    </row>
    <row r="727" spans="1:27" ns3:dyDescent="0.3">
      <c r="A727" s="13"/>
      <c r="B727" s="1"/>
      <c r="C727" s="170" t="s">
        <v>113</v>
      </c>
      <c r="D727" s="166">
        <f t="shared" si="1154"/>
        <v>-3.5</v>
      </c>
      <c r="E727" s="4">
        <v>1</v>
      </c>
      <c r="F727" s="3">
        <f>IFERROR((L727-K727),"")</f>
        <v>-3.5</v>
      </c>
      <c r="G727" s="5">
        <f>G722</f>
        <v>5.5</v>
      </c>
      <c r="H727" s="39">
        <f>ROUNDUP(B728,1)</f>
        <v>1</v>
      </c>
      <c r="I727" s="34">
        <f t="shared" si="1155"/>
        <v>4</v>
      </c>
      <c r="J727" s="78">
        <f>IFERROR(VLOOKUP(C727,[2]Sheet1!$D:$J,7,0),"")</f>
        <v>5</v>
      </c>
      <c r="K727" s="80">
        <f t="shared" si="1156"/>
        <v>9</v>
      </c>
      <c r="L727" s="7">
        <f t="shared" si="1157"/>
        <v>5.5</v>
      </c>
      <c r="M727" s="8">
        <f t="shared" si="1158"/>
        <v>3.5</v>
      </c>
      <c r="N727" s="57">
        <f t="shared" si="1159"/>
        <v>9</v>
      </c>
      <c r="O727" s="9"/>
      <c r="P727" s="10"/>
      <c r="Q727" s="10">
        <v>9000</v>
      </c>
      <c r="R727" s="10">
        <f t="shared" si="1160"/>
        <v>0</v>
      </c>
      <c r="S727" s="41">
        <f t="shared" si="1141"/>
        <v>4</v>
      </c>
      <c r="T727" s="173"/>
      <c r="V727" s="173">
        <v>4</v>
      </c>
      <c r="W727" s="190"/>
      <c r="X727" s="183"/>
      <c r="Y727" s="42"/>
      <c r="Z727" s="1"/>
      <c r="AA727" s="206">
        <f t="shared" si="1142"/>
        <v>1.0714285714285714</v>
      </c>
    </row>
    <row r="728" spans="1:27" ns3:dyDescent="0.3">
      <c r="A728" s="13" t="s">
        <v>112</v>
      </c>
      <c r="B728" s="93">
        <f>정제염!F2</f>
        <v>0.97469020000000017</v>
      </c>
      <c r="C728" s="164"/>
      <c r="D728" s="166"/>
      <c r="E728" s="4"/>
      <c r="F728" s="3"/>
      <c r="G728" s="5"/>
      <c r="H728" s="6"/>
      <c r="I728" s="34">
        <f t="shared" si="1155"/>
        <v>0</v>
      </c>
      <c r="J728" s="78" t="str">
        <f>IFERROR(VLOOKUP(C728,[2]Sheet1!$D:$J,7,0),"")</f>
        <v/>
      </c>
      <c r="K728" s="80" t="str">
        <f t="shared" si="1156"/>
        <v/>
      </c>
      <c r="L728" s="7">
        <f t="shared" si="1157"/>
        <v>0</v>
      </c>
      <c r="M728" s="8" t="str">
        <f t="shared" si="1158"/>
        <v/>
      </c>
      <c r="N728" s="57"/>
      <c r="O728" s="9"/>
      <c r="P728" s="10"/>
      <c r="Q728" s="10"/>
      <c r="R728" s="10"/>
      <c r="S728" s="41">
        <f t="shared" si="1141"/>
        <v>0</v>
      </c>
      <c r="W728" s="190"/>
      <c r="Y728" s="42"/>
      <c r="Z728" s="1"/>
      <c r="AA728" s="206" t="str">
        <f t="shared" si="1142"/>
        <v/>
      </c>
    </row>
    <row r="729" spans="1:27" ns3:dyDescent="0.3">
      <c r="A729" s="11"/>
      <c r="B729" s="11"/>
      <c r="C729" s="164" t="s">
        <v>187</v>
      </c>
      <c r="D729" s="166">
        <f>IFERROR((F729/E729),"")</f>
        <v>-0.46999999999999992</v>
      </c>
      <c r="E729" s="4">
        <v>5</v>
      </c>
      <c r="F729" s="3">
        <f>IFERROR((L729-K729),"")</f>
        <v>-2.3499999999999996</v>
      </c>
      <c r="G729" s="5">
        <f>G727</f>
        <v>5.5</v>
      </c>
      <c r="H729" s="39">
        <f>ROUNDUP(SUMPRODUCT(B730:B731,C730:C731)/2400,1)</f>
        <v>0.30000000000000004</v>
      </c>
      <c r="I729" s="34">
        <f t="shared" si="1155"/>
        <v>0</v>
      </c>
      <c r="J729" s="78">
        <f>IFERROR(VLOOKUP(C729,[2]Sheet1!$D:$J,7,0),"")</f>
        <v>4</v>
      </c>
      <c r="K729" s="80">
        <f t="shared" si="1156"/>
        <v>4</v>
      </c>
      <c r="L729" s="7">
        <f t="shared" si="1157"/>
        <v>1.6500000000000004</v>
      </c>
      <c r="M729" s="8">
        <f t="shared" si="1158"/>
        <v>2.3499999999999996</v>
      </c>
      <c r="N729" s="57">
        <f>IFERROR((K729/H729),"")</f>
        <v>13.333333333333332</v>
      </c>
      <c r="O729" s="9"/>
      <c r="P729" s="10"/>
      <c r="Q729" s="10">
        <v>6905</v>
      </c>
      <c r="R729" s="10">
        <f>O729*P729*Q729</f>
        <v>0</v>
      </c>
      <c r="S729" s="41">
        <f t="shared" si="1141"/>
        <v>0</v>
      </c>
      <c r="T729" s="173"/>
      <c r="V729" s="173"/>
      <c r="W729" s="190"/>
      <c r="X729" s="183"/>
      <c r="Y729" s="42"/>
      <c r="Z729" s="1"/>
      <c r="AA729" s="206">
        <f t="shared" si="1142"/>
        <v>6.4285714285714293E-2</v>
      </c>
    </row>
    <row r="730" spans="1:27" ns3:dyDescent="0.3">
      <c r="A730" s="13" t="s">
        <v>269</v>
      </c>
      <c r="B730" s="11">
        <f>ROUNDUP(HLOOKUP(A730,'야채 계산기'!$2:$3,2,0),0)</f>
        <v>1050</v>
      </c>
      <c r="C730" s="170">
        <v>0.53</v>
      </c>
      <c r="D730" s="166"/>
      <c r="E730" s="4"/>
      <c r="F730" s="3"/>
      <c r="G730" s="5"/>
      <c r="H730" s="6"/>
      <c r="I730" s="34">
        <f t="shared" ref="I730:I736" si="1170">IFERROR((S730*E730),"")</f>
        <v>0</v>
      </c>
      <c r="J730" s="78" t="str">
        <f>IFERROR(VLOOKUP(C730,[2]Sheet1!$D:$J,7,0),"")</f>
        <v/>
      </c>
      <c r="K730" s="80" t="str">
        <f t="shared" ref="K730" si="1171">IFERROR((I730+J730),"")</f>
        <v/>
      </c>
      <c r="L730" s="7">
        <f t="shared" ref="L730:L736" si="1172">IFERROR((G730*H730),"")</f>
        <v>0</v>
      </c>
      <c r="M730" s="8" t="str">
        <f t="shared" ref="M730:M736" si="1173">IFERROR(K730-L730,"")</f>
        <v/>
      </c>
      <c r="N730" s="57"/>
      <c r="O730" s="9"/>
      <c r="P730" s="10"/>
      <c r="Q730" s="10"/>
      <c r="R730" s="10"/>
      <c r="S730" s="41">
        <f t="shared" si="1141"/>
        <v>0</v>
      </c>
      <c r="W730" s="190"/>
      <c r="Y730" s="42"/>
      <c r="AA730" s="206" t="str">
        <f t="shared" si="1142"/>
        <v/>
      </c>
    </row>
    <row r="731" spans="1:27" ns3:dyDescent="0.3">
      <c r="A731" s="60" t="s">
        <v>599</v>
      </c>
      <c r="B731" s="11">
        <f>ROUNDUP(HLOOKUP(A731,'야채 계산기'!$2:$3,2,0),0)</f>
        <v>440</v>
      </c>
      <c r="C731" s="170">
        <v>0.17</v>
      </c>
      <c r="D731" s="166"/>
      <c r="E731" s="4"/>
      <c r="F731" s="3"/>
      <c r="G731" s="5"/>
      <c r="H731" s="6"/>
      <c r="I731" s="34">
        <f t="shared" si="1170"/>
        <v>0</v>
      </c>
      <c r="J731" s="78" t="str">
        <f>IFERROR(VLOOKUP(C731,[2]Sheet1!$D:$J,7,0),"")</f>
        <v/>
      </c>
      <c r="K731" s="80" t="str">
        <f t="shared" si="1156"/>
        <v/>
      </c>
      <c r="L731" s="7">
        <f t="shared" si="1172"/>
        <v>0</v>
      </c>
      <c r="M731" s="8" t="str">
        <f t="shared" si="1173"/>
        <v/>
      </c>
      <c r="N731" s="57"/>
      <c r="O731" s="9"/>
      <c r="P731" s="10"/>
      <c r="Q731" s="10"/>
      <c r="R731" s="10"/>
      <c r="S731" s="41">
        <f t="shared" si="1141"/>
        <v>0</v>
      </c>
      <c r="W731" s="190"/>
      <c r="Y731" s="42"/>
      <c r="AA731" s="206" t="str">
        <f t="shared" si="1142"/>
        <v/>
      </c>
    </row>
    <row r="732" spans="1:27" ht="18" customHeight="1" ns3:dyDescent="0.3">
      <c r="A732" s="11"/>
      <c r="B732" s="11"/>
      <c r="C732" s="164" t="s">
        <v>652</v>
      </c>
      <c r="D732" s="166">
        <f>IFERROR((F732/E732),"")</f>
        <v>-5.2999999999999989</v>
      </c>
      <c r="E732" s="4">
        <v>1</v>
      </c>
      <c r="F732" s="3">
        <f>IFERROR((L732-K732),"")</f>
        <v>-5.2999999999999989</v>
      </c>
      <c r="G732" s="5">
        <f>G729</f>
        <v>5.5</v>
      </c>
      <c r="H732" s="39">
        <f>ROUNDUP(SUMPRODUCT(B733:B745, C733:C745)/15000,1)</f>
        <v>1.4000000000000001</v>
      </c>
      <c r="I732" s="34">
        <f t="shared" si="1170"/>
        <v>8</v>
      </c>
      <c r="J732" s="78">
        <f>IFERROR(VLOOKUP(C732,[2]Sheet1!$D:$J,7,0),"")</f>
        <v>5</v>
      </c>
      <c r="K732" s="80">
        <f>IFERROR((I732+J732),"")</f>
        <v>13</v>
      </c>
      <c r="L732" s="7">
        <f t="shared" si="1172"/>
        <v>7.7000000000000011</v>
      </c>
      <c r="M732" s="8">
        <f t="shared" si="1173"/>
        <v>5.2999999999999989</v>
      </c>
      <c r="N732" s="57">
        <f>IFERROR((K732/H732),"")</f>
        <v>9.2857142857142847</v>
      </c>
      <c r="O732" s="9"/>
      <c r="P732" s="10"/>
      <c r="Q732" s="10">
        <v>19800</v>
      </c>
      <c r="R732" s="10">
        <f>O732*P732*Q732</f>
        <v>0</v>
      </c>
      <c r="S732" s="41">
        <f t="shared" ref="S732:S745" si="1174">SUM(Y732,T732:X732)</f>
        <v>8</v>
      </c>
      <c r="T732" s="173">
        <v>4</v>
      </c>
      <c r="U732" s="243"/>
      <c r="V732" s="173">
        <v>4</v>
      </c>
      <c r="W732" s="243"/>
      <c r="X732" s="173"/>
      <c r="Y732" s="243"/>
      <c r="AA732" s="206">
        <f t="shared" ref="AA732:AA740" si="1175">IFERROR(H732*7.5/E732/7,"")</f>
        <v>1.5000000000000002</v>
      </c>
    </row>
    <row r="733" spans="1:27" ns3:dyDescent="0.3">
      <c r="A733" s="13" t="s">
        <v>16</v>
      </c>
      <c r="B733" s="11">
        <f>ROUNDUP(HLOOKUP(A733,'야채 계산기'!$2:$3,2,0),0)</f>
        <v>3150</v>
      </c>
      <c r="C733" s="164">
        <v>0.81</v>
      </c>
      <c r="D733" s="166"/>
      <c r="E733" s="4"/>
      <c r="F733" s="3"/>
      <c r="G733" s="5"/>
      <c r="H733" s="6"/>
      <c r="I733" s="34">
        <f t="shared" si="1170"/>
        <v>0</v>
      </c>
      <c r="J733" s="78" t="str">
        <f>IFERROR(VLOOKUP(C733,[2]Sheet1!$D:$J,7,0),"")</f>
        <v/>
      </c>
      <c r="K733" s="80"/>
      <c r="L733" s="7">
        <f t="shared" si="1172"/>
        <v>0</v>
      </c>
      <c r="M733" s="8">
        <f t="shared" si="1173"/>
        <v>0</v>
      </c>
      <c r="N733" s="57"/>
      <c r="O733" s="9"/>
      <c r="P733" s="10"/>
      <c r="Q733" s="10"/>
      <c r="R733" s="10"/>
      <c r="S733" s="41">
        <f t="shared" si="1174"/>
        <v>0</v>
      </c>
      <c r="Y733" s="42"/>
      <c r="Z733" s="1"/>
      <c r="AA733" s="206" t="str">
        <f t="shared" si="1175"/>
        <v/>
      </c>
    </row>
    <row r="734" spans="1:27" hidden="1" ns3:dyDescent="0.3">
      <c r="A734" s="11" t="s">
        <v>174</v>
      </c>
      <c r="B734" s="11">
        <f>ROUNDUP(HLOOKUP(A734,'야채 계산기'!$2:$3,2,0),0)</f>
        <v>170</v>
      </c>
      <c r="C734" s="164">
        <v>3.05</v>
      </c>
      <c r="D734" s="166"/>
      <c r="E734" s="4"/>
      <c r="F734" s="3"/>
      <c r="G734" s="5"/>
      <c r="H734" s="6"/>
      <c r="I734" s="34">
        <f t="shared" si="1170"/>
        <v>0</v>
      </c>
      <c r="J734" s="78" t="str">
        <f>IFERROR(VLOOKUP(C734,[2]Sheet1!$D:$J,7,0),"")</f>
        <v/>
      </c>
      <c r="K734" s="80" t="str">
        <f t="shared" ref="K734:K735" si="1176">IFERROR((I734+J734),"")</f>
        <v/>
      </c>
      <c r="L734" s="7">
        <f t="shared" si="1172"/>
        <v>0</v>
      </c>
      <c r="M734" s="8" t="str">
        <f t="shared" si="1173"/>
        <v/>
      </c>
      <c r="N734" s="57"/>
      <c r="O734" s="9"/>
      <c r="P734" s="10"/>
      <c r="Q734" s="10"/>
      <c r="R734" s="10"/>
      <c r="S734" s="41">
        <f t="shared" si="1174"/>
        <v>0</v>
      </c>
      <c r="W734" s="190"/>
      <c r="X734" s="190"/>
      <c r="Y734" s="42"/>
      <c r="Z734" s="1"/>
      <c r="AA734" s="206" t="str">
        <f t="shared" si="1175"/>
        <v/>
      </c>
    </row>
    <row r="735" spans="1:27" hidden="1" ns3:dyDescent="0.3">
      <c r="A735" s="11" t="s">
        <v>489</v>
      </c>
      <c r="B735" s="11">
        <f>ROUNDUP(HLOOKUP(A735,'야채 계산기'!$2:$3,2,0),0)</f>
        <v>2090</v>
      </c>
      <c r="C735" s="62">
        <f>'[1]스팸무스비(25.8.26)'!$B$8</f>
        <v>0.65</v>
      </c>
      <c r="D735" s="166"/>
      <c r="E735" s="4"/>
      <c r="F735" s="3"/>
      <c r="G735" s="5"/>
      <c r="H735" s="6"/>
      <c r="I735" s="34">
        <f t="shared" si="1170"/>
        <v>0</v>
      </c>
      <c r="J735" s="78" t="str">
        <f>IFERROR(VLOOKUP(C735,[2]Sheet1!$D:$J,7,0),"")</f>
        <v/>
      </c>
      <c r="K735" s="80" t="str">
        <f t="shared" si="1176"/>
        <v/>
      </c>
      <c r="L735" s="7">
        <f t="shared" si="1172"/>
        <v>0</v>
      </c>
      <c r="M735" s="8" t="str">
        <f t="shared" si="1173"/>
        <v/>
      </c>
      <c r="N735" s="57"/>
      <c r="O735" s="9"/>
      <c r="P735" s="10"/>
      <c r="Q735" s="10"/>
      <c r="R735" s="10"/>
      <c r="S735" s="41">
        <f t="shared" si="1174"/>
        <v>0</v>
      </c>
      <c r="W735" s="190"/>
      <c r="X735" s="190"/>
      <c r="Y735" s="42"/>
      <c r="Z735" s="1"/>
      <c r="AA735" s="206" t="str">
        <f t="shared" si="1175"/>
        <v/>
      </c>
    </row>
    <row r="736" spans="1:27" hidden="1" ns3:dyDescent="0.3">
      <c r="A736" s="11" t="s">
        <v>302</v>
      </c>
      <c r="B736" s="11">
        <f>ROUNDUP(HLOOKUP(A736,'야채 계산기'!$2:$3,2,0),0)</f>
        <v>6030</v>
      </c>
      <c r="C736" s="62">
        <v>0.63</v>
      </c>
      <c r="D736" s="166"/>
      <c r="E736" s="4"/>
      <c r="F736" s="3"/>
      <c r="G736" s="5"/>
      <c r="H736" s="6"/>
      <c r="I736" s="34">
        <f t="shared" si="1170"/>
        <v>0</v>
      </c>
      <c r="J736" s="78" t="str">
        <f>IFERROR(VLOOKUP(C736,[2]Sheet1!$D:$J,7,0),"")</f>
        <v/>
      </c>
      <c r="K736" s="80" t="str">
        <f>IFERROR((I736+J736),"")</f>
        <v/>
      </c>
      <c r="L736" s="7">
        <f t="shared" si="1172"/>
        <v>0</v>
      </c>
      <c r="M736" s="8" t="str">
        <f t="shared" si="1173"/>
        <v/>
      </c>
      <c r="N736" s="57"/>
      <c r="O736" s="9"/>
      <c r="P736" s="10"/>
      <c r="Q736" s="10"/>
      <c r="R736" s="10"/>
      <c r="S736" s="41">
        <f t="shared" si="1174"/>
        <v>0</v>
      </c>
      <c r="W736" s="190"/>
      <c r="X736" s="190"/>
      <c r="Y736" s="42"/>
      <c r="Z736" s="1"/>
      <c r="AA736" s="206" t="str">
        <f t="shared" si="1175"/>
        <v/>
      </c>
    </row>
    <row r="737" spans="1:27" hidden="1" ns3:dyDescent="0.3">
      <c r="A737" s="11" t="s">
        <v>297</v>
      </c>
      <c r="B737" s="11">
        <f>ROUNDUP(HLOOKUP(A737,'야채 계산기'!$2:$3,2,0),0)</f>
        <v>4900</v>
      </c>
      <c r="C737" s="62">
        <v>0.79</v>
      </c>
      <c r="D737" s="166"/>
      <c r="E737" s="4"/>
      <c r="F737" s="3"/>
      <c r="G737" s="5"/>
      <c r="H737" s="6"/>
      <c r="I737" s="34">
        <f t="shared" ref="I737" si="1177">IFERROR((S737*E737),"")</f>
        <v>0</v>
      </c>
      <c r="J737" s="78" t="str">
        <f>IFERROR(VLOOKUP(C737,[2]Sheet1!$D:$J,7,0),"")</f>
        <v/>
      </c>
      <c r="K737" s="80" t="str">
        <f t="shared" ref="K737" si="1178">IFERROR((I737+J737),"")</f>
        <v/>
      </c>
      <c r="L737" s="7">
        <f t="shared" ref="L737" si="1179">IFERROR((G737*H737),"")</f>
        <v>0</v>
      </c>
      <c r="M737" s="8" t="str">
        <f t="shared" ref="M737" si="1180">IFERROR(K737-L737,"")</f>
        <v/>
      </c>
      <c r="N737" s="57"/>
      <c r="O737" s="9"/>
      <c r="P737" s="10"/>
      <c r="Q737" s="10"/>
      <c r="R737" s="10"/>
      <c r="S737" s="41">
        <f t="shared" si="1174"/>
        <v>0</v>
      </c>
      <c r="W737" s="190"/>
      <c r="X737" s="190"/>
      <c r="Y737" s="42"/>
      <c r="Z737" s="1"/>
      <c r="AA737" s="206" t="str">
        <f t="shared" si="1175"/>
        <v/>
      </c>
    </row>
    <row r="738" spans="1:27" hidden="1" ns3:dyDescent="0.3">
      <c r="A738" s="11" t="s">
        <v>189</v>
      </c>
      <c r="B738" s="11">
        <f>ROUNDUP(HLOOKUP(A738,'야채 계산기'!$2:$3,2,0),0)</f>
        <v>140</v>
      </c>
      <c r="C738" s="62">
        <f>'[1]착한김치김밥(250612)슈퍼'!$B$11</f>
        <v>3.13</v>
      </c>
      <c r="D738" s="166"/>
      <c r="E738" s="4"/>
      <c r="F738" s="3"/>
      <c r="G738" s="5"/>
      <c r="H738" s="6"/>
      <c r="I738" s="34">
        <f>IFERROR((S738*E738),"")</f>
        <v>0</v>
      </c>
      <c r="J738" s="78" t="str">
        <f>IFERROR(VLOOKUP(C738,[2]Sheet1!$D:$J,7,0),"")</f>
        <v/>
      </c>
      <c r="K738" s="80" t="str">
        <f>IFERROR((I738+J738),"")</f>
        <v/>
      </c>
      <c r="L738" s="7">
        <f>IFERROR((G738*H738),"")</f>
        <v>0</v>
      </c>
      <c r="M738" s="8" t="str">
        <f>IFERROR(K738-L738,"")</f>
        <v/>
      </c>
      <c r="N738" s="57"/>
      <c r="O738" s="9"/>
      <c r="P738" s="10"/>
      <c r="Q738" s="10"/>
      <c r="R738" s="10"/>
      <c r="S738" s="41">
        <f t="shared" si="1174"/>
        <v>0</v>
      </c>
      <c r="W738" s="190"/>
      <c r="X738" s="190"/>
      <c r="Y738" s="42"/>
      <c r="AA738" s="206" t="str">
        <f t="shared" si="1175"/>
        <v/>
      </c>
    </row>
    <row r="739" spans="1:27" hidden="1" ns3:dyDescent="0.3">
      <c r="A739" s="11" t="s">
        <v>299</v>
      </c>
      <c r="B739" s="11">
        <f>ROUNDUP(HLOOKUP(A739,'야채 계산기'!$2:$3,2,0),0)</f>
        <v>30</v>
      </c>
      <c r="C739" s="62">
        <v>2.63</v>
      </c>
      <c r="D739" s="166"/>
      <c r="E739" s="4"/>
      <c r="F739" s="3"/>
      <c r="G739" s="5"/>
      <c r="H739" s="6"/>
      <c r="I739" s="34">
        <f t="shared" ref="I739" si="1181">IFERROR((S739*E739),"")</f>
        <v>0</v>
      </c>
      <c r="J739" s="78" t="str">
        <f>IFERROR(VLOOKUP(C739,[2]Sheet1!$D:$J,7,0),"")</f>
        <v/>
      </c>
      <c r="K739" s="80" t="str">
        <f t="shared" ref="K739" si="1182">IFERROR((I739+J739),"")</f>
        <v/>
      </c>
      <c r="L739" s="7">
        <f t="shared" ref="L739" si="1183">IFERROR((G739*H739),"")</f>
        <v>0</v>
      </c>
      <c r="M739" s="8" t="str">
        <f t="shared" ref="M739" si="1184">IFERROR(K739-L739,"")</f>
        <v/>
      </c>
      <c r="N739" s="57"/>
      <c r="O739" s="9"/>
      <c r="P739" s="10"/>
      <c r="Q739" s="10"/>
      <c r="R739" s="10"/>
      <c r="S739" s="41">
        <f t="shared" si="1174"/>
        <v>0</v>
      </c>
      <c r="W739" s="190"/>
      <c r="X739" s="190"/>
      <c r="Y739" s="42"/>
      <c r="AA739" s="206" t="str">
        <f t="shared" si="1175"/>
        <v/>
      </c>
    </row>
    <row r="740" spans="1:27" hidden="1" ns3:dyDescent="0.3">
      <c r="A740" s="11" t="s">
        <v>303</v>
      </c>
      <c r="B740" s="11">
        <f>ROUNDUP(HLOOKUP(A740,'야채 계산기'!$2:$3,2,0),0)</f>
        <v>3620</v>
      </c>
      <c r="C740" s="62">
        <v>0.13</v>
      </c>
      <c r="D740" s="166"/>
      <c r="E740" s="4"/>
      <c r="F740" s="3"/>
      <c r="G740" s="5"/>
      <c r="H740" s="6"/>
      <c r="I740" s="34">
        <f>IFERROR((S740*E740),"")</f>
        <v>0</v>
      </c>
      <c r="J740" s="78" t="str">
        <f>IFERROR(VLOOKUP(C740,[2]Sheet1!$D:$J,7,0),"")</f>
        <v/>
      </c>
      <c r="K740" s="80" t="str">
        <f>IFERROR((I740+J740),"")</f>
        <v/>
      </c>
      <c r="L740" s="7">
        <f>IFERROR((G740*H740),"")</f>
        <v>0</v>
      </c>
      <c r="M740" s="8" t="str">
        <f>IFERROR(K740-L740,"")</f>
        <v/>
      </c>
      <c r="N740" s="57"/>
      <c r="O740" s="9"/>
      <c r="P740" s="10"/>
      <c r="Q740" s="10"/>
      <c r="R740" s="10"/>
      <c r="S740" s="41">
        <f t="shared" si="1174"/>
        <v>0</v>
      </c>
      <c r="W740" s="190"/>
      <c r="X740" s="190"/>
      <c r="Y740" s="42"/>
      <c r="Z740" s="1">
        <v>1</v>
      </c>
      <c r="AA740" s="206" t="str">
        <f t="shared" si="1175"/>
        <v/>
      </c>
    </row>
    <row r="741" spans="1:27" hidden="1" ns3:dyDescent="0.3">
      <c r="A741" s="11" t="s">
        <v>491</v>
      </c>
      <c r="B741" s="11">
        <f>ROUNDUP(HLOOKUP(A741,'야채 계산기'!$2:$3,2,0),0)</f>
        <v>4420</v>
      </c>
      <c r="C741" s="62">
        <f>'[1]풀)들기름묵은지참치마요(25.10.14)'!$B$10</f>
        <v>0.08</v>
      </c>
      <c r="D741" s="166"/>
      <c r="E741" s="4"/>
      <c r="F741" s="3"/>
      <c r="G741" s="5"/>
      <c r="H741" s="6"/>
      <c r="I741" s="34">
        <f t="shared" ref="I741:I742" si="1185">IFERROR((S741*E741),"")</f>
        <v>0</v>
      </c>
      <c r="J741" s="78" t="str">
        <f>IFERROR(VLOOKUP(C741,[2]Sheet1!$D:$J,7,0),"")</f>
        <v/>
      </c>
      <c r="K741" s="80" t="str">
        <f t="shared" ref="K741:K742" si="1186">IFERROR((I741+J741),"")</f>
        <v/>
      </c>
      <c r="L741" s="7">
        <f t="shared" ref="L741:L742" si="1187">IFERROR((G741*H741),"")</f>
        <v>0</v>
      </c>
      <c r="M741" s="8" t="str">
        <f t="shared" ref="M741:M742" si="1188">IFERROR(K741-L741,"")</f>
        <v/>
      </c>
      <c r="N741" s="57"/>
      <c r="O741" s="9"/>
      <c r="P741" s="10"/>
      <c r="Q741" s="10"/>
      <c r="R741" s="10"/>
      <c r="S741" s="41">
        <f t="shared" si="1174"/>
        <v>0</v>
      </c>
      <c r="W741" s="190"/>
      <c r="X741" s="190"/>
      <c r="Y741" s="42"/>
      <c r="Z741" s="1"/>
      <c r="AA741" s="206">
        <v>5</v>
      </c>
    </row>
    <row r="742" spans="1:27" hidden="1" ns3:dyDescent="0.3">
      <c r="A742" s="248" t="s">
        <v>727</v>
      </c>
      <c r="B742" s="11">
        <f>ROUNDUP(HLOOKUP(A742,'야채 계산기'!$2:$3,2,0),0)</f>
        <v>2020</v>
      </c>
      <c r="C742" s="62">
        <v>1.1399999999999999</v>
      </c>
      <c r="D742" s="166"/>
      <c r="E742" s="4"/>
      <c r="F742" s="3"/>
      <c r="G742" s="5"/>
      <c r="H742" s="6"/>
      <c r="I742" s="34">
        <f t="shared" si="1185"/>
        <v>0</v>
      </c>
      <c r="J742" s="78" t="str">
        <f>IFERROR(VLOOKUP(C742,[2]Sheet1!$D:$J,7,0),"")</f>
        <v/>
      </c>
      <c r="K742" s="80" t="str">
        <f t="shared" si="1186"/>
        <v/>
      </c>
      <c r="L742" s="7">
        <f t="shared" si="1187"/>
        <v>0</v>
      </c>
      <c r="M742" s="8" t="str">
        <f t="shared" si="1188"/>
        <v/>
      </c>
      <c r="N742" s="57"/>
      <c r="O742" s="9"/>
      <c r="P742" s="10"/>
      <c r="Q742" s="10"/>
      <c r="R742" s="10"/>
      <c r="S742" s="41">
        <f t="shared" si="1174"/>
        <v>0</v>
      </c>
      <c r="W742" s="190"/>
      <c r="X742" s="190"/>
      <c r="Y742" s="42"/>
      <c r="Z742" s="1"/>
      <c r="AA742" s="206" t="str">
        <f t="shared" ref="AA742:AA745" si="1189">IFERROR(H742*7.5/E742/7,"")</f>
        <v/>
      </c>
    </row>
    <row r="743" spans="1:27" hidden="1" ns3:dyDescent="0.3">
      <c r="A743" s="11" t="s">
        <v>256</v>
      </c>
      <c r="B743" s="11">
        <f>ROUNDUP(HLOOKUP(A743,'야채 계산기'!$2:$3,2,0),0)</f>
        <v>2840</v>
      </c>
      <c r="C743" s="164">
        <v>1.19</v>
      </c>
      <c r="D743" s="166"/>
      <c r="E743" s="4"/>
      <c r="F743" s="3"/>
      <c r="G743" s="5"/>
      <c r="H743" s="39"/>
      <c r="I743" s="34">
        <f t="shared" ref="I743:I745" si="1190">IFERROR((S743*E743),"")</f>
        <v>0</v>
      </c>
      <c r="J743" s="78" t="str">
        <f>IFERROR(VLOOKUP(C743,[2]Sheet1!$D:$J,7,0),"")</f>
        <v/>
      </c>
      <c r="K743" s="80" t="str">
        <f t="shared" ref="K743:K745" si="1191">IFERROR((I743+J743),"")</f>
        <v/>
      </c>
      <c r="L743" s="7">
        <f t="shared" ref="L743:L745" si="1192">IFERROR((G743*H743),"")</f>
        <v>0</v>
      </c>
      <c r="M743" s="8" t="str">
        <f t="shared" ref="M743:M745" si="1193">IFERROR(K743-L743,"")</f>
        <v/>
      </c>
      <c r="N743" s="57" t="str">
        <f>IFERROR((K743/H743),"")</f>
        <v/>
      </c>
      <c r="O743" s="9"/>
      <c r="P743" s="10"/>
      <c r="Q743" s="10"/>
      <c r="R743" s="10"/>
      <c r="S743" s="41">
        <f t="shared" si="1174"/>
        <v>0</v>
      </c>
      <c r="T743" s="169"/>
      <c r="U743" s="169"/>
      <c r="V743" s="169"/>
      <c r="W743" s="190"/>
      <c r="X743" s="190"/>
      <c r="Y743" s="42"/>
      <c r="Z743" s="1"/>
      <c r="AA743" s="206" t="str">
        <f t="shared" si="1189"/>
        <v/>
      </c>
    </row>
    <row r="744" spans="1:27" hidden="1" ns3:dyDescent="0.3">
      <c r="A744" s="11" t="s">
        <v>443</v>
      </c>
      <c r="B744" s="11">
        <f>ROUNDUP(HLOOKUP(A744,'야채 계산기'!$2:$3,2,0),0)</f>
        <v>1340</v>
      </c>
      <c r="C744" s="164">
        <v>0.34</v>
      </c>
      <c r="D744" s="166"/>
      <c r="E744" s="4"/>
      <c r="F744" s="3"/>
      <c r="G744" s="5"/>
      <c r="H744" s="39"/>
      <c r="I744" s="34">
        <f t="shared" si="1190"/>
        <v>0</v>
      </c>
      <c r="J744" s="78" t="str">
        <f>IFERROR(VLOOKUP(C744,[2]Sheet1!$D:$J,7,0),"")</f>
        <v/>
      </c>
      <c r="K744" s="80" t="str">
        <f t="shared" si="1191"/>
        <v/>
      </c>
      <c r="L744" s="7">
        <f t="shared" si="1192"/>
        <v>0</v>
      </c>
      <c r="M744" s="8" t="str">
        <f t="shared" si="1193"/>
        <v/>
      </c>
      <c r="N744" s="57" t="str">
        <f>IFERROR((K744/H744),"")</f>
        <v/>
      </c>
      <c r="O744" s="9"/>
      <c r="P744" s="10"/>
      <c r="Q744" s="10"/>
      <c r="R744" s="10"/>
      <c r="S744" s="41">
        <f t="shared" si="1174"/>
        <v>0</v>
      </c>
      <c r="T744" s="169"/>
      <c r="U744" s="169"/>
      <c r="V744" s="169"/>
      <c r="W744" s="190"/>
      <c r="X744" s="190"/>
      <c r="Y744" s="42"/>
      <c r="Z744" s="1"/>
      <c r="AA744" s="206" t="str">
        <f t="shared" si="1189"/>
        <v/>
      </c>
    </row>
    <row r="745" spans="1:27" hidden="1" ns3:dyDescent="0.3">
      <c r="A745" s="13" t="s">
        <v>563</v>
      </c>
      <c r="B745" s="11">
        <f>ROUNDUP(HLOOKUP(A745,'야채 계산기'!$2:$3,2,0),0)</f>
        <v>1780</v>
      </c>
      <c r="C745" s="164">
        <v>0.4</v>
      </c>
      <c r="D745" s="166"/>
      <c r="E745" s="4"/>
      <c r="F745" s="3"/>
      <c r="G745" s="5"/>
      <c r="H745" s="39"/>
      <c r="I745" s="34">
        <f t="shared" si="1190"/>
        <v>0</v>
      </c>
      <c r="J745" s="78" t="str">
        <f>IFERROR(VLOOKUP(C745,[2]Sheet1!$D:$J,7,0),"")</f>
        <v/>
      </c>
      <c r="K745" s="80" t="str">
        <f t="shared" si="1191"/>
        <v/>
      </c>
      <c r="L745" s="7">
        <f t="shared" si="1192"/>
        <v>0</v>
      </c>
      <c r="M745" s="8" t="str">
        <f t="shared" si="1193"/>
        <v/>
      </c>
      <c r="N745" s="57" t="str">
        <f>IFERROR((K745/H745),"")</f>
        <v/>
      </c>
      <c r="O745" s="9"/>
      <c r="P745" s="10"/>
      <c r="Q745" s="10"/>
      <c r="R745" s="10"/>
      <c r="S745" s="41">
        <f t="shared" si="1174"/>
        <v>0</v>
      </c>
      <c r="T745" s="169"/>
      <c r="U745" s="169"/>
      <c r="V745" s="169"/>
      <c r="W745" s="190"/>
      <c r="X745" s="190"/>
      <c r="Y745" s="42"/>
      <c r="Z745" s="1"/>
      <c r="AA745" s="206" t="str">
        <f t="shared" si="1189"/>
        <v/>
      </c>
    </row>
    <row r="746" spans="1:27" ns3:dyDescent="0.3">
      <c r="A746" s="11"/>
      <c r="B746" s="11"/>
      <c r="C746" s="62" t="s">
        <v>774</v>
      </c>
      <c r="D746" s="166" t="str">
        <f>IFERROR((F746/E746),"")</f>
        <v/>
      </c>
      <c r="E746" s="4">
        <v>6</v>
      </c>
      <c r="F746" s="3" t="str">
        <f>IFERROR((L746-K746),"")</f>
        <v/>
      </c>
      <c r="G746" s="5">
        <f>G750</f>
        <v>0</v>
      </c>
      <c r="H746" s="6">
        <f>ROUNDUP(SUMPRODUCT(B747:B747,C747:C747)/3000,1)</f>
        <v>2.4</v>
      </c>
      <c r="I746" s="34">
        <f>IFERROR((S746*E746),"")</f>
        <v>12</v>
      </c>
      <c r="J746" s="78" t="str">
        <f>IFERROR(VLOOKUP(C746,[2]Sheet1!$D:$J,7,0),"")</f>
        <v/>
      </c>
      <c r="K746" s="80" t="str">
        <f>IFERROR((I746+J746),"")</f>
        <v/>
      </c>
      <c r="L746" s="7">
        <f>IFERROR((G746*H746),"")</f>
        <v>0</v>
      </c>
      <c r="M746" s="8" t="str">
        <f>IFERROR(K746-L746,"")</f>
        <v/>
      </c>
      <c r="N746" s="57" t="str">
        <f>IFERROR((K746/H746),"")</f>
        <v/>
      </c>
      <c r="O746" s="9"/>
      <c r="P746" s="10"/>
      <c r="Q746" s="10">
        <v>7300</v>
      </c>
      <c r="R746" s="10">
        <f>O746*P746*Q746</f>
        <v>0</v>
      </c>
      <c r="S746" s="41">
        <f>SUM(Y746,T746:X746)</f>
        <v>2</v>
      </c>
      <c r="T746" s="173">
        <v>1</v>
      </c>
      <c r="V746" s="173">
        <v>1</v>
      </c>
      <c r="W746" s="190"/>
      <c r="X746" s="183"/>
      <c r="Y746" s="42"/>
      <c r="Z746" s="1"/>
      <c r="AA746" s="206">
        <f>IFERROR(H746*7.5/E746/7,"")</f>
        <v>0.42857142857142855</v>
      </c>
    </row>
    <row r="747" spans="1:27" ns3:dyDescent="0.3">
      <c r="A747" s="60" t="s">
        <v>727</v>
      </c>
      <c r="B747" s="11">
        <f>ROUNDUP(HLOOKUP(A747,'야채 계산기'!$2:$3,2,0)*1.03,0)</f>
        <v>2081</v>
      </c>
      <c r="C747" s="62">
        <v>3.38</v>
      </c>
      <c r="D747" s="166"/>
      <c r="E747" s="4"/>
      <c r="F747" s="3" t="str">
        <f t="shared" ref="F747" si="1194">IFERROR((L747-K747),"")</f>
        <v/>
      </c>
      <c r="G747" s="5"/>
      <c r="H747" s="6"/>
      <c r="I747" s="34">
        <f>IFERROR((S747*E747),"")</f>
        <v>0</v>
      </c>
      <c r="J747" s="78" t="str">
        <f>IFERROR(VLOOKUP(C747,[2]Sheet1!$D:$J,7,0),"")</f>
        <v/>
      </c>
      <c r="K747" s="80" t="str">
        <f>IFERROR((I747+J747),"")</f>
        <v/>
      </c>
      <c r="L747" s="7">
        <f>IFERROR((G747*H747),"")</f>
        <v>0</v>
      </c>
      <c r="M747" s="8" t="str">
        <f>IFERROR(K747-L747,"")</f>
        <v/>
      </c>
      <c r="N747" s="57"/>
      <c r="O747" s="9"/>
      <c r="P747" s="10"/>
      <c r="Q747" s="10"/>
      <c r="R747" s="10"/>
      <c r="S747" s="41">
        <f>SUM(Y747,T747:X747)</f>
        <v>0</v>
      </c>
      <c r="W747" s="190"/>
      <c r="Y747" s="42"/>
      <c r="AA747" s="206" t="str">
        <f>IFERROR(H747*7.5/E747/7,"")</f>
        <v/>
      </c>
    </row>
    <row r="748" spans="1:27" ns3:dyDescent="0.3">
      <c r="A748" s="2"/>
      <c r="B748" s="2"/>
      <c r="C748" s="164"/>
      <c r="D748" s="166" t="str">
        <f>IFERROR((F748/E748),"")</f>
        <v/>
      </c>
      <c r="E748" s="4"/>
      <c r="F748" s="17"/>
      <c r="G748" s="5"/>
      <c r="H748" s="6"/>
      <c r="I748" s="34">
        <f>IFERROR((S748*E748),"")</f>
        <v>0</v>
      </c>
      <c r="J748" s="78" t="str">
        <f>IFERROR(VLOOKUP(C748,[2]Sheet1!$D:$J,7,0),"")</f>
        <v/>
      </c>
      <c r="K748" s="80"/>
      <c r="L748" s="7">
        <f>IFERROR((G748*H748),"")</f>
        <v>0</v>
      </c>
      <c r="M748" s="8">
        <f>IFERROR(K748-L748,"")</f>
        <v>0</v>
      </c>
      <c r="N748" s="57"/>
      <c r="O748" s="9"/>
      <c r="P748" s="10"/>
      <c r="Q748" s="10"/>
      <c r="R748" s="10">
        <f>O748*P748*Q748</f>
        <v>0</v>
      </c>
      <c r="S748" s="41">
        <f t="shared" ref="S748" si="1195">SUM(Y748,T748:X748)</f>
        <v>0</v>
      </c>
      <c r="W748" s="190"/>
      <c r="Y748" s="42"/>
      <c r="Z748" s="1"/>
      <c r="AA748" s="206" t="str">
        <f t="shared" ref="AA748" si="1196">IFERROR(H748*7.5/E748/7,"")</f>
        <v/>
      </c>
    </row>
    <row r="749" spans="1:27" ns3:dyDescent="0.3">
      <c r="A749" s="59"/>
      <c r="B749" s="11"/>
      <c r="C749" s="164" t="s">
        <v>243</v>
      </c>
      <c r="D749" s="166">
        <f>IFERROR((F749/E749),"")</f>
        <v>-0.625</v>
      </c>
      <c r="E749" s="4">
        <v>12</v>
      </c>
      <c r="F749" s="3">
        <f>IFERROR((L749-K749),"")</f>
        <v>-7.5</v>
      </c>
      <c r="G749" s="5">
        <f>G729</f>
        <v>5.5</v>
      </c>
      <c r="H749" s="39">
        <f>ROUNDUP(SUMPRODUCT(B750:B753,C750:C753)/1000,0)</f>
        <v>3</v>
      </c>
      <c r="I749" s="34">
        <f t="shared" si="1155"/>
        <v>12</v>
      </c>
      <c r="J749" s="78">
        <f>IFERROR(VLOOKUP(C749,[2]Sheet1!$D:$J,7,0),"")</f>
        <v>12</v>
      </c>
      <c r="K749" s="80">
        <f t="shared" si="1156"/>
        <v>24</v>
      </c>
      <c r="L749" s="7">
        <f t="shared" si="1157"/>
        <v>16.5</v>
      </c>
      <c r="M749" s="8">
        <f t="shared" si="1158"/>
        <v>7.5</v>
      </c>
      <c r="N749" s="57">
        <f t="shared" ref="N749:N754" si="1197">IFERROR((K749/H749),"")</f>
        <v>8</v>
      </c>
      <c r="O749" s="9"/>
      <c r="P749" s="10"/>
      <c r="Q749" s="10">
        <v>16500</v>
      </c>
      <c r="R749" s="10">
        <f t="shared" ref="R749:R754" si="1198">O749*P749*Q749</f>
        <v>0</v>
      </c>
      <c r="S749" s="41">
        <f t="shared" si="1141"/>
        <v>1</v>
      </c>
      <c r="T749" s="173"/>
      <c r="V749" s="173">
        <v>1</v>
      </c>
      <c r="W749" s="190"/>
      <c r="X749" s="183"/>
      <c r="Y749" s="42"/>
      <c r="Z749" s="1"/>
      <c r="AA749" s="206">
        <f t="shared" si="1142"/>
        <v>0.26785714285714285</v>
      </c>
    </row>
    <row r="750" spans="1:27" ns3:dyDescent="0.3">
      <c r="A750" s="11" t="s">
        <v>303</v>
      </c>
      <c r="B750" s="11">
        <f>ROUNDUP(HLOOKUP(A750,'야채 계산기'!$2:$3,2,0)*1.03,0)</f>
        <v>3729</v>
      </c>
      <c r="C750" s="164">
        <f>0.32+0.06</f>
        <v>0.38</v>
      </c>
      <c r="D750" s="166"/>
      <c r="E750" s="4"/>
      <c r="F750" s="3"/>
      <c r="G750" s="5"/>
      <c r="H750" s="6"/>
      <c r="I750" s="34">
        <f t="shared" si="1155"/>
        <v>0</v>
      </c>
      <c r="J750" s="78" t="str">
        <f>IFERROR(VLOOKUP(C750,[2]Sheet1!$D:$J,7,0),"")</f>
        <v/>
      </c>
      <c r="K750" s="80" t="str">
        <f t="shared" si="1156"/>
        <v/>
      </c>
      <c r="L750" s="7">
        <f t="shared" si="1157"/>
        <v>0</v>
      </c>
      <c r="M750" s="8" t="str">
        <f t="shared" si="1158"/>
        <v/>
      </c>
      <c r="N750" s="57" t="str">
        <f t="shared" si="1197"/>
        <v/>
      </c>
      <c r="O750" s="9"/>
      <c r="P750" s="10"/>
      <c r="Q750" s="10"/>
      <c r="R750" s="10">
        <f t="shared" si="1198"/>
        <v>0</v>
      </c>
      <c r="S750" s="41">
        <f t="shared" si="1141"/>
        <v>0</v>
      </c>
      <c r="W750" s="190"/>
      <c r="Y750" s="42"/>
      <c r="Z750" s="1"/>
      <c r="AA750" s="206" t="str">
        <f t="shared" si="1142"/>
        <v/>
      </c>
    </row>
    <row r="751" spans="1:27" ns3:dyDescent="0.3">
      <c r="A751" s="11" t="s">
        <v>491</v>
      </c>
      <c r="B751" s="11">
        <f>ROUNDUP(HLOOKUP(A751,'야채 계산기'!$2:$3,2,0)*1.03,0)</f>
        <v>4553</v>
      </c>
      <c r="C751" s="164">
        <f>0.19+0.04</f>
        <v>0.23</v>
      </c>
      <c r="D751" s="166"/>
      <c r="E751" s="4"/>
      <c r="F751" s="3"/>
      <c r="G751" s="5"/>
      <c r="H751" s="6"/>
      <c r="I751" s="34">
        <f t="shared" si="1155"/>
        <v>0</v>
      </c>
      <c r="J751" s="78" t="str">
        <f>IFERROR(VLOOKUP(C751,[2]Sheet1!$D:$J,7,0),"")</f>
        <v/>
      </c>
      <c r="K751" s="80" t="str">
        <f t="shared" si="1156"/>
        <v/>
      </c>
      <c r="L751" s="7">
        <f t="shared" si="1157"/>
        <v>0</v>
      </c>
      <c r="M751" s="8" t="str">
        <f t="shared" si="1158"/>
        <v/>
      </c>
      <c r="N751" s="57" t="str">
        <f t="shared" si="1197"/>
        <v/>
      </c>
      <c r="O751" s="9"/>
      <c r="P751" s="10"/>
      <c r="Q751" s="10"/>
      <c r="R751" s="10">
        <f t="shared" si="1198"/>
        <v>0</v>
      </c>
      <c r="S751" s="41">
        <f t="shared" si="1141"/>
        <v>0</v>
      </c>
      <c r="W751" s="190"/>
      <c r="Y751" s="42"/>
      <c r="Z751" s="1"/>
      <c r="AA751" s="206" t="str">
        <f t="shared" si="1142"/>
        <v/>
      </c>
    </row>
    <row r="752" spans="1:27" ns3:dyDescent="0.3">
      <c r="A752" s="11" t="s">
        <v>443</v>
      </c>
      <c r="B752" s="11">
        <f>ROUNDUP(HLOOKUP(A752,'야채 계산기'!$2:$3,2,0)*1.03,0)</f>
        <v>1381</v>
      </c>
      <c r="C752" s="164">
        <v>0.1</v>
      </c>
      <c r="D752" s="166" t="str">
        <f>IFERROR((F752/E752),"")</f>
        <v/>
      </c>
      <c r="E752" s="4"/>
      <c r="F752" s="3"/>
      <c r="G752" s="5"/>
      <c r="H752" s="6"/>
      <c r="I752" s="34">
        <f t="shared" ref="I752" si="1199">IFERROR((S752*E752),"")</f>
        <v>0</v>
      </c>
      <c r="J752" s="78" t="str">
        <f>IFERROR(VLOOKUP(C752,[2]Sheet1!$D:$J,7,0),"")</f>
        <v/>
      </c>
      <c r="K752" s="80" t="str">
        <f t="shared" si="1156"/>
        <v/>
      </c>
      <c r="L752" s="7">
        <f t="shared" ref="L752" si="1200">IFERROR((G752*H752),"")</f>
        <v>0</v>
      </c>
      <c r="M752" s="8" t="str">
        <f t="shared" ref="M752" si="1201">IFERROR(K752-L752,"")</f>
        <v/>
      </c>
      <c r="N752" s="57" t="str">
        <f t="shared" ref="N752" si="1202">IFERROR((K752/H752),"")</f>
        <v/>
      </c>
      <c r="O752" s="9"/>
      <c r="P752" s="10"/>
      <c r="Q752" s="10"/>
      <c r="R752" s="10">
        <f t="shared" ref="R752" si="1203">O752*P752*Q752</f>
        <v>0</v>
      </c>
      <c r="S752" s="41">
        <f t="shared" si="1141"/>
        <v>0</v>
      </c>
      <c r="W752" s="190"/>
      <c r="Y752" s="42"/>
      <c r="Z752" s="1"/>
      <c r="AA752" s="206" t="str">
        <f t="shared" si="1142"/>
        <v/>
      </c>
    </row>
    <row r="753" spans="1:27" ns3:dyDescent="0.3">
      <c r="A753" s="13" t="s">
        <v>563</v>
      </c>
      <c r="B753" s="11">
        <f>ROUNDUP(HLOOKUP(A753,'야채 계산기'!$2:$3,2,0)*1.03,0)</f>
        <v>1834</v>
      </c>
      <c r="C753" s="164">
        <v>0.08</v>
      </c>
      <c r="D753" s="166" t="str">
        <f>IFERROR((F753/E753),"")</f>
        <v/>
      </c>
      <c r="E753" s="4"/>
      <c r="F753" s="3"/>
      <c r="G753" s="5"/>
      <c r="H753" s="6"/>
      <c r="I753" s="34">
        <f t="shared" si="1155"/>
        <v>0</v>
      </c>
      <c r="J753" s="78" t="str">
        <f>IFERROR(VLOOKUP(C753,[2]Sheet1!$D:$J,7,0),"")</f>
        <v/>
      </c>
      <c r="K753" s="80" t="str">
        <f t="shared" ref="K753" si="1204">IFERROR((I753+J753),"")</f>
        <v/>
      </c>
      <c r="L753" s="7">
        <f t="shared" si="1157"/>
        <v>0</v>
      </c>
      <c r="M753" s="8" t="str">
        <f t="shared" si="1158"/>
        <v/>
      </c>
      <c r="N753" s="57" t="str">
        <f t="shared" si="1197"/>
        <v/>
      </c>
      <c r="O753" s="9"/>
      <c r="P753" s="10"/>
      <c r="Q753" s="10"/>
      <c r="R753" s="10">
        <f t="shared" si="1198"/>
        <v>0</v>
      </c>
      <c r="S753" s="41">
        <f t="shared" si="1141"/>
        <v>0</v>
      </c>
      <c r="W753" s="190"/>
      <c r="Y753" s="42"/>
      <c r="Z753" s="1"/>
      <c r="AA753" s="206" t="str">
        <f t="shared" si="1142"/>
        <v/>
      </c>
    </row>
    <row r="754" spans="1:27" ns3:dyDescent="0.3">
      <c r="A754" s="61"/>
      <c r="B754" s="235" t="s">
        <v>872</v>
      </c>
      <c r="C754" s="236" t="s">
        <v>159</v>
      </c>
      <c r="D754" s="166">
        <f>IFERROR((F754/E754),"")</f>
        <v>-8.18</v>
      </c>
      <c r="E754" s="4">
        <v>1</v>
      </c>
      <c r="F754" s="3">
        <f>IFERROR((L754-K754),"")</f>
        <v>-8.18</v>
      </c>
      <c r="G754" s="5">
        <f>G732</f>
        <v>5.5</v>
      </c>
      <c r="H754" s="6">
        <f>ROUNDUP(SUMPRODUCT(B755:B759,C755:C759)/10000,1)*1.35</f>
        <v>3.24</v>
      </c>
      <c r="I754" s="34">
        <f t="shared" ref="I754:I759" si="1205">IFERROR((S754*E754),"")</f>
        <v>16</v>
      </c>
      <c r="J754" s="78">
        <f>IFERROR(VLOOKUP(C754,[2]Sheet1!$D:$J,7,0),"")</f>
        <v>10</v>
      </c>
      <c r="K754" s="80">
        <f t="shared" ref="K754" si="1206">IFERROR((I754+J754),"")</f>
        <v>26</v>
      </c>
      <c r="L754" s="7">
        <f t="shared" ref="L754:L759" si="1207">IFERROR((G754*H754),"")</f>
        <v>17.82</v>
      </c>
      <c r="M754" s="8">
        <f t="shared" ref="M754:M759" si="1208">IFERROR(K754-L754,"")</f>
        <v>8.18</v>
      </c>
      <c r="N754" s="57">
        <f t="shared" si="1197"/>
        <v>8.0246913580246915</v>
      </c>
      <c r="O754" s="9"/>
      <c r="P754" s="10"/>
      <c r="Q754" s="10">
        <v>39294</v>
      </c>
      <c r="R754" s="10">
        <f t="shared" si="1198"/>
        <v>0</v>
      </c>
      <c r="S754" s="41">
        <f t="shared" si="1141"/>
        <v>16</v>
      </c>
      <c r="T754" s="173">
        <v>10</v>
      </c>
      <c r="V754" s="173">
        <v>6</v>
      </c>
      <c r="W754" s="190"/>
      <c r="X754" s="183"/>
      <c r="Y754" s="42"/>
      <c r="Z754" s="1"/>
      <c r="AA754" s="206">
        <f t="shared" si="1142"/>
        <v>3.4714285714285715</v>
      </c>
    </row>
    <row r="755" spans="1:27" ns3:dyDescent="0.3">
      <c r="A755" s="59" t="s">
        <v>495</v>
      </c>
      <c r="B755" s="11">
        <f>ROUNDUP(HLOOKUP(A755,'야채 계산기'!$2:$3,2,0)*1.03,0)</f>
        <v>0</v>
      </c>
      <c r="C755" s="164">
        <f>'[1]혜자)직화불고기&amp;오징어제육(25.9.16)'!$B$4</f>
        <v>3.86</v>
      </c>
      <c r="D755" s="166"/>
      <c r="E755" s="4"/>
      <c r="F755" s="3"/>
      <c r="G755" s="5"/>
      <c r="H755" s="6"/>
      <c r="I755" s="34">
        <f t="shared" si="1205"/>
        <v>0</v>
      </c>
      <c r="J755" s="78" t="str">
        <f>IFERROR(VLOOKUP(C755,[2]Sheet1!$D:$J,7,0),"")</f>
        <v/>
      </c>
      <c r="K755" s="80" t="str">
        <f t="shared" ref="K755:K759" si="1209">IFERROR((I755+J755),"")</f>
        <v/>
      </c>
      <c r="L755" s="7">
        <f t="shared" si="1207"/>
        <v>0</v>
      </c>
      <c r="M755" s="8" t="str">
        <f t="shared" si="1208"/>
        <v/>
      </c>
      <c r="N755" s="57"/>
      <c r="O755" s="9"/>
      <c r="P755" s="10"/>
      <c r="Q755" s="10"/>
      <c r="R755" s="10"/>
      <c r="S755" s="41">
        <f t="shared" si="1141"/>
        <v>0</v>
      </c>
      <c r="W755" s="190"/>
      <c r="Y755" s="42"/>
      <c r="Z755" s="1"/>
      <c r="AA755" s="206" t="str">
        <f t="shared" si="1142"/>
        <v/>
      </c>
    </row>
    <row r="756" spans="1:27" ns3:dyDescent="0.3">
      <c r="A756" s="60" t="s">
        <v>583</v>
      </c>
      <c r="B756" s="11">
        <f>ROUNDUP(HLOOKUP(A756,'야채 계산기'!$2:$3,2,0)*1.03,0)</f>
        <v>835</v>
      </c>
      <c r="C756" s="164">
        <f>'[1]혜자)갈비양념제육도시락(25.9.30)'!$B$4</f>
        <v>3.67</v>
      </c>
      <c r="D756" s="166"/>
      <c r="E756" s="4"/>
      <c r="F756" s="3"/>
      <c r="G756" s="5"/>
      <c r="H756" s="6"/>
      <c r="I756" s="34">
        <f t="shared" si="1205"/>
        <v>0</v>
      </c>
      <c r="J756" s="78" t="str">
        <f>IFERROR(VLOOKUP(C756,[2]Sheet1!$D:$J,7,0),"")</f>
        <v/>
      </c>
      <c r="K756" s="80" t="str">
        <f t="shared" si="1209"/>
        <v/>
      </c>
      <c r="L756" s="7">
        <f t="shared" si="1207"/>
        <v>0</v>
      </c>
      <c r="M756" s="8" t="str">
        <f t="shared" si="1208"/>
        <v/>
      </c>
      <c r="N756" s="57"/>
      <c r="O756" s="9"/>
      <c r="P756" s="10"/>
      <c r="Q756" s="10"/>
      <c r="R756" s="10"/>
      <c r="S756" s="41">
        <f t="shared" si="1141"/>
        <v>0</v>
      </c>
      <c r="W756" s="190"/>
      <c r="Y756" s="42"/>
      <c r="Z756" s="1"/>
      <c r="AA756" s="206" t="str">
        <f t="shared" si="1142"/>
        <v/>
      </c>
    </row>
    <row r="757" spans="1:27" ns3:dyDescent="0.3">
      <c r="A757" s="13" t="s">
        <v>624</v>
      </c>
      <c r="B757" s="11">
        <f>ROUNDUP(HLOOKUP(A757,'야채 계산기'!$2:$3,2,0)*1.03,0)</f>
        <v>1206</v>
      </c>
      <c r="C757" s="164">
        <v>4.6100000000000003</v>
      </c>
      <c r="D757" s="166"/>
      <c r="E757" s="4"/>
      <c r="F757" s="3"/>
      <c r="G757" s="5"/>
      <c r="H757" s="6"/>
      <c r="I757" s="34">
        <f t="shared" ref="I757:I758" si="1210">IFERROR((S757*E757),"")</f>
        <v>0</v>
      </c>
      <c r="J757" s="78" t="str">
        <f>IFERROR(VLOOKUP(C757,[2]Sheet1!$D:$J,7,0),"")</f>
        <v/>
      </c>
      <c r="K757" s="80" t="str">
        <f t="shared" ref="K757:K758" si="1211">IFERROR((I757+J757),"")</f>
        <v/>
      </c>
      <c r="L757" s="7">
        <f t="shared" ref="L757:L758" si="1212">IFERROR((G757*H757),"")</f>
        <v>0</v>
      </c>
      <c r="M757" s="8" t="str">
        <f t="shared" ref="M757:M758" si="1213">IFERROR(K757-L757,"")</f>
        <v/>
      </c>
      <c r="N757" s="57"/>
      <c r="O757" s="9"/>
      <c r="P757" s="10"/>
      <c r="Q757" s="10"/>
      <c r="R757" s="10"/>
      <c r="S757" s="41">
        <f t="shared" si="1141"/>
        <v>0</v>
      </c>
      <c r="W757" s="190"/>
      <c r="Y757" s="42"/>
      <c r="Z757" s="1"/>
      <c r="AA757" s="206" t="str">
        <f t="shared" si="1142"/>
        <v/>
      </c>
    </row>
    <row r="758" spans="1:27" ns3:dyDescent="0.3">
      <c r="A758" s="60" t="s">
        <v>638</v>
      </c>
      <c r="B758" s="11">
        <f>ROUNDUP(HLOOKUP(A758,'야채 계산기'!$2:$3,2,0)*1.03,0)</f>
        <v>1515</v>
      </c>
      <c r="C758" s="164">
        <v>3.76</v>
      </c>
      <c r="D758" s="166"/>
      <c r="E758" s="4"/>
      <c r="F758" s="3"/>
      <c r="G758" s="5"/>
      <c r="H758" s="6"/>
      <c r="I758" s="34">
        <f t="shared" si="1210"/>
        <v>0</v>
      </c>
      <c r="J758" s="78" t="str">
        <f>IFERROR(VLOOKUP(C758,[2]Sheet1!$D:$J,7,0),"")</f>
        <v/>
      </c>
      <c r="K758" s="80" t="str">
        <f t="shared" si="1211"/>
        <v/>
      </c>
      <c r="L758" s="7">
        <f t="shared" si="1212"/>
        <v>0</v>
      </c>
      <c r="M758" s="8" t="str">
        <f t="shared" si="1213"/>
        <v/>
      </c>
      <c r="N758" s="57"/>
      <c r="O758" s="9"/>
      <c r="P758" s="10"/>
      <c r="Q758" s="10"/>
      <c r="R758" s="10"/>
      <c r="S758" s="41">
        <f t="shared" ref="S758" si="1214">SUM(Y758,T758:X758)</f>
        <v>0</v>
      </c>
      <c r="W758" s="190"/>
      <c r="Y758" s="42"/>
      <c r="Z758" s="1"/>
      <c r="AA758" s="206" t="str">
        <f t="shared" ref="AA758" si="1215">IFERROR(H758*7.5/E758/7,"")</f>
        <v/>
      </c>
    </row>
    <row r="759" spans="1:27" ns3:dyDescent="0.3">
      <c r="A759" s="60" t="s">
        <v>712</v>
      </c>
      <c r="B759" s="11">
        <f>ROUNDUP(HLOOKUP(A759,'야채 계산기'!$2:$3,2,0)*1.03,0)</f>
        <v>1731</v>
      </c>
      <c r="C759" s="164">
        <v>5.13</v>
      </c>
      <c r="D759" s="166"/>
      <c r="E759" s="4"/>
      <c r="F759" s="3"/>
      <c r="G759" s="5"/>
      <c r="H759" s="6"/>
      <c r="I759" s="34">
        <f t="shared" si="1205"/>
        <v>0</v>
      </c>
      <c r="J759" s="78" t="str">
        <f>IFERROR(VLOOKUP(C759,[2]Sheet1!$D:$J,7,0),"")</f>
        <v/>
      </c>
      <c r="K759" s="80" t="str">
        <f t="shared" si="1209"/>
        <v/>
      </c>
      <c r="L759" s="7">
        <f t="shared" si="1207"/>
        <v>0</v>
      </c>
      <c r="M759" s="8" t="str">
        <f t="shared" si="1208"/>
        <v/>
      </c>
      <c r="N759" s="57"/>
      <c r="O759" s="9"/>
      <c r="P759" s="10"/>
      <c r="Q759" s="10"/>
      <c r="R759" s="10"/>
      <c r="S759" s="41">
        <f t="shared" si="1141"/>
        <v>0</v>
      </c>
      <c r="W759" s="190"/>
      <c r="Y759" s="42"/>
      <c r="Z759" s="1"/>
      <c r="AA759" s="206" t="str">
        <f t="shared" si="1142"/>
        <v/>
      </c>
    </row>
    <row r="760" spans="1:27" ns3:dyDescent="0.3">
      <c r="A760" s="11"/>
      <c r="B760" s="11"/>
      <c r="C760" s="62" t="s">
        <v>280</v>
      </c>
      <c r="D760" s="166">
        <f>IFERROR((F760/E760),"")</f>
        <v>0</v>
      </c>
      <c r="E760" s="4">
        <v>50</v>
      </c>
      <c r="F760" s="3">
        <f>IFERROR((L760-K760),"")</f>
        <v>0</v>
      </c>
      <c r="G760" s="5">
        <f>G750</f>
        <v>0</v>
      </c>
      <c r="H760" s="6">
        <f>ROUNDUP(SUMPRODUCT(B762:B762,C762:C762)/200,1)</f>
        <v>0.2</v>
      </c>
      <c r="I760" s="34">
        <f t="shared" ref="I760:I762" si="1216">IFERROR((S760*E760),"")</f>
        <v>0</v>
      </c>
      <c r="J760" s="78">
        <f>IFERROR(VLOOKUP(C760,[2]Sheet1!$D:$J,7,0),"")</f>
        <v>0</v>
      </c>
      <c r="K760" s="80">
        <f t="shared" ref="K760:K762" si="1217">IFERROR((I760+J760),"")</f>
        <v>0</v>
      </c>
      <c r="L760" s="7">
        <f t="shared" ref="L760:L762" si="1218">IFERROR((G760*H760),"")</f>
        <v>0</v>
      </c>
      <c r="M760" s="8">
        <f t="shared" ref="M760:M762" si="1219">IFERROR(K760-L760,"")</f>
        <v>0</v>
      </c>
      <c r="N760" s="57">
        <f>IFERROR((K760/H760),"")</f>
        <v>0</v>
      </c>
      <c r="O760" s="9"/>
      <c r="P760" s="10"/>
      <c r="Q760" s="10"/>
      <c r="R760" s="10">
        <f>O760*P760*Q760</f>
        <v>0</v>
      </c>
      <c r="S760" s="41">
        <f t="shared" ref="S760:S762" si="1220">SUM(Y760,T760:X760)</f>
        <v>0</v>
      </c>
      <c r="T760" s="173"/>
      <c r="V760" s="173"/>
      <c r="W760" s="190"/>
      <c r="X760" s="183"/>
      <c r="Y760" s="42"/>
      <c r="Z760" s="1"/>
      <c r="AA760" s="206">
        <f t="shared" ref="AA760:AA762" si="1221">IFERROR(H760*7.5/E760/7,"")</f>
        <v>4.2857142857142859E-3</v>
      </c>
    </row>
    <row r="761" spans="1:27" ns3:dyDescent="0.3">
      <c r="A761" s="176" t="s">
        <v>276</v>
      </c>
      <c r="B761" s="11">
        <f>ROUNDUP(HLOOKUP(A761,'야채 계산기'!$2:$3,2,0)*1.03,0)</f>
        <v>0</v>
      </c>
      <c r="C761" s="62">
        <v>0.23</v>
      </c>
      <c r="D761" s="166"/>
      <c r="E761" s="4"/>
      <c r="F761" s="3" t="str">
        <f t="shared" ref="F761" si="1222">IFERROR((L761-K761),"")</f>
        <v/>
      </c>
      <c r="G761" s="5"/>
      <c r="H761" s="6"/>
      <c r="I761" s="34">
        <f t="shared" ref="I761" si="1223">IFERROR((S761*E761),"")</f>
        <v>0</v>
      </c>
      <c r="J761" s="78" t="str">
        <f>IFERROR(VLOOKUP(C761,[2]Sheet1!$D:$J,7,0),"")</f>
        <v/>
      </c>
      <c r="K761" s="80" t="str">
        <f t="shared" ref="K761" si="1224">IFERROR((I761+J761),"")</f>
        <v/>
      </c>
      <c r="L761" s="7">
        <f t="shared" ref="L761" si="1225">IFERROR((G761*H761),"")</f>
        <v>0</v>
      </c>
      <c r="M761" s="8" t="str">
        <f t="shared" ref="M761" si="1226">IFERROR(K761-L761,"")</f>
        <v/>
      </c>
      <c r="N761" s="57"/>
      <c r="O761" s="9"/>
      <c r="P761" s="10"/>
      <c r="Q761" s="10"/>
      <c r="R761" s="10"/>
      <c r="S761" s="41">
        <f t="shared" ref="S761" si="1227">SUM(Y761,T761:X761)</f>
        <v>0</v>
      </c>
      <c r="W761" s="190"/>
      <c r="Y761" s="42"/>
      <c r="AA761" s="206" t="str">
        <f t="shared" ref="AA761" si="1228">IFERROR(H761*7.5/E761/7,"")</f>
        <v/>
      </c>
    </row>
    <row r="762" spans="1:27" ns3:dyDescent="0.3">
      <c r="A762" s="60" t="s">
        <v>734</v>
      </c>
      <c r="B762" s="11">
        <f>ROUNDUP(HLOOKUP(A762,'야채 계산기'!$2:$3,2,0)*1.03,0)</f>
        <v>2081</v>
      </c>
      <c r="C762" s="62">
        <v>0.01</v>
      </c>
      <c r="D762" s="166"/>
      <c r="E762" s="4"/>
      <c r="F762" s="3" t="str">
        <f t="shared" ref="F762" si="1229">IFERROR((L762-K762),"")</f>
        <v/>
      </c>
      <c r="G762" s="5"/>
      <c r="H762" s="6"/>
      <c r="I762" s="34">
        <f t="shared" si="1216"/>
        <v>0</v>
      </c>
      <c r="J762" s="78" t="str">
        <f>IFERROR(VLOOKUP(C762,[2]Sheet1!$D:$J,7,0),"")</f>
        <v/>
      </c>
      <c r="K762" s="80" t="str">
        <f t="shared" si="1217"/>
        <v/>
      </c>
      <c r="L762" s="7">
        <f t="shared" si="1218"/>
        <v>0</v>
      </c>
      <c r="M762" s="8" t="str">
        <f t="shared" si="1219"/>
        <v/>
      </c>
      <c r="N762" s="57"/>
      <c r="O762" s="9"/>
      <c r="P762" s="10"/>
      <c r="Q762" s="10"/>
      <c r="R762" s="10"/>
      <c r="S762" s="41">
        <f t="shared" si="1220"/>
        <v>0</v>
      </c>
      <c r="W762" s="190"/>
      <c r="Y762" s="42"/>
      <c r="AA762" s="206" t="str">
        <f t="shared" si="1221"/>
        <v/>
      </c>
    </row>
    <row r="763" spans="1:27" hidden="1" ns3:dyDescent="0.3">
      <c r="A763" s="11"/>
      <c r="B763" s="11" t="e">
        <f>ROUNDUP(HLOOKUP(A763,'야채 계산기'!$2:$3,2,0)*1.03,0)</f>
        <v>#N/A</v>
      </c>
      <c r="C763" s="262" t="s">
        <v>546</v>
      </c>
      <c r="D763" s="166" t="str">
        <f t="shared" ref="D763:D764" si="1230">IFERROR((F763/E763),"")</f>
        <v/>
      </c>
      <c r="E763" s="4">
        <v>10</v>
      </c>
      <c r="F763" s="3" t="str">
        <f>IFERROR((L763-K763),"")</f>
        <v/>
      </c>
      <c r="G763" s="5">
        <f>G668</f>
        <v>6</v>
      </c>
      <c r="H763" s="6" t="e">
        <f>ROUNDUP((B764*C764)/800,1)</f>
        <v>#N/A</v>
      </c>
      <c r="I763" s="34">
        <f t="shared" ref="I763:I764" si="1231">IFERROR((S763*E763),"")</f>
        <v>0</v>
      </c>
      <c r="J763" s="78" t="str">
        <f>IFERROR(VLOOKUP(C763,[2]Sheet1!$D:$J,7,0),"")</f>
        <v/>
      </c>
      <c r="K763" s="80" t="str">
        <f t="shared" ref="K763:K764" si="1232">IFERROR((I763+J763),"")</f>
        <v/>
      </c>
      <c r="L763" s="7" t="str">
        <f t="shared" ref="L763:L764" si="1233">IFERROR((G763*H763),"")</f>
        <v/>
      </c>
      <c r="M763" s="8" t="str">
        <f t="shared" ref="M763:M764" si="1234">IFERROR(K763-L763,"")</f>
        <v/>
      </c>
      <c r="N763" s="57" t="str">
        <f t="shared" ref="N763:N764" si="1235">IFERROR((K763/H763),"")</f>
        <v/>
      </c>
      <c r="O763" s="9"/>
      <c r="P763" s="10"/>
      <c r="Q763" s="10">
        <v>6460</v>
      </c>
      <c r="R763" s="10">
        <f t="shared" ref="R763:R764" si="1236">O763*P763*Q763</f>
        <v>0</v>
      </c>
      <c r="S763" s="41">
        <f t="shared" ref="S763:S769" si="1237">SUM(Y763,T763:X763)</f>
        <v>0</v>
      </c>
      <c r="T763" s="173"/>
      <c r="V763" s="173"/>
      <c r="W763" s="190"/>
      <c r="X763" s="183"/>
      <c r="Y763" s="42"/>
      <c r="Z763" s="1"/>
      <c r="AA763" s="206" t="str">
        <f t="shared" ref="AA763:AA769" si="1238">IFERROR(H763*7.5/E763/7,"")</f>
        <v/>
      </c>
    </row>
    <row r="764" spans="1:27" hidden="1" ns3:dyDescent="0.3">
      <c r="A764" s="273" t="s">
        <v>542</v>
      </c>
      <c r="B764" s="11" t="e">
        <f>ROUNDUP(HLOOKUP(A764,'야채 계산기'!$2:$3,2,0)*1.03,0)</f>
        <v>#N/A</v>
      </c>
      <c r="C764" s="164">
        <v>51.42</v>
      </c>
      <c r="D764" s="166" t="str">
        <f t="shared" si="1230"/>
        <v/>
      </c>
      <c r="E764" s="4"/>
      <c r="F764" s="3"/>
      <c r="G764" s="5"/>
      <c r="H764" s="6"/>
      <c r="I764" s="34">
        <f t="shared" si="1231"/>
        <v>0</v>
      </c>
      <c r="J764" s="78" t="str">
        <f>IFERROR(VLOOKUP(C764,[2]Sheet1!$D:$J,7,0),"")</f>
        <v/>
      </c>
      <c r="K764" s="80" t="str">
        <f t="shared" si="1232"/>
        <v/>
      </c>
      <c r="L764" s="7">
        <f t="shared" si="1233"/>
        <v>0</v>
      </c>
      <c r="M764" s="8" t="str">
        <f t="shared" si="1234"/>
        <v/>
      </c>
      <c r="N764" s="57" t="str">
        <f t="shared" si="1235"/>
        <v/>
      </c>
      <c r="O764" s="9"/>
      <c r="P764" s="10"/>
      <c r="Q764" s="10"/>
      <c r="R764" s="10">
        <f t="shared" si="1236"/>
        <v>0</v>
      </c>
      <c r="S764" s="41">
        <f t="shared" si="1237"/>
        <v>0</v>
      </c>
      <c r="W764" s="190"/>
      <c r="Y764" s="42"/>
      <c r="Z764" s="1"/>
      <c r="AA764" s="206" t="str">
        <f t="shared" si="1238"/>
        <v/>
      </c>
    </row>
    <row r="765" spans="1:27" hidden="1" ns3:dyDescent="0.3">
      <c r="A765" s="11"/>
      <c r="B765" s="11" t="e">
        <f>ROUNDUP(HLOOKUP(A765,'야채 계산기'!$2:$3,2,0)*1.03,0)</f>
        <v>#N/A</v>
      </c>
      <c r="C765" s="262" t="s">
        <v>505</v>
      </c>
      <c r="D765" s="166" t="str">
        <f>IFERROR((F765/E765),"")</f>
        <v/>
      </c>
      <c r="E765" s="4">
        <v>20</v>
      </c>
      <c r="F765" s="3" t="str">
        <f>IFERROR((L765-K765),"")</f>
        <v/>
      </c>
      <c r="G765" s="5">
        <f>G727</f>
        <v>5.5</v>
      </c>
      <c r="H765" s="6" t="e">
        <f>ROUNDUP(SUMPRODUCT(B766:B767,C766:C767)/400,0)</f>
        <v>#N/A</v>
      </c>
      <c r="I765" s="34">
        <f>IFERROR((S765*E765),"")</f>
        <v>0</v>
      </c>
      <c r="J765" s="78">
        <f>IFERROR(VLOOKUP(C765,[2]Sheet1!$D:$J,7,0),"")</f>
        <v>0</v>
      </c>
      <c r="K765" s="80">
        <f>IFERROR((I765+J765),"")</f>
        <v>0</v>
      </c>
      <c r="L765" s="7" t="str">
        <f>IFERROR((G765*H765),"")</f>
        <v/>
      </c>
      <c r="M765" s="8" t="str">
        <f>IFERROR(K765-L765,"")</f>
        <v/>
      </c>
      <c r="N765" s="57" t="str">
        <f>IFERROR((K765/H765),"")</f>
        <v/>
      </c>
      <c r="O765" s="9"/>
      <c r="P765" s="10"/>
      <c r="Q765" s="10">
        <v>2756</v>
      </c>
      <c r="R765" s="10">
        <f>O765*P765*Q765</f>
        <v>0</v>
      </c>
      <c r="S765" s="41">
        <f t="shared" si="1237"/>
        <v>0</v>
      </c>
      <c r="T765" s="173"/>
      <c r="V765" s="173"/>
      <c r="W765" s="190"/>
      <c r="X765" s="183"/>
      <c r="Y765" s="42"/>
      <c r="Z765" s="1"/>
      <c r="AA765" s="206" t="str">
        <f t="shared" si="1238"/>
        <v/>
      </c>
    </row>
    <row r="766" spans="1:27" hidden="1" ns3:dyDescent="0.3">
      <c r="A766" s="273" t="s">
        <v>504</v>
      </c>
      <c r="B766" s="11" t="e">
        <f>ROUNDUP(HLOOKUP(A766,'야채 계산기'!$2:$3,2,0)*1.03,0)</f>
        <v>#N/A</v>
      </c>
      <c r="C766" s="170">
        <v>36.81</v>
      </c>
      <c r="D766" s="166"/>
      <c r="E766" s="4"/>
      <c r="F766" s="3"/>
      <c r="G766" s="5"/>
      <c r="H766" s="6"/>
      <c r="I766" s="34">
        <f>IFERROR((S766*E766),"")</f>
        <v>0</v>
      </c>
      <c r="J766" s="78" t="str">
        <f>IFERROR(VLOOKUP(C766,[2]Sheet1!$D:$J,7,0),"")</f>
        <v/>
      </c>
      <c r="K766" s="80" t="str">
        <f>IFERROR((I766+J766),"")</f>
        <v/>
      </c>
      <c r="L766" s="7">
        <f>IFERROR((G766*H766),"")</f>
        <v>0</v>
      </c>
      <c r="M766" s="8" t="str">
        <f>IFERROR(K766-L766,"")</f>
        <v/>
      </c>
      <c r="N766" s="57"/>
      <c r="O766" s="9"/>
      <c r="P766" s="10"/>
      <c r="Q766" s="10"/>
      <c r="R766" s="10"/>
      <c r="S766" s="41">
        <f t="shared" si="1237"/>
        <v>0</v>
      </c>
      <c r="W766" s="190"/>
      <c r="Y766" s="42"/>
      <c r="AA766" s="206" t="str">
        <f t="shared" si="1238"/>
        <v/>
      </c>
    </row>
    <row r="767" spans="1:27" hidden="1" ns3:dyDescent="0.3">
      <c r="A767" s="273" t="s">
        <v>557</v>
      </c>
      <c r="B767" s="11" t="e">
        <f>ROUNDUP(HLOOKUP(A767,'야채 계산기'!$2:$3,2,0)*1.03,0)</f>
        <v>#N/A</v>
      </c>
      <c r="C767" s="170">
        <v>61.36</v>
      </c>
      <c r="D767" s="166"/>
      <c r="E767" s="4"/>
      <c r="F767" s="3"/>
      <c r="G767" s="5"/>
      <c r="H767" s="6"/>
      <c r="I767" s="34">
        <f>IFERROR((S767*E767),"")</f>
        <v>0</v>
      </c>
      <c r="J767" s="78" t="str">
        <f>IFERROR(VLOOKUP(C767,[2]Sheet1!$D:$J,7,0),"")</f>
        <v/>
      </c>
      <c r="K767" s="80" t="str">
        <f>IFERROR((I767+J767),"")</f>
        <v/>
      </c>
      <c r="L767" s="7">
        <f>IFERROR((G767*H767),"")</f>
        <v>0</v>
      </c>
      <c r="M767" s="8" t="str">
        <f>IFERROR(K767-L767,"")</f>
        <v/>
      </c>
      <c r="N767" s="57"/>
      <c r="O767" s="9"/>
      <c r="P767" s="10"/>
      <c r="Q767" s="10"/>
      <c r="R767" s="10"/>
      <c r="S767" s="41">
        <f t="shared" si="1237"/>
        <v>0</v>
      </c>
      <c r="W767" s="190"/>
      <c r="Y767" s="42"/>
      <c r="AA767" s="206" t="str">
        <f t="shared" si="1238"/>
        <v/>
      </c>
    </row>
    <row r="768" spans="1:27" hidden="1" ns3:dyDescent="0.3">
      <c r="A768" s="11"/>
      <c r="B768" s="11" t="e">
        <f>ROUNDUP(HLOOKUP(A768,'야채 계산기'!$2:$3,2,0)*1.03,0)</f>
        <v>#N/A</v>
      </c>
      <c r="C768" s="262" t="s">
        <v>336</v>
      </c>
      <c r="D768" s="166" t="str">
        <f t="shared" ref="D768:D769" si="1239">IFERROR((F768/E768),"")</f>
        <v/>
      </c>
      <c r="E768" s="4">
        <v>5</v>
      </c>
      <c r="F768" s="3" t="str">
        <f>IFERROR((L768-K768),"")</f>
        <v/>
      </c>
      <c r="G768" s="5">
        <v>8</v>
      </c>
      <c r="H768" s="6" t="e">
        <f>ROUNDUP((B769*C769)/2000,1)</f>
        <v>#N/A</v>
      </c>
      <c r="I768" s="34">
        <f t="shared" ref="I768:I769" si="1240">IFERROR((S768*E768),"")</f>
        <v>0</v>
      </c>
      <c r="J768" s="78" t="str">
        <f>IFERROR(VLOOKUP(C768,[2]Sheet1!$D:$J,7,0),"")</f>
        <v/>
      </c>
      <c r="K768" s="80" t="str">
        <f t="shared" ref="K768:K769" si="1241">IFERROR((I768+J768),"")</f>
        <v/>
      </c>
      <c r="L768" s="7" t="str">
        <f t="shared" ref="L768:L769" si="1242">IFERROR((G768*H768),"")</f>
        <v/>
      </c>
      <c r="M768" s="8" t="str">
        <f t="shared" ref="M768:M769" si="1243">IFERROR(K768-L768,"")</f>
        <v/>
      </c>
      <c r="N768" s="57" t="str">
        <f t="shared" ref="N768:N769" si="1244">IFERROR((K768/H768),"")</f>
        <v/>
      </c>
      <c r="O768" s="9"/>
      <c r="P768" s="10"/>
      <c r="Q768" s="10">
        <v>12100</v>
      </c>
      <c r="R768" s="10">
        <f t="shared" ref="R768:R769" si="1245">O768*P768*Q768</f>
        <v>0</v>
      </c>
      <c r="S768" s="41">
        <f t="shared" si="1237"/>
        <v>0</v>
      </c>
      <c r="T768" s="173"/>
      <c r="V768" s="173"/>
      <c r="W768" s="190"/>
      <c r="X768" s="173"/>
      <c r="Y768" s="42"/>
      <c r="Z768" s="1"/>
      <c r="AA768" s="206" t="str">
        <f t="shared" si="1238"/>
        <v/>
      </c>
    </row>
    <row r="769" spans="1:27" hidden="1" ns3:dyDescent="0.3">
      <c r="A769" s="273" t="s">
        <v>334</v>
      </c>
      <c r="B769" s="11" t="e">
        <f>ROUNDUP(HLOOKUP(A769,'야채 계산기'!$2:$3,2,0)*1.03,0)</f>
        <v>#N/A</v>
      </c>
      <c r="C769" s="164">
        <v>72.56</v>
      </c>
      <c r="D769" s="166" t="str">
        <f t="shared" si="1239"/>
        <v/>
      </c>
      <c r="E769" s="4"/>
      <c r="F769" s="3"/>
      <c r="G769" s="5"/>
      <c r="H769" s="6"/>
      <c r="I769" s="34">
        <f t="shared" si="1240"/>
        <v>0</v>
      </c>
      <c r="J769" s="78" t="str">
        <f>IFERROR(VLOOKUP(C769,[2]Sheet1!$D:$J,7,0),"")</f>
        <v/>
      </c>
      <c r="K769" s="80" t="str">
        <f t="shared" si="1241"/>
        <v/>
      </c>
      <c r="L769" s="7">
        <f t="shared" si="1242"/>
        <v>0</v>
      </c>
      <c r="M769" s="8" t="str">
        <f t="shared" si="1243"/>
        <v/>
      </c>
      <c r="N769" s="57" t="str">
        <f t="shared" si="1244"/>
        <v/>
      </c>
      <c r="O769" s="9"/>
      <c r="P769" s="10"/>
      <c r="Q769" s="10"/>
      <c r="R769" s="10">
        <f t="shared" si="1245"/>
        <v>0</v>
      </c>
      <c r="S769" s="41">
        <f t="shared" si="1237"/>
        <v>0</v>
      </c>
      <c r="W769" s="190"/>
      <c r="Y769" s="42"/>
      <c r="Z769" s="1"/>
      <c r="AA769" s="206" t="str">
        <f t="shared" si="1238"/>
        <v/>
      </c>
    </row>
    <row r="770" spans="1:27" ns3:dyDescent="0.3">
      <c r="A770" s="2"/>
      <c r="B770" s="2"/>
      <c r="C770" s="164"/>
      <c r="D770" s="166" t="str">
        <f>IFERROR((F770/E770),"")</f>
        <v/>
      </c>
      <c r="E770" s="4"/>
      <c r="F770" s="17"/>
      <c r="G770" s="5"/>
      <c r="H770" s="6"/>
      <c r="I770" s="34">
        <f t="shared" ref="I770:I783" si="1246">IFERROR((S770*E770),"")</f>
        <v>0</v>
      </c>
      <c r="J770" s="78" t="str">
        <f>IFERROR(VLOOKUP(C770,[2]Sheet1!$D:$J,7,0),"")</f>
        <v/>
      </c>
      <c r="K770" s="80"/>
      <c r="L770" s="7">
        <f t="shared" ref="L770:L783" si="1247">IFERROR((G770*H770),"")</f>
        <v>0</v>
      </c>
      <c r="M770" s="8">
        <f t="shared" ref="M770:M783" si="1248">IFERROR(K770-L770,"")</f>
        <v>0</v>
      </c>
      <c r="N770" s="57"/>
      <c r="O770" s="9"/>
      <c r="P770" s="10"/>
      <c r="Q770" s="10"/>
      <c r="R770" s="10">
        <f>O770*P770*Q770</f>
        <v>0</v>
      </c>
      <c r="S770" s="41">
        <f t="shared" si="1141"/>
        <v>0</v>
      </c>
      <c r="W770" s="190"/>
      <c r="Y770" s="42"/>
      <c r="Z770" s="1"/>
      <c r="AA770" s="206" t="str">
        <f t="shared" ref="AA770:AA801" si="1249">IFERROR(H770*7.5/E770/7,"")</f>
        <v/>
      </c>
    </row>
    <row r="771" spans="1:27" hidden="1" ns3:dyDescent="0.3">
      <c r="A771" s="213" t="s">
        <v>352</v>
      </c>
      <c r="B771" s="2" t="s">
        <v>241</v>
      </c>
      <c r="C771" s="196"/>
      <c r="D771" s="166" t="str">
        <f>IFERROR((F771/E771),"")</f>
        <v/>
      </c>
      <c r="E771" s="4"/>
      <c r="F771" s="17"/>
      <c r="G771" s="5"/>
      <c r="H771" s="6"/>
      <c r="I771" s="34">
        <f t="shared" ref="I771:I773" si="1250">IFERROR((S771*E771),"")</f>
        <v>0</v>
      </c>
      <c r="J771" s="78" t="str">
        <f>IFERROR(VLOOKUP(C771,[2]Sheet1!$D:$J,7,0),"")</f>
        <v/>
      </c>
      <c r="K771" s="80"/>
      <c r="L771" s="7">
        <f t="shared" ref="L771:L773" si="1251">IFERROR((G771*H771),"")</f>
        <v>0</v>
      </c>
      <c r="M771" s="8">
        <f t="shared" ref="M771:M773" si="1252">IFERROR(K771-L771,"")</f>
        <v>0</v>
      </c>
      <c r="N771" s="57" t="str">
        <f>IFERROR((K771/H771),"")</f>
        <v/>
      </c>
      <c r="O771" s="9"/>
      <c r="P771" s="10"/>
      <c r="Q771" s="10"/>
      <c r="R771" s="10">
        <f>O771*P771*Q771</f>
        <v>0</v>
      </c>
      <c r="S771" s="41">
        <f t="shared" si="1141"/>
        <v>0</v>
      </c>
      <c r="W771" s="190"/>
      <c r="Y771" s="42"/>
      <c r="Z771" s="1"/>
      <c r="AA771" s="206" t="str">
        <f t="shared" si="1249"/>
        <v/>
      </c>
    </row>
    <row r="772" spans="1:27" hidden="1" ns3:dyDescent="0.3">
      <c r="A772" s="59"/>
      <c r="B772" s="11"/>
      <c r="C772" s="182" t="s">
        <v>339</v>
      </c>
      <c r="D772" s="166" t="str">
        <f>IFERROR((F772/E772),"")</f>
        <v/>
      </c>
      <c r="E772" s="4">
        <v>12</v>
      </c>
      <c r="F772" s="3" t="str">
        <f>IFERROR((L772-K772),"")</f>
        <v/>
      </c>
      <c r="G772" s="5">
        <v>5</v>
      </c>
      <c r="H772" s="6" t="e">
        <f>ROUNDUP(((B773*C773))/950,1)</f>
        <v>#N/A</v>
      </c>
      <c r="I772" s="34">
        <f t="shared" si="1250"/>
        <v>0</v>
      </c>
      <c r="J772" s="78">
        <f>IFERROR(VLOOKUP(C772,[2]Sheet1!$D:$J,7,0),"")</f>
        <v>0</v>
      </c>
      <c r="K772" s="80">
        <f>IFERROR((I772+J772),"")</f>
        <v>0</v>
      </c>
      <c r="L772" s="7" t="str">
        <f t="shared" si="1251"/>
        <v/>
      </c>
      <c r="M772" s="8" t="str">
        <f t="shared" si="1252"/>
        <v/>
      </c>
      <c r="N772" s="57" t="str">
        <f>IFERROR((K772/H772),"")</f>
        <v/>
      </c>
      <c r="O772" s="9"/>
      <c r="P772" s="10"/>
      <c r="Q772" s="10">
        <v>6240</v>
      </c>
      <c r="R772" s="10">
        <f>O772*P772*Q772</f>
        <v>0</v>
      </c>
      <c r="S772" s="41">
        <f t="shared" si="1141"/>
        <v>0</v>
      </c>
      <c r="T772" s="173"/>
      <c r="V772" s="173"/>
      <c r="W772" s="190"/>
      <c r="X772" s="173"/>
      <c r="Y772" s="42"/>
      <c r="Z772" s="1"/>
      <c r="AA772" s="206" t="str">
        <f t="shared" si="1249"/>
        <v/>
      </c>
    </row>
    <row r="773" spans="1:27" hidden="1" ns3:dyDescent="0.3">
      <c r="A773" s="176" t="s">
        <v>334</v>
      </c>
      <c r="B773" s="11" t="e">
        <f>ROUNDUP(HLOOKUP(A773,'야채 계산기'!$2:$3,2,0)*1.03,0)</f>
        <v>#N/A</v>
      </c>
      <c r="C773" s="170">
        <v>23.75</v>
      </c>
      <c r="D773" s="166"/>
      <c r="E773" s="4"/>
      <c r="F773" s="3"/>
      <c r="G773" s="5"/>
      <c r="H773" s="6"/>
      <c r="I773" s="34">
        <f t="shared" si="1250"/>
        <v>0</v>
      </c>
      <c r="J773" s="78" t="str">
        <f>IFERROR(VLOOKUP(C773,[2]Sheet1!$D:$J,7,0),"")</f>
        <v/>
      </c>
      <c r="K773" s="80"/>
      <c r="L773" s="7">
        <f t="shared" si="1251"/>
        <v>0</v>
      </c>
      <c r="M773" s="8">
        <f t="shared" si="1252"/>
        <v>0</v>
      </c>
      <c r="N773" s="57"/>
      <c r="O773" s="9"/>
      <c r="P773" s="10"/>
      <c r="Q773" s="10"/>
      <c r="R773" s="10"/>
      <c r="S773" s="41">
        <f t="shared" si="1141"/>
        <v>0</v>
      </c>
      <c r="W773" s="190"/>
      <c r="Y773" s="42"/>
      <c r="AA773" s="206" t="str">
        <f t="shared" si="1249"/>
        <v/>
      </c>
    </row>
    <row r="774" spans="1:27" ns3:dyDescent="0.3">
      <c r="A774" s="60"/>
      <c r="B774" s="11"/>
      <c r="C774" s="170"/>
      <c r="D774" s="166"/>
      <c r="E774" s="4"/>
      <c r="F774" s="3"/>
      <c r="G774" s="5"/>
      <c r="H774" s="6"/>
      <c r="I774" s="34">
        <f t="shared" si="1246"/>
        <v>0</v>
      </c>
      <c r="J774" s="78" t="str">
        <f>IFERROR(VLOOKUP(C774,[2]Sheet1!$D:$J,7,0),"")</f>
        <v/>
      </c>
      <c r="K774" s="80"/>
      <c r="L774" s="7">
        <f t="shared" si="1247"/>
        <v>0</v>
      </c>
      <c r="M774" s="8">
        <f t="shared" si="1248"/>
        <v>0</v>
      </c>
      <c r="N774" s="57"/>
      <c r="O774" s="9"/>
      <c r="P774" s="10"/>
      <c r="Q774" s="10"/>
      <c r="R774" s="10"/>
      <c r="S774" s="41">
        <f t="shared" si="1141"/>
        <v>0</v>
      </c>
      <c r="W774" s="190"/>
      <c r="Y774" s="42"/>
      <c r="Z774" s="1"/>
      <c r="AA774" s="206" t="str">
        <f t="shared" si="1249"/>
        <v/>
      </c>
    </row>
    <row r="775" spans="1:27" ht="17.25" customHeight="1" ns3:dyDescent="0.3">
      <c r="A775" s="60"/>
      <c r="B775" s="11"/>
      <c r="C775" s="144"/>
      <c r="D775" s="166"/>
      <c r="E775" s="4"/>
      <c r="F775" s="3"/>
      <c r="G775" s="5"/>
      <c r="H775" s="6"/>
      <c r="I775" s="34">
        <f t="shared" si="1246"/>
        <v>0</v>
      </c>
      <c r="J775" s="78" t="str">
        <f>IFERROR(VLOOKUP(C775,[2]Sheet1!$D:$J,7,0),"")</f>
        <v/>
      </c>
      <c r="K775" s="80"/>
      <c r="L775" s="7">
        <f t="shared" si="1247"/>
        <v>0</v>
      </c>
      <c r="M775" s="8">
        <f t="shared" si="1248"/>
        <v>0</v>
      </c>
      <c r="N775" s="57"/>
      <c r="O775" s="9"/>
      <c r="P775" s="10"/>
      <c r="Q775" s="10"/>
      <c r="R775" s="10"/>
      <c r="S775" s="41">
        <f t="shared" si="1141"/>
        <v>0</v>
      </c>
      <c r="W775" s="190"/>
      <c r="Y775" s="42"/>
      <c r="Z775" s="1"/>
      <c r="AA775" s="206" t="str">
        <f t="shared" si="1249"/>
        <v/>
      </c>
    </row>
    <row r="776" spans="1:27" ns3:dyDescent="0.3">
      <c r="A776" s="213" t="s">
        <v>360</v>
      </c>
      <c r="B776" s="2" t="s">
        <v>44</v>
      </c>
      <c r="C776" s="154"/>
      <c r="D776" s="166"/>
      <c r="E776" s="4"/>
      <c r="F776" s="3"/>
      <c r="G776" s="5"/>
      <c r="H776" s="6"/>
      <c r="I776" s="34">
        <f t="shared" si="1246"/>
        <v>0</v>
      </c>
      <c r="J776" s="78" t="str">
        <f>IFERROR(VLOOKUP(C776,[2]Sheet1!$D:$J,7,0),"")</f>
        <v/>
      </c>
      <c r="K776" s="80" t="str">
        <f t="shared" ref="K776:K781" si="1253">IFERROR((I776+J776),"")</f>
        <v/>
      </c>
      <c r="L776" s="7">
        <f t="shared" si="1247"/>
        <v>0</v>
      </c>
      <c r="M776" s="8" t="str">
        <f t="shared" si="1248"/>
        <v/>
      </c>
      <c r="N776" s="57" t="str">
        <f t="shared" ref="N776:N783" si="1254">IFERROR((K776/H776),"")</f>
        <v/>
      </c>
      <c r="O776" s="9"/>
      <c r="P776" s="10"/>
      <c r="Q776" s="10"/>
      <c r="R776" s="40"/>
      <c r="S776" s="41">
        <f t="shared" si="1141"/>
        <v>0</v>
      </c>
      <c r="W776" s="190"/>
      <c r="Y776" s="42"/>
      <c r="AA776" s="206" t="str">
        <f t="shared" si="1249"/>
        <v/>
      </c>
    </row>
    <row r="777" spans="1:27" ns3:dyDescent="0.3">
      <c r="A777" s="11"/>
      <c r="B777" s="11"/>
      <c r="C777" s="62" t="s">
        <v>791</v>
      </c>
      <c r="D777" s="166">
        <f t="shared" ref="D777:D778" si="1255">IFERROR((F777/E777),"")</f>
        <v>-4.2333333333333343</v>
      </c>
      <c r="E777" s="4">
        <v>3</v>
      </c>
      <c r="F777" s="3">
        <f>IFERROR((L777-K777),"")</f>
        <v>-12.700000000000003</v>
      </c>
      <c r="G777" s="5">
        <v>6.5</v>
      </c>
      <c r="H777" s="6">
        <f>ROUNDUP(((B778*C778))/2500,1)</f>
        <v>4.1999999999999993</v>
      </c>
      <c r="I777" s="34">
        <f t="shared" ref="I777:I778" si="1256">IFERROR((S777*E777),"")</f>
        <v>21</v>
      </c>
      <c r="J777" s="78">
        <f>IFERROR(VLOOKUP(C777,[2]Sheet1!$D:$J,7,0),"")</f>
        <v>19</v>
      </c>
      <c r="K777" s="80">
        <f t="shared" si="1253"/>
        <v>40</v>
      </c>
      <c r="L777" s="7">
        <f t="shared" ref="L777:L778" si="1257">IFERROR((G777*H777),"")</f>
        <v>27.299999999999997</v>
      </c>
      <c r="M777" s="8">
        <f t="shared" ref="M777:M778" si="1258">IFERROR(K777-L777,"")</f>
        <v>12.700000000000003</v>
      </c>
      <c r="N777" s="57">
        <f t="shared" ref="N777:N778" si="1259">IFERROR((K777/H777),"")</f>
        <v>9.5238095238095255</v>
      </c>
      <c r="O777" s="9"/>
      <c r="P777" s="10">
        <v>10</v>
      </c>
      <c r="Q777" s="10">
        <v>3889</v>
      </c>
      <c r="R777" s="10">
        <f>O777*P777*Q777</f>
        <v>0</v>
      </c>
      <c r="S777" s="41">
        <f t="shared" ref="S777:S778" si="1260">SUM(Y777,T777:X777)</f>
        <v>7</v>
      </c>
      <c r="T777" s="173">
        <v>4</v>
      </c>
      <c r="U777" s="1">
        <v>3</v>
      </c>
      <c r="V777" s="173"/>
      <c r="W777" s="190"/>
      <c r="X777" s="173"/>
      <c r="Y777" s="42"/>
      <c r="AA777" s="206">
        <f t="shared" ref="AA777:AA778" si="1261">IFERROR(H777*7.5/E777/7,"")</f>
        <v>1.4999999999999998</v>
      </c>
    </row>
    <row r="778" spans="1:27" ns3:dyDescent="0.3">
      <c r="A778" s="61" t="s">
        <v>783</v>
      </c>
      <c r="B778" s="11">
        <f>ROUNDUP(HLOOKUP(A778,'야채 계산기'!$2:$3,2,0)*1.03,0)</f>
        <v>567</v>
      </c>
      <c r="C778" s="162">
        <v>18.309999999999999</v>
      </c>
      <c r="D778" s="166" t="str">
        <f t="shared" si="1255"/>
        <v/>
      </c>
      <c r="E778" s="4"/>
      <c r="F778" s="3"/>
      <c r="G778" s="5"/>
      <c r="H778" s="6"/>
      <c r="I778" s="34">
        <f t="shared" si="1256"/>
        <v>0</v>
      </c>
      <c r="J778" s="78" t="str">
        <f>IFERROR(VLOOKUP(C778,[2]Sheet1!$D:$J,7,0),"")</f>
        <v/>
      </c>
      <c r="K778" s="80" t="str">
        <f t="shared" si="1253"/>
        <v/>
      </c>
      <c r="L778" s="7">
        <f t="shared" si="1257"/>
        <v>0</v>
      </c>
      <c r="M778" s="8" t="str">
        <f t="shared" si="1258"/>
        <v/>
      </c>
      <c r="N778" s="57" t="str">
        <f t="shared" si="1259"/>
        <v/>
      </c>
      <c r="O778" s="9"/>
      <c r="P778" s="10"/>
      <c r="Q778" s="10"/>
      <c r="R778" s="10">
        <f>O778*P778*Q778</f>
        <v>0</v>
      </c>
      <c r="S778" s="41">
        <f t="shared" si="1260"/>
        <v>0</v>
      </c>
      <c r="W778" s="190"/>
      <c r="Y778" s="42"/>
      <c r="AA778" s="206" t="str">
        <f t="shared" si="1261"/>
        <v/>
      </c>
    </row>
    <row r="779" spans="1:27" hidden="1" ns3:dyDescent="0.3">
      <c r="A779" s="11"/>
      <c r="B779" s="11"/>
      <c r="C779" s="162" t="s">
        <v>222</v>
      </c>
      <c r="D779" s="166">
        <f t="shared" ref="D779:D783" si="1262">IFERROR((F779/E779),"")</f>
        <v>25.3</v>
      </c>
      <c r="E779" s="4">
        <v>10</v>
      </c>
      <c r="F779" s="3">
        <f>IFERROR((L779-K779),"")</f>
        <v>253</v>
      </c>
      <c r="G779" s="5">
        <v>5</v>
      </c>
      <c r="H779" s="6">
        <f>ROUNDUP(((B780*C780))/110,1)</f>
        <v>50.6</v>
      </c>
      <c r="I779" s="34">
        <f t="shared" si="1246"/>
        <v>0</v>
      </c>
      <c r="J779" s="78">
        <f>IFERROR(VLOOKUP(C779,[2]Sheet1!$D:$J,7,0),"")</f>
        <v>0</v>
      </c>
      <c r="K779" s="80">
        <f t="shared" si="1253"/>
        <v>0</v>
      </c>
      <c r="L779" s="7">
        <f t="shared" si="1247"/>
        <v>253</v>
      </c>
      <c r="M779" s="8">
        <f t="shared" si="1248"/>
        <v>-253</v>
      </c>
      <c r="N779" s="57">
        <f t="shared" si="1254"/>
        <v>0</v>
      </c>
      <c r="O779" s="9"/>
      <c r="P779" s="10">
        <v>10</v>
      </c>
      <c r="Q779" s="10">
        <v>5227</v>
      </c>
      <c r="R779" s="10">
        <f>O779*P779*Q779</f>
        <v>0</v>
      </c>
      <c r="S779" s="41">
        <f t="shared" si="1141"/>
        <v>0</v>
      </c>
      <c r="T779" s="173"/>
      <c r="V779" s="173"/>
      <c r="W779" s="190"/>
      <c r="X779" s="173"/>
      <c r="Y779" s="42"/>
      <c r="AA779" s="206">
        <f t="shared" si="1249"/>
        <v>5.4214285714285717</v>
      </c>
    </row>
    <row r="780" spans="1:27" hidden="1" ns3:dyDescent="0.3">
      <c r="A780" s="181" t="s">
        <v>496</v>
      </c>
      <c r="B780" s="11">
        <f>ROUNDUP(HLOOKUP(A780,'야채 계산기'!$2:$3,2,0)*1.03,0)</f>
        <v>1113</v>
      </c>
      <c r="C780" s="162">
        <v>5</v>
      </c>
      <c r="D780" s="166" t="str">
        <f t="shared" si="1262"/>
        <v/>
      </c>
      <c r="E780" s="4"/>
      <c r="F780" s="3"/>
      <c r="G780" s="5"/>
      <c r="H780" s="6"/>
      <c r="I780" s="34">
        <f t="shared" si="1246"/>
        <v>0</v>
      </c>
      <c r="J780" s="78" t="str">
        <f>IFERROR(VLOOKUP(C780,[2]Sheet1!$D:$J,7,0),"")</f>
        <v/>
      </c>
      <c r="K780" s="80" t="str">
        <f t="shared" si="1253"/>
        <v/>
      </c>
      <c r="L780" s="7">
        <f t="shared" si="1247"/>
        <v>0</v>
      </c>
      <c r="M780" s="8" t="str">
        <f t="shared" si="1248"/>
        <v/>
      </c>
      <c r="N780" s="57" t="str">
        <f t="shared" si="1254"/>
        <v/>
      </c>
      <c r="O780" s="9"/>
      <c r="P780" s="10"/>
      <c r="Q780" s="10"/>
      <c r="R780" s="10">
        <f>O780*P780*Q780</f>
        <v>0</v>
      </c>
      <c r="S780" s="41">
        <f t="shared" si="1141"/>
        <v>0</v>
      </c>
      <c r="W780" s="190"/>
      <c r="Y780" s="42"/>
      <c r="AA780" s="206" t="str">
        <f t="shared" si="1249"/>
        <v/>
      </c>
    </row>
    <row r="781" spans="1:27" ht="16.5" hidden="1" customHeight="1" ns3:dyDescent="0.3">
      <c r="A781" s="59"/>
      <c r="B781" s="11"/>
      <c r="C781" s="182" t="s">
        <v>244</v>
      </c>
      <c r="D781" s="166" t="str">
        <f t="shared" si="1262"/>
        <v/>
      </c>
      <c r="E781" s="4">
        <v>10</v>
      </c>
      <c r="F781" s="3" t="str">
        <f>IFERROR((L781-K781),"")</f>
        <v/>
      </c>
      <c r="G781" s="5">
        <v>0</v>
      </c>
      <c r="H781" s="6" t="e">
        <f>ROUNDUP(SUMPRODUCT(B782:B783, C782:C783)/1000,1)</f>
        <v>#N/A</v>
      </c>
      <c r="I781" s="34">
        <f t="shared" si="1246"/>
        <v>0</v>
      </c>
      <c r="J781" s="78">
        <f>IFERROR(VLOOKUP(C781,[2]Sheet1!$D:$J,7,0),"")</f>
        <v>0</v>
      </c>
      <c r="K781" s="80">
        <f t="shared" si="1253"/>
        <v>0</v>
      </c>
      <c r="L781" s="7" t="str">
        <f t="shared" si="1247"/>
        <v/>
      </c>
      <c r="M781" s="8" t="str">
        <f t="shared" si="1248"/>
        <v/>
      </c>
      <c r="N781" s="57" t="str">
        <f t="shared" si="1254"/>
        <v/>
      </c>
      <c r="O781" s="9"/>
      <c r="P781" s="10">
        <v>10</v>
      </c>
      <c r="Q781" s="10">
        <f>3600</f>
        <v>3600</v>
      </c>
      <c r="R781" s="10">
        <f>O781*P781*Q781</f>
        <v>0</v>
      </c>
      <c r="S781" s="41">
        <f t="shared" si="1141"/>
        <v>0</v>
      </c>
      <c r="T781" s="42"/>
      <c r="V781" s="42"/>
      <c r="W781" s="42"/>
      <c r="X781" s="42"/>
      <c r="Y781" s="42"/>
      <c r="AA781" s="206" t="str">
        <f t="shared" si="1249"/>
        <v/>
      </c>
    </row>
    <row r="782" spans="1:27" ht="16.5" hidden="1" customHeight="1" ns3:dyDescent="0.3">
      <c r="A782" s="13" t="s">
        <v>256</v>
      </c>
      <c r="B782" s="11">
        <f>ROUNDUP(HLOOKUP(A782,'야채 계산기'!$2:$3,2,0)*1.03,0)</f>
        <v>2926</v>
      </c>
      <c r="C782" s="62">
        <v>8.16</v>
      </c>
      <c r="D782" s="166" t="str">
        <f t="shared" si="1262"/>
        <v/>
      </c>
      <c r="E782" s="4"/>
      <c r="F782" s="3" t="str">
        <f>IFERROR((L782-K782),"")</f>
        <v/>
      </c>
      <c r="G782" s="5"/>
      <c r="H782" s="6"/>
      <c r="I782" s="34">
        <f t="shared" si="1246"/>
        <v>0</v>
      </c>
      <c r="J782" s="78" t="str">
        <f>IFERROR(VLOOKUP(C782,[2]Sheet1!$D:$J,7,0),"")</f>
        <v/>
      </c>
      <c r="K782" s="80" t="str">
        <f t="shared" ref="K782:K783" si="1263">IFERROR((I782+J782),"")</f>
        <v/>
      </c>
      <c r="L782" s="7">
        <f t="shared" si="1247"/>
        <v>0</v>
      </c>
      <c r="M782" s="8" t="str">
        <f t="shared" si="1248"/>
        <v/>
      </c>
      <c r="N782" s="57" t="str">
        <f t="shared" si="1254"/>
        <v/>
      </c>
      <c r="O782" s="9"/>
      <c r="P782" s="10"/>
      <c r="Q782" s="10"/>
      <c r="R782" s="10"/>
      <c r="S782" s="41">
        <f t="shared" si="1141"/>
        <v>0</v>
      </c>
      <c r="W782" s="190"/>
      <c r="Y782" s="42"/>
      <c r="AA782" s="206" t="str">
        <f t="shared" si="1249"/>
        <v/>
      </c>
    </row>
    <row r="783" spans="1:27" ht="16.5" hidden="1" customHeight="1" ns3:dyDescent="0.3">
      <c r="A783" s="13" t="s">
        <v>292</v>
      </c>
      <c r="B783" s="11" t="e">
        <f>ROUNDUP(HLOOKUP(A783,'야채 계산기'!$2:$3,2,0)*1.03,0)</f>
        <v>#N/A</v>
      </c>
      <c r="C783" s="62">
        <v>8.08</v>
      </c>
      <c r="D783" s="166" t="str">
        <f t="shared" si="1262"/>
        <v/>
      </c>
      <c r="E783" s="4"/>
      <c r="F783" s="3" t="str">
        <f>IFERROR((L783-K783),"")</f>
        <v/>
      </c>
      <c r="G783" s="5"/>
      <c r="H783" s="6"/>
      <c r="I783" s="34">
        <f t="shared" si="1246"/>
        <v>0</v>
      </c>
      <c r="J783" s="78" t="str">
        <f>IFERROR(VLOOKUP(C783,[2]Sheet1!$D:$J,7,0),"")</f>
        <v/>
      </c>
      <c r="K783" s="80" t="str">
        <f t="shared" si="1263"/>
        <v/>
      </c>
      <c r="L783" s="7">
        <f t="shared" si="1247"/>
        <v>0</v>
      </c>
      <c r="M783" s="8" t="str">
        <f t="shared" si="1248"/>
        <v/>
      </c>
      <c r="N783" s="57" t="str">
        <f t="shared" si="1254"/>
        <v/>
      </c>
      <c r="O783" s="9"/>
      <c r="P783" s="10"/>
      <c r="Q783" s="10"/>
      <c r="R783" s="10"/>
      <c r="S783" s="41">
        <f t="shared" si="1141"/>
        <v>0</v>
      </c>
      <c r="W783" s="190"/>
      <c r="Y783" s="42"/>
      <c r="AA783" s="206" t="str">
        <f t="shared" si="1249"/>
        <v/>
      </c>
    </row>
    <row r="784" spans="1:27" ns3:dyDescent="0.3">
      <c r="A784" s="213" t="s">
        <v>587</v>
      </c>
      <c r="B784" s="2" t="s">
        <v>44</v>
      </c>
      <c r="C784" s="154"/>
      <c r="D784" s="166"/>
      <c r="E784" s="4"/>
      <c r="F784" s="3"/>
      <c r="G784" s="5"/>
      <c r="H784" s="6"/>
      <c r="I784" s="34">
        <f t="shared" ref="I784:I789" si="1264">IFERROR((S784*E784),"")</f>
        <v>0</v>
      </c>
      <c r="J784" s="78" t="str">
        <f>IFERROR(VLOOKUP(C784,[2]Sheet1!$D:$J,7,0),"")</f>
        <v/>
      </c>
      <c r="K784" s="80" t="str">
        <f>IFERROR((I784+J784),"")</f>
        <v/>
      </c>
      <c r="L784" s="7">
        <f t="shared" ref="L784:L789" si="1265">IFERROR((G784*H784),"")</f>
        <v>0</v>
      </c>
      <c r="M784" s="8" t="str">
        <f t="shared" ref="M784:M789" si="1266">IFERROR(K784-L784,"")</f>
        <v/>
      </c>
      <c r="N784" s="57" t="str">
        <f t="shared" ref="N784:N786" si="1267">IFERROR((K784/H784),"")</f>
        <v/>
      </c>
      <c r="O784" s="9"/>
      <c r="P784" s="10"/>
      <c r="Q784" s="10"/>
      <c r="R784" s="40"/>
      <c r="S784" s="41">
        <f t="shared" si="1141"/>
        <v>0</v>
      </c>
      <c r="W784" s="190"/>
      <c r="Y784" s="42"/>
      <c r="AA784" s="206" t="str">
        <f t="shared" si="1249"/>
        <v/>
      </c>
    </row>
    <row r="785" spans="1:32" ns3:dyDescent="0.3">
      <c r="A785" s="11"/>
      <c r="B785" s="11"/>
      <c r="C785" s="162" t="s">
        <v>588</v>
      </c>
      <c r="D785" s="166" t="str">
        <f t="shared" ref="D785:D786" si="1268">IFERROR((F785/E785),"")</f>
        <v/>
      </c>
      <c r="E785" s="4">
        <v>10</v>
      </c>
      <c r="F785" s="3" t="str">
        <f>IFERROR((L785-K785),"")</f>
        <v/>
      </c>
      <c r="G785" s="5">
        <v>3</v>
      </c>
      <c r="H785" s="6">
        <f>ROUNDUP(((B786*C786))/1000,1)</f>
        <v>53.9</v>
      </c>
      <c r="I785" s="34">
        <f t="shared" si="1264"/>
        <v>0</v>
      </c>
      <c r="J785" s="78" t="str">
        <f>IFERROR(VLOOKUP(C785,[2]Sheet1!$D:$J,7,0),"")</f>
        <v/>
      </c>
      <c r="K785" s="80" t="str">
        <f>IFERROR((I785+J785),"")</f>
        <v/>
      </c>
      <c r="L785" s="7">
        <f t="shared" si="1265"/>
        <v>161.69999999999999</v>
      </c>
      <c r="M785" s="8" t="str">
        <f t="shared" si="1266"/>
        <v/>
      </c>
      <c r="N785" s="57" t="str">
        <f t="shared" si="1267"/>
        <v/>
      </c>
      <c r="O785" s="9"/>
      <c r="P785" s="10">
        <v>10</v>
      </c>
      <c r="Q785" s="10">
        <f>3828</f>
        <v>3828</v>
      </c>
      <c r="R785" s="10">
        <f>O785*P785*Q785</f>
        <v>0</v>
      </c>
      <c r="S785" s="41">
        <f t="shared" si="1141"/>
        <v>0</v>
      </c>
      <c r="T785" s="173"/>
      <c r="V785" s="173"/>
      <c r="W785" s="190"/>
      <c r="X785" s="173"/>
      <c r="Y785" s="42"/>
      <c r="AA785" s="206">
        <f t="shared" si="1249"/>
        <v>5.7749999999999995</v>
      </c>
    </row>
    <row r="786" spans="1:32" ns3:dyDescent="0.3">
      <c r="A786" s="181" t="s">
        <v>256</v>
      </c>
      <c r="B786" s="11">
        <f>ROUNDUP(HLOOKUP(A786,'야채 계산기'!$2:$3,2,0)*1.03,0)</f>
        <v>2926</v>
      </c>
      <c r="C786" s="162">
        <v>18.399999999999999</v>
      </c>
      <c r="D786" s="166" t="str">
        <f t="shared" si="1268"/>
        <v/>
      </c>
      <c r="E786" s="4"/>
      <c r="F786" s="3"/>
      <c r="G786" s="5"/>
      <c r="H786" s="6"/>
      <c r="I786" s="34">
        <f t="shared" si="1264"/>
        <v>0</v>
      </c>
      <c r="J786" s="78" t="str">
        <f>IFERROR(VLOOKUP(C786,[2]Sheet1!$D:$J,7,0),"")</f>
        <v/>
      </c>
      <c r="K786" s="80" t="str">
        <f>IFERROR((I786+J786),"")</f>
        <v/>
      </c>
      <c r="L786" s="7">
        <f t="shared" si="1265"/>
        <v>0</v>
      </c>
      <c r="M786" s="8" t="str">
        <f t="shared" si="1266"/>
        <v/>
      </c>
      <c r="N786" s="57" t="str">
        <f t="shared" si="1267"/>
        <v/>
      </c>
      <c r="O786" s="9"/>
      <c r="P786" s="10"/>
      <c r="Q786" s="10"/>
      <c r="R786" s="10">
        <f>O786*P786*Q786</f>
        <v>0</v>
      </c>
      <c r="S786" s="41">
        <f t="shared" si="1141"/>
        <v>0</v>
      </c>
      <c r="W786" s="190"/>
      <c r="Y786" s="42"/>
      <c r="AA786" s="206" t="str">
        <f t="shared" si="1249"/>
        <v/>
      </c>
    </row>
    <row r="787" spans="1:32" hidden="1" ns3:dyDescent="0.3">
      <c r="A787" s="11"/>
      <c r="B787" s="134"/>
      <c r="C787" s="262" t="s">
        <v>547</v>
      </c>
      <c r="D787" s="166" t="str">
        <f t="shared" ref="D787:D788" si="1269">IFERROR((F787/E787),"")</f>
        <v/>
      </c>
      <c r="E787" s="4">
        <v>300</v>
      </c>
      <c r="F787" s="3" t="str">
        <f>IFERROR((L787-K787),"")</f>
        <v/>
      </c>
      <c r="G787" s="5">
        <f>G715</f>
        <v>5.5</v>
      </c>
      <c r="H787" s="6" t="e">
        <f>ROUNDUP((B788*C788)/25,1)</f>
        <v>#N/A</v>
      </c>
      <c r="I787" s="34">
        <f>IFERROR((S787*E787),"")</f>
        <v>0</v>
      </c>
      <c r="J787" s="78" t="str">
        <f>IFERROR(VLOOKUP(C787,[2]Sheet1!$D:$J,7,0),"")</f>
        <v/>
      </c>
      <c r="K787" s="80" t="str">
        <f>IFERROR((I787+J787),"")</f>
        <v/>
      </c>
      <c r="L787" s="7" t="str">
        <f>IFERROR((G787*H787),"")</f>
        <v/>
      </c>
      <c r="M787" s="8" t="str">
        <f>IFERROR(K787-L787,"")</f>
        <v/>
      </c>
      <c r="N787" s="57" t="str">
        <f t="shared" ref="N787:N788" si="1270">IFERROR((K787/H787),"")</f>
        <v/>
      </c>
      <c r="O787" s="9"/>
      <c r="P787" s="10"/>
      <c r="Q787" s="10"/>
      <c r="R787" s="10">
        <f t="shared" ref="R787:R788" si="1271">O787*P787*Q787</f>
        <v>0</v>
      </c>
      <c r="S787" s="41">
        <f>SUM(Y787,T787:X787)</f>
        <v>0</v>
      </c>
      <c r="W787" s="190"/>
      <c r="Y787" s="42"/>
      <c r="Z787" s="1"/>
      <c r="AA787" s="206" t="str">
        <f>IFERROR(H787*7.5/E787/7,"")</f>
        <v/>
      </c>
    </row>
    <row r="788" spans="1:32" hidden="1" ns3:dyDescent="0.3">
      <c r="A788" s="273" t="s">
        <v>584</v>
      </c>
      <c r="B788" s="11" t="e">
        <f>ROUNDUP(HLOOKUP(A788,'야채 계산기'!$2:$3,2,0),0)</f>
        <v>#N/A</v>
      </c>
      <c r="C788" s="164">
        <v>25</v>
      </c>
      <c r="D788" s="166" t="str">
        <f t="shared" si="1269"/>
        <v/>
      </c>
      <c r="E788" s="4"/>
      <c r="F788" s="3"/>
      <c r="G788" s="5"/>
      <c r="H788" s="6"/>
      <c r="I788" s="34">
        <f>IFERROR((S788*E788),"")</f>
        <v>0</v>
      </c>
      <c r="J788" s="78" t="str">
        <f>IFERROR(VLOOKUP(C788,[2]Sheet1!$D:$J,7,0),"")</f>
        <v/>
      </c>
      <c r="K788" s="80" t="str">
        <f>IFERROR((I788+J788),"")</f>
        <v/>
      </c>
      <c r="L788" s="7">
        <f>IFERROR((G788*H788),"")</f>
        <v>0</v>
      </c>
      <c r="M788" s="8" t="str">
        <f>IFERROR(K788-L788,"")</f>
        <v/>
      </c>
      <c r="N788" s="57" t="str">
        <f t="shared" si="1270"/>
        <v/>
      </c>
      <c r="O788" s="9"/>
      <c r="P788" s="10"/>
      <c r="Q788" s="10"/>
      <c r="R788" s="10">
        <f t="shared" si="1271"/>
        <v>0</v>
      </c>
      <c r="S788" s="41">
        <f>SUM(Y788,T788:X788)</f>
        <v>0</v>
      </c>
      <c r="W788" s="190"/>
      <c r="Y788" s="42"/>
      <c r="Z788" s="1"/>
      <c r="AA788" s="206" t="str">
        <f>IFERROR(H788*7.5/E788/7,"")</f>
        <v/>
      </c>
    </row>
    <row r="789" spans="1:32" ns3:dyDescent="0.3">
      <c r="A789" s="2"/>
      <c r="B789" s="2"/>
      <c r="C789" s="153"/>
      <c r="D789" s="166"/>
      <c r="E789" s="4"/>
      <c r="F789" s="3"/>
      <c r="G789" s="5"/>
      <c r="H789" s="6"/>
      <c r="I789" s="34">
        <f t="shared" si="1264"/>
        <v>0</v>
      </c>
      <c r="J789" s="78" t="str">
        <f>IFERROR(VLOOKUP(C789,[2]Sheet1!$D:$J,7,0),"")</f>
        <v/>
      </c>
      <c r="K789" s="80" t="str">
        <f t="shared" ref="K789" si="1272">IFERROR((I789+J789),"")</f>
        <v/>
      </c>
      <c r="L789" s="7">
        <f t="shared" si="1265"/>
        <v>0</v>
      </c>
      <c r="M789" s="8" t="str">
        <f t="shared" si="1266"/>
        <v/>
      </c>
      <c r="N789" s="57"/>
      <c r="O789" s="9"/>
      <c r="P789" s="10"/>
      <c r="Q789" s="10"/>
      <c r="R789" s="10"/>
      <c r="S789" s="41">
        <f t="shared" si="1141"/>
        <v>0</v>
      </c>
      <c r="W789" s="190"/>
      <c r="Y789" s="42"/>
      <c r="Z789" s="1"/>
      <c r="AA789" s="206" t="str">
        <f t="shared" si="1249"/>
        <v/>
      </c>
    </row>
    <row r="790" spans="1:32" ns3:dyDescent="0.3">
      <c r="A790" s="184" t="s">
        <v>376</v>
      </c>
      <c r="B790" s="58" t="s">
        <v>149</v>
      </c>
      <c r="C790" s="152" t="s">
        <v>216</v>
      </c>
      <c r="D790" s="111" t="str">
        <f>IFERROR((F790/E790),"")</f>
        <v/>
      </c>
      <c r="E790" s="4"/>
      <c r="F790" s="17"/>
      <c r="G790" s="5"/>
      <c r="H790" s="6"/>
      <c r="I790" s="34">
        <f>IFERROR((S790*E790),"")</f>
        <v>0</v>
      </c>
      <c r="J790" s="78" t="str">
        <f>IFERROR(VLOOKUP(C790,[2]Sheet1!$D:$J,7,0),"")</f>
        <v/>
      </c>
      <c r="K790" s="80" t="str">
        <f t="shared" ref="K790:K807" si="1273">IFERROR((I790+J790),"")</f>
        <v/>
      </c>
      <c r="L790" s="7">
        <f t="shared" ref="L790:L791" si="1274">IFERROR((G790*H790),"")</f>
        <v>0</v>
      </c>
      <c r="M790" s="8" t="str">
        <f t="shared" ref="M790:M791" si="1275">IFERROR(K790-L790,"")</f>
        <v/>
      </c>
      <c r="N790" s="57" t="str">
        <f>IFERROR((K790/H790),"")</f>
        <v/>
      </c>
      <c r="O790" s="9"/>
      <c r="P790" s="10"/>
      <c r="Q790" s="10"/>
      <c r="R790" s="10">
        <f>O790*P790*Q790</f>
        <v>0</v>
      </c>
      <c r="S790" s="41">
        <f t="shared" si="1141"/>
        <v>0</v>
      </c>
      <c r="W790" s="190"/>
      <c r="Y790" s="42"/>
      <c r="AA790" s="206" t="str">
        <f t="shared" si="1249"/>
        <v/>
      </c>
    </row>
    <row r="791" spans="1:32" ns3:dyDescent="0.3">
      <c r="A791" s="2"/>
      <c r="B791" s="11"/>
      <c r="C791" s="236" t="s">
        <v>57</v>
      </c>
      <c r="D791" s="111">
        <f>IFERROR((F791/E791),"")</f>
        <v>-13977.75</v>
      </c>
      <c r="E791" s="4">
        <v>1</v>
      </c>
      <c r="F791" s="3">
        <f>IFERROR((L791-K791),"")</f>
        <v>-13977.75</v>
      </c>
      <c r="G791" s="5">
        <v>7.5</v>
      </c>
      <c r="H791" s="6">
        <v>7.5</v>
      </c>
      <c r="I791" s="34">
        <f>IFERROR((S791*E791),"")</f>
        <v>34</v>
      </c>
      <c r="J791" s="78">
        <f>IFERROR(VLOOKUP(C791,[2]Sheet1!$D:$J,7,0),"")</f>
        <v>14000</v>
      </c>
      <c r="K791" s="80">
        <f t="shared" si="1273"/>
        <v>14034</v>
      </c>
      <c r="L791" s="7">
        <f t="shared" si="1274"/>
        <v>56.25</v>
      </c>
      <c r="M791" s="8">
        <f t="shared" si="1275"/>
        <v>13977.75</v>
      </c>
      <c r="N791" s="57">
        <f>IFERROR((K791/H791),"")</f>
        <v>1871.2</v>
      </c>
      <c r="P791" s="1"/>
      <c r="Q791" s="1">
        <v>1498798</v>
      </c>
      <c r="R791" s="1"/>
      <c r="S791" s="41">
        <f t="shared" si="1141"/>
        <v>34</v>
      </c>
      <c r="T791" s="173">
        <v>16</v>
      </c>
      <c r="V791" s="173">
        <v>18</v>
      </c>
      <c r="W791" s="190"/>
      <c r="X791" s="183"/>
      <c r="Y791" s="42"/>
      <c r="AA791" s="206">
        <f t="shared" si="1249"/>
        <v>8.0357142857142865</v>
      </c>
    </row>
    <row r="792" spans="1:32" ns3:dyDescent="0.3">
      <c r="A792" s="2"/>
      <c r="B792" s="11"/>
      <c r="C792" s="62"/>
      <c r="D792" s="111"/>
      <c r="E792" s="4"/>
      <c r="F792" s="3"/>
      <c r="G792" s="5"/>
      <c r="H792" s="6"/>
      <c r="I792" s="34">
        <f>IFERROR((S792*E792),"")</f>
        <v>0</v>
      </c>
      <c r="J792" s="78" t="str">
        <f>IFERROR(VLOOKUP(C792,[2]Sheet1!$D:$J,7,0),"")</f>
        <v/>
      </c>
      <c r="K792" s="80" t="str">
        <f>IFERROR((I792+J792),"")</f>
        <v/>
      </c>
      <c r="L792" s="7"/>
      <c r="M792" s="8"/>
      <c r="N792" s="57"/>
      <c r="P792" s="1"/>
      <c r="Q792" s="1"/>
      <c r="R792" s="1"/>
      <c r="S792" s="41">
        <f t="shared" si="1141"/>
        <v>0</v>
      </c>
      <c r="W792" s="190"/>
      <c r="Y792" s="42"/>
      <c r="AA792" s="206" t="str">
        <f t="shared" si="1249"/>
        <v/>
      </c>
      <c r="AB792"/>
      <c r="AC792"/>
      <c r="AD792"/>
      <c r="AE792"/>
      <c r="AF792"/>
    </row>
    <row r="793" spans="1:32" ns3:dyDescent="0.3">
      <c r="A793" s="2"/>
      <c r="B793" s="11"/>
      <c r="C793" s="62"/>
      <c r="D793" s="111"/>
      <c r="E793" s="4"/>
      <c r="F793" s="3"/>
      <c r="G793" s="5"/>
      <c r="H793" s="6"/>
      <c r="I793" s="34">
        <f>IFERROR((S793*E793),"")</f>
        <v>0</v>
      </c>
      <c r="J793" s="78" t="str">
        <f>IFERROR(VLOOKUP(C793,[2]Sheet1!$D:$J,7,0),"")</f>
        <v/>
      </c>
      <c r="K793" s="80" t="str">
        <f t="shared" si="1273"/>
        <v/>
      </c>
      <c r="L793" s="7"/>
      <c r="M793" s="8"/>
      <c r="N793" s="57"/>
      <c r="P793" s="1"/>
      <c r="Q793" s="1"/>
      <c r="R793" s="1"/>
      <c r="S793" s="41">
        <f t="shared" si="1141"/>
        <v>0</v>
      </c>
      <c r="W793" s="190"/>
      <c r="Y793" s="42"/>
      <c r="AA793" s="206" t="str">
        <f t="shared" si="1249"/>
        <v/>
      </c>
      <c r="AB793"/>
      <c r="AC793"/>
      <c r="AD793"/>
      <c r="AE793"/>
      <c r="AF793"/>
    </row>
    <row r="794" spans="1:32" ns3:dyDescent="0.3">
      <c r="A794" s="184" t="s">
        <v>375</v>
      </c>
      <c r="B794" s="263" t="s">
        <v>149</v>
      </c>
      <c r="C794" s="152"/>
      <c r="D794" s="111" t="str">
        <f t="shared" ref="D794:D806" si="1276">IFERROR((F794/E794),"")</f>
        <v/>
      </c>
      <c r="E794" s="4"/>
      <c r="F794" s="3"/>
      <c r="G794" s="5"/>
      <c r="H794" s="6"/>
      <c r="I794" s="34">
        <f>IFERROR((S794*E794),"")</f>
        <v>0</v>
      </c>
      <c r="J794" s="78" t="str">
        <f>IFERROR(VLOOKUP(C794,[2]Sheet1!$D:$J,7,0),"")</f>
        <v/>
      </c>
      <c r="K794" s="80" t="str">
        <f t="shared" si="1273"/>
        <v/>
      </c>
      <c r="L794" s="7" t="s">
        <v>75</v>
      </c>
      <c r="M794" s="8"/>
      <c r="N794" s="57" t="str">
        <f t="shared" ref="N794:N807" si="1277">IFERROR((K794/H794),"")</f>
        <v/>
      </c>
      <c r="O794" s="9"/>
      <c r="P794" s="10"/>
      <c r="Q794" s="10"/>
      <c r="R794" s="10">
        <f t="shared" ref="R794:R807" si="1278">O794*P794*Q794</f>
        <v>0</v>
      </c>
      <c r="S794" s="41">
        <f t="shared" si="1141"/>
        <v>0</v>
      </c>
      <c r="W794" s="190"/>
      <c r="Y794" s="42"/>
      <c r="Z794" s="140"/>
      <c r="AA794" s="206" t="str">
        <f t="shared" si="1249"/>
        <v/>
      </c>
      <c r="AB794"/>
      <c r="AC794"/>
      <c r="AD794"/>
      <c r="AE794"/>
      <c r="AF794"/>
    </row>
    <row r="795" spans="1:32" ns3:dyDescent="0.3">
      <c r="A795" s="43" t="s">
        <v>128</v>
      </c>
      <c r="B795" s="11" t="s">
        <v>152</v>
      </c>
      <c r="C795" s="170" t="s">
        <v>250</v>
      </c>
      <c r="D795" s="166">
        <f t="shared" si="1276"/>
        <v>-4.6493199999999995</v>
      </c>
      <c r="E795" s="4">
        <v>1</v>
      </c>
      <c r="F795" s="3">
        <f t="shared" ref="F795:F807" si="1279">IFERROR((L795-K795),"")</f>
        <v>-4.6493199999999995</v>
      </c>
      <c r="G795" s="5">
        <v>5.3</v>
      </c>
      <c r="H795" s="38">
        <f>VLOOKUP(C795,'야채 계산기'!$B$6:$D$28,2,0)</f>
        <v>1.5756000000000001</v>
      </c>
      <c r="I795" s="34">
        <f t="shared" ref="I795:I800" si="1280">IFERROR((S795*E795),"")</f>
        <v>7</v>
      </c>
      <c r="J795" s="78">
        <f>IFERROR(VLOOKUP(C795,[2]Sheet1!$D:$J,7,0),"")</f>
        <v>6</v>
      </c>
      <c r="K795" s="80">
        <f t="shared" ref="K795:K800" si="1281">IFERROR((I795+J795),"")</f>
        <v>13</v>
      </c>
      <c r="L795" s="7">
        <f t="shared" ref="L795:L807" si="1282">IFERROR((G795*H795),"")</f>
        <v>8.3506800000000005</v>
      </c>
      <c r="M795" s="8">
        <f t="shared" ref="M795:M800" si="1283">IFERROR(K795-L795,"")</f>
        <v>4.6493199999999995</v>
      </c>
      <c r="N795" s="57">
        <f t="shared" si="1277"/>
        <v>8.2508250825082499</v>
      </c>
      <c r="O795" s="9"/>
      <c r="P795" s="10"/>
      <c r="Q795" s="10">
        <v>3995</v>
      </c>
      <c r="R795" s="10">
        <f t="shared" si="1278"/>
        <v>0</v>
      </c>
      <c r="S795" s="41">
        <f t="shared" si="1141"/>
        <v>7</v>
      </c>
      <c r="T795" s="194">
        <v>5</v>
      </c>
      <c r="V795" s="194">
        <v>2</v>
      </c>
      <c r="W795" s="190"/>
      <c r="X795" s="253"/>
      <c r="Y795" s="42"/>
      <c r="Z795" s="140"/>
      <c r="AA795" s="206">
        <f t="shared" si="1249"/>
        <v>1.6881428571428572</v>
      </c>
      <c r="AB795"/>
      <c r="AC795"/>
      <c r="AD795"/>
      <c r="AE795"/>
      <c r="AF795"/>
    </row>
    <row r="796" spans="1:32" ns3:dyDescent="0.3">
      <c r="A796" s="43" t="s">
        <v>128</v>
      </c>
      <c r="B796" s="11" t="s">
        <v>133</v>
      </c>
      <c r="C796" s="164" t="s">
        <v>12</v>
      </c>
      <c r="D796" s="166">
        <f t="shared" si="1276"/>
        <v>-11.683098000000001</v>
      </c>
      <c r="E796" s="4">
        <v>5</v>
      </c>
      <c r="F796" s="3">
        <f t="shared" si="1279"/>
        <v>-58.415490000000005</v>
      </c>
      <c r="G796" s="5">
        <f t="shared" ref="G796:G807" si="1284">G795</f>
        <v>5.3</v>
      </c>
      <c r="H796" s="38">
        <f>VLOOKUP(C796,'야채 계산기'!$B$6:$D$28,2,0)</f>
        <v>6.3366999999999996</v>
      </c>
      <c r="I796" s="34">
        <f t="shared" si="1280"/>
        <v>50</v>
      </c>
      <c r="J796" s="78">
        <f>IFERROR(VLOOKUP(C796,[2]Sheet1!$D:$J,7,0),"")</f>
        <v>42</v>
      </c>
      <c r="K796" s="80">
        <f t="shared" si="1281"/>
        <v>92</v>
      </c>
      <c r="L796" s="7">
        <f t="shared" si="1282"/>
        <v>33.584509999999995</v>
      </c>
      <c r="M796" s="8">
        <f t="shared" si="1283"/>
        <v>58.415490000000005</v>
      </c>
      <c r="N796" s="57">
        <f t="shared" si="1277"/>
        <v>14.5185980084271</v>
      </c>
      <c r="O796" s="9"/>
      <c r="P796" s="10"/>
      <c r="Q796" s="10">
        <v>9864</v>
      </c>
      <c r="R796" s="10">
        <f t="shared" si="1278"/>
        <v>0</v>
      </c>
      <c r="S796" s="41">
        <f t="shared" si="1141"/>
        <v>10</v>
      </c>
      <c r="T796" s="194">
        <v>6</v>
      </c>
      <c r="V796" s="194">
        <v>4</v>
      </c>
      <c r="W796" s="190"/>
      <c r="X796" s="253"/>
      <c r="Y796" s="42"/>
      <c r="Z796" s="140"/>
      <c r="AA796" s="206">
        <f t="shared" si="1249"/>
        <v>1.3578642857142857</v>
      </c>
      <c r="AB796"/>
      <c r="AC796"/>
      <c r="AD796"/>
      <c r="AE796"/>
      <c r="AF796"/>
    </row>
    <row r="797" spans="1:32" ns3:dyDescent="0.3">
      <c r="A797" s="43" t="s">
        <v>128</v>
      </c>
      <c r="B797" s="11" t="s">
        <v>132</v>
      </c>
      <c r="C797" s="62" t="s">
        <v>142</v>
      </c>
      <c r="D797" s="166">
        <f t="shared" si="1276"/>
        <v>-10.821837129999999</v>
      </c>
      <c r="E797" s="4">
        <v>1</v>
      </c>
      <c r="F797" s="3">
        <f t="shared" si="1279"/>
        <v>-10.821837129999999</v>
      </c>
      <c r="G797" s="5">
        <f>G796</f>
        <v>5.3</v>
      </c>
      <c r="H797" s="38">
        <f>VLOOKUP(C797,'야채 계산기'!$B$6:$D$28,2,0)</f>
        <v>9.4675779000000002</v>
      </c>
      <c r="I797" s="34">
        <f t="shared" si="1280"/>
        <v>28</v>
      </c>
      <c r="J797" s="78">
        <f>IFERROR(VLOOKUP(C797,[2]Sheet1!$D:$J,7,0),"")</f>
        <v>33</v>
      </c>
      <c r="K797" s="80">
        <f t="shared" si="1281"/>
        <v>61</v>
      </c>
      <c r="L797" s="7">
        <f t="shared" si="1282"/>
        <v>50.178162870000001</v>
      </c>
      <c r="M797" s="8">
        <f t="shared" si="1283"/>
        <v>10.821837129999999</v>
      </c>
      <c r="N797" s="57">
        <f t="shared" si="1277"/>
        <v>6.4430417836857723</v>
      </c>
      <c r="O797" s="9"/>
      <c r="P797" s="10"/>
      <c r="Q797" s="10">
        <v>19000</v>
      </c>
      <c r="R797" s="10">
        <f t="shared" si="1278"/>
        <v>0</v>
      </c>
      <c r="S797" s="41">
        <f t="shared" si="1141"/>
        <v>28</v>
      </c>
      <c r="T797" s="194">
        <v>18</v>
      </c>
      <c r="V797" s="194">
        <v>10</v>
      </c>
      <c r="W797" s="190"/>
      <c r="X797" s="253"/>
      <c r="Y797" s="42"/>
      <c r="Z797" s="140"/>
      <c r="AA797" s="206">
        <f t="shared" si="1249"/>
        <v>10.143833464285715</v>
      </c>
      <c r="AB797"/>
      <c r="AC797"/>
      <c r="AD797"/>
      <c r="AE797"/>
      <c r="AF797"/>
    </row>
    <row r="798" spans="1:32" ns3:dyDescent="0.3">
      <c r="A798" s="43" t="s">
        <v>138</v>
      </c>
      <c r="B798" s="11" t="s">
        <v>139</v>
      </c>
      <c r="C798" s="144" t="s">
        <v>249</v>
      </c>
      <c r="D798" s="166">
        <f t="shared" si="1276"/>
        <v>-3.6394915000000054</v>
      </c>
      <c r="E798" s="4">
        <v>2</v>
      </c>
      <c r="F798" s="3">
        <f t="shared" si="1279"/>
        <v>-7.2789830000000109</v>
      </c>
      <c r="G798" s="5">
        <f t="shared" si="1284"/>
        <v>5.3</v>
      </c>
      <c r="H798" s="38">
        <f>VLOOKUP(C798,'야채 계산기'!$B$6:$D$28,2,0)</f>
        <v>7.8718899999999987</v>
      </c>
      <c r="I798" s="34">
        <f t="shared" si="1280"/>
        <v>22</v>
      </c>
      <c r="J798" s="78">
        <f>IFERROR(VLOOKUP(C798,[2]Sheet1!$D:$J,7,0),"")</f>
        <v>27</v>
      </c>
      <c r="K798" s="80">
        <f t="shared" si="1281"/>
        <v>49</v>
      </c>
      <c r="L798" s="7">
        <f t="shared" si="1282"/>
        <v>41.721016999999989</v>
      </c>
      <c r="M798" s="8">
        <f t="shared" si="1283"/>
        <v>7.2789830000000109</v>
      </c>
      <c r="N798" s="57">
        <f t="shared" si="1277"/>
        <v>6.2246804769883735</v>
      </c>
      <c r="O798" s="9"/>
      <c r="P798" s="10"/>
      <c r="Q798" s="10">
        <v>15000</v>
      </c>
      <c r="R798" s="10">
        <f t="shared" si="1278"/>
        <v>0</v>
      </c>
      <c r="S798" s="41">
        <f t="shared" si="1141"/>
        <v>11</v>
      </c>
      <c r="T798" s="194">
        <v>7</v>
      </c>
      <c r="V798" s="194">
        <v>4</v>
      </c>
      <c r="W798" s="190"/>
      <c r="X798" s="253"/>
      <c r="Y798" s="42"/>
      <c r="Z798" s="140"/>
      <c r="AA798" s="206">
        <f t="shared" si="1249"/>
        <v>4.2170839285714283</v>
      </c>
      <c r="AB798"/>
      <c r="AC798"/>
      <c r="AD798"/>
      <c r="AE798"/>
      <c r="AF798"/>
    </row>
    <row r="799" spans="1:32" ht="15.75" customHeight="1" ns3:dyDescent="0.3">
      <c r="A799" s="43" t="s">
        <v>128</v>
      </c>
      <c r="B799" s="11" t="s">
        <v>137</v>
      </c>
      <c r="C799" s="164" t="s">
        <v>47</v>
      </c>
      <c r="D799" s="166">
        <f>IFERROR((F799/E799),"")</f>
        <v>-22.665095999999998</v>
      </c>
      <c r="E799" s="4">
        <v>1</v>
      </c>
      <c r="F799" s="3">
        <f t="shared" si="1279"/>
        <v>-22.665095999999998</v>
      </c>
      <c r="G799" s="5">
        <f>G795</f>
        <v>5.3</v>
      </c>
      <c r="H799" s="38">
        <f>VLOOKUP(C799,'야채 계산기'!$B$6:$D$28,2,0)*0.8</f>
        <v>7.4216800000000012</v>
      </c>
      <c r="I799" s="34">
        <f t="shared" si="1280"/>
        <v>28</v>
      </c>
      <c r="J799" s="78">
        <f>IFERROR(VLOOKUP(C799,[2]Sheet1!$D:$J,7,0),"")</f>
        <v>34</v>
      </c>
      <c r="K799" s="80">
        <f t="shared" si="1281"/>
        <v>62</v>
      </c>
      <c r="L799" s="7">
        <f t="shared" si="1282"/>
        <v>39.334904000000002</v>
      </c>
      <c r="M799" s="8">
        <f t="shared" si="1283"/>
        <v>22.665095999999998</v>
      </c>
      <c r="N799" s="57">
        <f t="shared" si="1277"/>
        <v>8.35390369835401</v>
      </c>
      <c r="O799" s="9"/>
      <c r="P799" s="10"/>
      <c r="Q799" s="10">
        <v>36000</v>
      </c>
      <c r="R799" s="10">
        <f t="shared" si="1278"/>
        <v>0</v>
      </c>
      <c r="S799" s="41">
        <f t="shared" si="1141"/>
        <v>28</v>
      </c>
      <c r="T799" s="194">
        <v>22</v>
      </c>
      <c r="V799" s="194">
        <v>6</v>
      </c>
      <c r="W799" s="190"/>
      <c r="X799" s="253"/>
      <c r="Y799" s="42"/>
      <c r="Z799" s="140"/>
      <c r="AA799" s="206">
        <f t="shared" si="1249"/>
        <v>7.9518000000000013</v>
      </c>
      <c r="AB799"/>
      <c r="AC799"/>
      <c r="AD799"/>
      <c r="AE799"/>
      <c r="AF799"/>
    </row>
    <row r="800" spans="1:32" ns3:dyDescent="0.3">
      <c r="A800" s="43" t="s">
        <v>128</v>
      </c>
      <c r="B800" s="11" t="s">
        <v>134</v>
      </c>
      <c r="C800" s="164" t="s">
        <v>135</v>
      </c>
      <c r="D800" s="166">
        <f t="shared" si="1276"/>
        <v>-4.6299899999999994</v>
      </c>
      <c r="E800" s="4">
        <v>1</v>
      </c>
      <c r="F800" s="3">
        <f t="shared" si="1279"/>
        <v>-4.6299899999999994</v>
      </c>
      <c r="G800" s="5">
        <f>G795</f>
        <v>5.3</v>
      </c>
      <c r="H800" s="38">
        <f>VLOOKUP(C800,'야채 계산기'!$B$6:$D$28,2,0)</f>
        <v>0.37170000000000003</v>
      </c>
      <c r="I800" s="34">
        <f t="shared" si="1280"/>
        <v>4</v>
      </c>
      <c r="J800" s="78">
        <f>IFERROR(VLOOKUP(C800,[2]Sheet1!$D:$J,7,0),"")</f>
        <v>2.6</v>
      </c>
      <c r="K800" s="80">
        <f t="shared" si="1281"/>
        <v>6.6</v>
      </c>
      <c r="L800" s="7">
        <f t="shared" si="1282"/>
        <v>1.97001</v>
      </c>
      <c r="M800" s="8">
        <f t="shared" si="1283"/>
        <v>4.6299899999999994</v>
      </c>
      <c r="N800" s="57">
        <f t="shared" si="1277"/>
        <v>17.756255044390635</v>
      </c>
      <c r="O800" s="9"/>
      <c r="P800" s="10"/>
      <c r="Q800" s="10">
        <v>11000</v>
      </c>
      <c r="R800" s="10">
        <f t="shared" si="1278"/>
        <v>0</v>
      </c>
      <c r="S800" s="41">
        <f t="shared" si="1141"/>
        <v>4</v>
      </c>
      <c r="T800" s="194">
        <v>2</v>
      </c>
      <c r="V800" s="194">
        <v>2</v>
      </c>
      <c r="W800" s="190"/>
      <c r="X800" s="253"/>
      <c r="Y800" s="42"/>
      <c r="Z800" s="140"/>
      <c r="AA800" s="206">
        <f t="shared" si="1249"/>
        <v>0.39825000000000005</v>
      </c>
      <c r="AB800"/>
      <c r="AC800"/>
      <c r="AD800"/>
      <c r="AE800"/>
      <c r="AF800"/>
    </row>
    <row r="801" spans="1:32" ns3:dyDescent="0.3">
      <c r="A801" s="43" t="s">
        <v>128</v>
      </c>
      <c r="B801" s="11" t="s">
        <v>129</v>
      </c>
      <c r="C801" s="164" t="s">
        <v>43</v>
      </c>
      <c r="D801" s="166">
        <f t="shared" si="1276"/>
        <v>-21.864197185333335</v>
      </c>
      <c r="E801" s="4">
        <v>3</v>
      </c>
      <c r="F801" s="3">
        <f t="shared" si="1279"/>
        <v>-65.592591556000002</v>
      </c>
      <c r="G801" s="5">
        <f t="shared" si="1284"/>
        <v>5.3</v>
      </c>
      <c r="H801" s="38">
        <f>VLOOKUP(C801,'야채 계산기'!$B$6:$D$28,2,0)*0.85</f>
        <v>51.586303479999998</v>
      </c>
      <c r="I801" s="34">
        <f t="shared" ref="I801:I811" si="1285">IFERROR((S801*E801),"")</f>
        <v>228</v>
      </c>
      <c r="J801" s="78">
        <f>IFERROR(VLOOKUP(C801,[2]Sheet1!$D:$J,7,0),"")</f>
        <v>111</v>
      </c>
      <c r="K801" s="80">
        <f t="shared" si="1273"/>
        <v>339</v>
      </c>
      <c r="L801" s="7">
        <f t="shared" si="1282"/>
        <v>273.407408444</v>
      </c>
      <c r="M801" s="8">
        <f t="shared" ref="M801:M807" si="1286">IFERROR(K801-L801,"")</f>
        <v>65.592591556000002</v>
      </c>
      <c r="N801" s="57">
        <f t="shared" si="1277"/>
        <v>6.5715117605088773</v>
      </c>
      <c r="O801" s="9"/>
      <c r="P801" s="10"/>
      <c r="Q801" s="10">
        <v>7600</v>
      </c>
      <c r="R801" s="10">
        <f t="shared" si="1278"/>
        <v>0</v>
      </c>
      <c r="S801" s="41">
        <f t="shared" si="1141"/>
        <v>76</v>
      </c>
      <c r="T801" s="194">
        <v>46</v>
      </c>
      <c r="V801" s="194">
        <v>30</v>
      </c>
      <c r="W801" s="190"/>
      <c r="X801" s="253"/>
      <c r="Y801" s="42"/>
      <c r="Z801" s="140"/>
      <c r="AA801" s="206">
        <f t="shared" si="1249"/>
        <v>18.423679814285716</v>
      </c>
      <c r="AB801"/>
      <c r="AC801"/>
      <c r="AD801"/>
      <c r="AE801"/>
      <c r="AF801"/>
    </row>
    <row r="802" spans="1:32" ns3:dyDescent="0.3">
      <c r="A802" s="43" t="s">
        <v>128</v>
      </c>
      <c r="B802" s="11" t="s">
        <v>140</v>
      </c>
      <c r="C802" s="62" t="s">
        <v>49</v>
      </c>
      <c r="D802" s="166">
        <f t="shared" si="1276"/>
        <v>-1.0064500000000005</v>
      </c>
      <c r="E802" s="4">
        <v>1</v>
      </c>
      <c r="F802" s="3">
        <f t="shared" si="1279"/>
        <v>-1.0064500000000005</v>
      </c>
      <c r="G802" s="5">
        <f>G801</f>
        <v>5.3</v>
      </c>
      <c r="H802" s="38">
        <f>VLOOKUP(C802,'야채 계산기'!$B$6:$D$28,2,0)</f>
        <v>0.75349999999999995</v>
      </c>
      <c r="I802" s="34">
        <f t="shared" si="1285"/>
        <v>0</v>
      </c>
      <c r="J802" s="78">
        <f>IFERROR(VLOOKUP(C802,[2]Sheet1!$D:$J,7,0),"")</f>
        <v>5</v>
      </c>
      <c r="K802" s="80">
        <f>IFERROR((I802+J802),"")</f>
        <v>5</v>
      </c>
      <c r="L802" s="7">
        <f t="shared" si="1282"/>
        <v>3.9935499999999995</v>
      </c>
      <c r="M802" s="8">
        <f t="shared" si="1286"/>
        <v>1.0064500000000005</v>
      </c>
      <c r="N802" s="57">
        <f t="shared" si="1277"/>
        <v>6.6357000663570007</v>
      </c>
      <c r="O802" s="9"/>
      <c r="P802" s="10"/>
      <c r="Q802" s="10">
        <v>26281</v>
      </c>
      <c r="R802" s="10">
        <f t="shared" si="1278"/>
        <v>0</v>
      </c>
      <c r="S802" s="41">
        <f t="shared" ref="S802:S916" si="1287">SUM(Y802,T802:X802)</f>
        <v>0</v>
      </c>
      <c r="T802" s="194"/>
      <c r="V802" s="194"/>
      <c r="W802" s="190"/>
      <c r="X802" s="253"/>
      <c r="Y802" s="42"/>
      <c r="Z802" s="140"/>
      <c r="AA802" s="206">
        <f t="shared" ref="AA802:AA806" si="1288">IFERROR(H802*7.5/E802/7,"")</f>
        <v>0.80732142857142841</v>
      </c>
      <c r="AB802"/>
      <c r="AC802"/>
      <c r="AD802"/>
      <c r="AE802"/>
      <c r="AF802"/>
    </row>
    <row r="803" spans="1:32" ns3:dyDescent="0.3">
      <c r="A803" s="43" t="s">
        <v>128</v>
      </c>
      <c r="B803" s="11" t="s">
        <v>130</v>
      </c>
      <c r="C803" s="164" t="s">
        <v>131</v>
      </c>
      <c r="D803" s="166">
        <f t="shared" si="1276"/>
        <v>-18.867283080000007</v>
      </c>
      <c r="E803" s="4">
        <v>1</v>
      </c>
      <c r="F803" s="3">
        <f t="shared" si="1279"/>
        <v>-18.867283080000007</v>
      </c>
      <c r="G803" s="5">
        <f t="shared" si="1284"/>
        <v>5.3</v>
      </c>
      <c r="H803" s="38">
        <f>VLOOKUP(C803,'야채 계산기'!$B$6:$D$28,2,0)*0.79</f>
        <v>21.1571164</v>
      </c>
      <c r="I803" s="34">
        <f t="shared" si="1285"/>
        <v>72</v>
      </c>
      <c r="J803" s="78">
        <f>IFERROR(VLOOKUP(C803,[2]Sheet1!$D:$J,7,0),"")</f>
        <v>59</v>
      </c>
      <c r="K803" s="80">
        <f t="shared" si="1273"/>
        <v>131</v>
      </c>
      <c r="L803" s="7">
        <f t="shared" si="1282"/>
        <v>112.13271691999999</v>
      </c>
      <c r="M803" s="8">
        <f t="shared" si="1286"/>
        <v>18.867283080000007</v>
      </c>
      <c r="N803" s="57">
        <f t="shared" si="1277"/>
        <v>6.1917700656030803</v>
      </c>
      <c r="O803" s="9"/>
      <c r="P803" s="10"/>
      <c r="Q803" s="10">
        <v>20000</v>
      </c>
      <c r="R803" s="10">
        <f t="shared" si="1278"/>
        <v>0</v>
      </c>
      <c r="S803" s="41">
        <f t="shared" si="1287"/>
        <v>72</v>
      </c>
      <c r="T803" s="194">
        <v>40</v>
      </c>
      <c r="V803" s="194">
        <v>32</v>
      </c>
      <c r="W803" s="190"/>
      <c r="X803" s="253"/>
      <c r="Y803" s="42"/>
      <c r="Z803" s="140"/>
      <c r="AA803" s="206">
        <f t="shared" si="1288"/>
        <v>22.668339</v>
      </c>
      <c r="AB803"/>
      <c r="AC803"/>
      <c r="AD803"/>
      <c r="AE803"/>
      <c r="AF803"/>
    </row>
    <row r="804" spans="1:32" ht="16.5" hidden="1" customHeight="1" ns3:dyDescent="0.3">
      <c r="A804" s="43" t="s">
        <v>128</v>
      </c>
      <c r="B804" s="13" t="s">
        <v>504</v>
      </c>
      <c r="C804" s="262" t="s">
        <v>506</v>
      </c>
      <c r="D804" s="166" t="str">
        <f t="shared" si="1276"/>
        <v/>
      </c>
      <c r="E804" s="4">
        <v>1</v>
      </c>
      <c r="F804" s="3" t="str">
        <f t="shared" ref="F804" si="1289">IFERROR((L804-K804),"")</f>
        <v/>
      </c>
      <c r="G804" s="5">
        <f t="shared" si="1284"/>
        <v>5.3</v>
      </c>
      <c r="H804" s="38">
        <f>VLOOKUP(C804,'야채 계산기'!$B$6:$D$28,2,0)</f>
        <v>0</v>
      </c>
      <c r="I804" s="34">
        <f t="shared" ref="I804" si="1290">IFERROR((S804*E804),"")</f>
        <v>0</v>
      </c>
      <c r="J804" s="78" t="str">
        <f>IFERROR(VLOOKUP(C804,[2]Sheet1!$D:$J,7,0),"")</f>
        <v/>
      </c>
      <c r="K804" s="80" t="str">
        <f t="shared" ref="K804" si="1291">IFERROR((I804+J804),"")</f>
        <v/>
      </c>
      <c r="L804" s="7">
        <f t="shared" ref="L804" si="1292">IFERROR((G804*H804),"")</f>
        <v>0</v>
      </c>
      <c r="M804" s="8" t="str">
        <f t="shared" ref="M804" si="1293">IFERROR(K804-L804,"")</f>
        <v/>
      </c>
      <c r="N804" s="57" t="str">
        <f t="shared" ref="N804" si="1294">IFERROR((K804/H804),"")</f>
        <v/>
      </c>
      <c r="O804" s="9"/>
      <c r="P804" s="10"/>
      <c r="Q804" s="10">
        <v>55000</v>
      </c>
      <c r="R804" s="10">
        <f t="shared" ref="R804" si="1295">O804*P804*Q804</f>
        <v>0</v>
      </c>
      <c r="S804" s="41">
        <f t="shared" si="1287"/>
        <v>0</v>
      </c>
      <c r="T804" s="185"/>
      <c r="V804" s="185"/>
      <c r="W804" s="190"/>
      <c r="X804" s="253"/>
      <c r="Y804" s="42"/>
      <c r="AA804" s="206">
        <f t="shared" si="1288"/>
        <v>0</v>
      </c>
      <c r="AB804"/>
      <c r="AC804"/>
      <c r="AD804"/>
      <c r="AE804"/>
      <c r="AF804"/>
    </row>
    <row r="805" spans="1:32" ns3:dyDescent="0.3">
      <c r="A805" s="43" t="s">
        <v>128</v>
      </c>
      <c r="B805" s="11" t="s">
        <v>136</v>
      </c>
      <c r="C805" s="164" t="s">
        <v>14</v>
      </c>
      <c r="D805" s="166">
        <f t="shared" si="1276"/>
        <v>-50.700189937500014</v>
      </c>
      <c r="E805" s="4">
        <v>1</v>
      </c>
      <c r="F805" s="3">
        <f t="shared" si="1279"/>
        <v>-50.700189937500014</v>
      </c>
      <c r="G805" s="5">
        <f t="shared" si="1284"/>
        <v>5.3</v>
      </c>
      <c r="H805" s="38">
        <f>VLOOKUP(C805,'야채 계산기'!$B$6:$D$28,2,0)</f>
        <v>12.509398124999999</v>
      </c>
      <c r="I805" s="34">
        <f t="shared" si="1285"/>
        <v>69</v>
      </c>
      <c r="J805" s="78">
        <f>IFERROR(VLOOKUP(C805,[2]Sheet1!$D:$J,7,0),"")</f>
        <v>48</v>
      </c>
      <c r="K805" s="80">
        <f t="shared" si="1273"/>
        <v>117</v>
      </c>
      <c r="L805" s="7">
        <f t="shared" si="1282"/>
        <v>66.299810062499986</v>
      </c>
      <c r="M805" s="8">
        <f t="shared" si="1286"/>
        <v>50.700189937500014</v>
      </c>
      <c r="N805" s="57">
        <f t="shared" si="1277"/>
        <v>9.3529679710309814</v>
      </c>
      <c r="O805" s="9"/>
      <c r="P805" s="10"/>
      <c r="Q805" s="10">
        <v>5200</v>
      </c>
      <c r="R805" s="10">
        <f t="shared" si="1278"/>
        <v>0</v>
      </c>
      <c r="S805" s="41">
        <f t="shared" si="1287"/>
        <v>69</v>
      </c>
      <c r="T805" s="194">
        <v>45</v>
      </c>
      <c r="V805" s="194">
        <v>24</v>
      </c>
      <c r="W805" s="190"/>
      <c r="X805" s="253"/>
      <c r="Y805" s="42"/>
      <c r="Z805" s="140"/>
      <c r="AA805" s="206">
        <f t="shared" si="1288"/>
        <v>13.402926562499999</v>
      </c>
      <c r="AB805"/>
      <c r="AC805"/>
      <c r="AD805"/>
      <c r="AE805"/>
      <c r="AF805"/>
    </row>
    <row r="806" spans="1:32" ns3:dyDescent="0.3">
      <c r="A806" s="43" t="s">
        <v>128</v>
      </c>
      <c r="B806" s="11" t="s">
        <v>146</v>
      </c>
      <c r="C806" s="164" t="s">
        <v>220</v>
      </c>
      <c r="D806" s="166">
        <f t="shared" si="1276"/>
        <v>-0.42939799999999972</v>
      </c>
      <c r="E806" s="4">
        <v>1</v>
      </c>
      <c r="F806" s="3">
        <f t="shared" si="1279"/>
        <v>-0.42939799999999972</v>
      </c>
      <c r="G806" s="5">
        <f t="shared" si="1284"/>
        <v>5.3</v>
      </c>
      <c r="H806" s="38">
        <f>VLOOKUP(C806,'야채 계산기'!$B$6:$D$28,2,0)*1.2</f>
        <v>0.29634000000000005</v>
      </c>
      <c r="I806" s="34">
        <f t="shared" si="1285"/>
        <v>1</v>
      </c>
      <c r="J806" s="78">
        <f>IFERROR(VLOOKUP(C806,[2]Sheet1!$D:$J,7,0),"")</f>
        <v>1</v>
      </c>
      <c r="K806" s="80">
        <f t="shared" si="1273"/>
        <v>2</v>
      </c>
      <c r="L806" s="7">
        <f t="shared" si="1282"/>
        <v>1.5706020000000003</v>
      </c>
      <c r="M806" s="8">
        <f t="shared" si="1286"/>
        <v>0.42939799999999972</v>
      </c>
      <c r="N806" s="57">
        <f t="shared" si="1277"/>
        <v>6.7490045218330286</v>
      </c>
      <c r="O806" s="9"/>
      <c r="P806" s="10"/>
      <c r="Q806" s="10">
        <v>18700</v>
      </c>
      <c r="R806" s="10">
        <f t="shared" si="1278"/>
        <v>0</v>
      </c>
      <c r="S806" s="41">
        <f t="shared" si="1287"/>
        <v>1</v>
      </c>
      <c r="T806" s="194"/>
      <c r="V806" s="194">
        <v>1</v>
      </c>
      <c r="W806" s="190"/>
      <c r="X806" s="253"/>
      <c r="Y806" s="42"/>
      <c r="Z806" s="140"/>
      <c r="AA806" s="206">
        <f t="shared" si="1288"/>
        <v>0.31750714285714293</v>
      </c>
      <c r="AB806"/>
      <c r="AC806"/>
      <c r="AD806"/>
      <c r="AE806"/>
      <c r="AF806"/>
    </row>
    <row r="807" spans="1:32" ns3:dyDescent="0.3">
      <c r="A807" s="43" t="s">
        <v>128</v>
      </c>
      <c r="B807" s="258" t="s">
        <v>599</v>
      </c>
      <c r="C807" s="62" t="s">
        <v>621</v>
      </c>
      <c r="D807" s="111">
        <f>IFERROR((F807/E807),"")*0.8</f>
        <v>-0.53330247999999991</v>
      </c>
      <c r="E807" s="4">
        <v>5</v>
      </c>
      <c r="F807" s="3">
        <f t="shared" si="1279"/>
        <v>-3.333140499999999</v>
      </c>
      <c r="G807" s="5">
        <f t="shared" si="1284"/>
        <v>5.3</v>
      </c>
      <c r="H807" s="38">
        <f>VLOOKUP(C807,'야채 계산기'!$B$6:$D$28,2,0)*1.15</f>
        <v>2.0126150000000003</v>
      </c>
      <c r="I807" s="34">
        <f t="shared" si="1285"/>
        <v>5</v>
      </c>
      <c r="J807" s="78">
        <f>IFERROR(VLOOKUP(C807,[2]Sheet1!$D:$J,7,0),"")</f>
        <v>9</v>
      </c>
      <c r="K807" s="80">
        <f t="shared" si="1273"/>
        <v>14</v>
      </c>
      <c r="L807" s="7">
        <f t="shared" si="1282"/>
        <v>10.666859500000001</v>
      </c>
      <c r="M807" s="8">
        <f t="shared" si="1286"/>
        <v>3.333140499999999</v>
      </c>
      <c r="N807" s="57">
        <f t="shared" si="1277"/>
        <v>6.9561242463163584</v>
      </c>
      <c r="O807" s="9"/>
      <c r="P807" s="10"/>
      <c r="Q807" s="10">
        <v>6103</v>
      </c>
      <c r="R807" s="10">
        <f t="shared" si="1278"/>
        <v>0</v>
      </c>
      <c r="S807" s="41">
        <f t="shared" ref="S807" si="1296">SUM(Y807,T807:X807)</f>
        <v>1</v>
      </c>
      <c r="T807" s="185">
        <v>1</v>
      </c>
      <c r="V807" s="185"/>
      <c r="W807" s="190"/>
      <c r="X807" s="253"/>
      <c r="Y807" s="42"/>
      <c r="AA807" s="206">
        <f t="shared" ref="AA807" si="1297">IFERROR(H807*7.5/E807/7,"")</f>
        <v>0.4312746428571429</v>
      </c>
      <c r="AB807"/>
      <c r="AC807"/>
      <c r="AD807"/>
      <c r="AE807"/>
      <c r="AF807"/>
    </row>
    <row r="808" spans="1:32" ht="16.5" hidden="1" customHeight="1" ns3:dyDescent="0.3">
      <c r="A808" s="43" t="s">
        <v>128</v>
      </c>
      <c r="B808" s="13" t="s">
        <v>503</v>
      </c>
      <c r="C808" s="262" t="s">
        <v>507</v>
      </c>
      <c r="D808" s="166" t="str">
        <f>IFERROR((F808/E808),"")</f>
        <v/>
      </c>
      <c r="E808" s="4">
        <v>1</v>
      </c>
      <c r="F808" s="3" t="str">
        <f>IFERROR((L808-K808),"")</f>
        <v/>
      </c>
      <c r="G808" s="5">
        <v>1.5</v>
      </c>
      <c r="H808" s="38">
        <f>VLOOKUP(C808,'야채 계산기'!$B$6:$D$28,2,0)*0.85</f>
        <v>0</v>
      </c>
      <c r="I808" s="34">
        <f>IFERROR((S808*E808),"")</f>
        <v>0</v>
      </c>
      <c r="J808" s="78" t="str">
        <f>IFERROR(VLOOKUP(C808,[2]Sheet1!$D:$J,7,0),"")</f>
        <v/>
      </c>
      <c r="K808" s="80" t="str">
        <f>IFERROR((I808+J808),"")</f>
        <v/>
      </c>
      <c r="L808" s="7">
        <f>IFERROR((G808*H808),"")</f>
        <v>0</v>
      </c>
      <c r="M808" s="8" t="str">
        <f>IFERROR(K808-L808,"")</f>
        <v/>
      </c>
      <c r="N808" s="57" t="str">
        <f>IFERROR((K808/H808),"")</f>
        <v/>
      </c>
      <c r="O808" s="9"/>
      <c r="P808" s="10"/>
      <c r="Q808" s="10">
        <v>14000</v>
      </c>
      <c r="R808" s="10">
        <f>O808*P808*Q808</f>
        <v>0</v>
      </c>
      <c r="S808" s="41">
        <f>SUM(Y808,T808:X808)</f>
        <v>0</v>
      </c>
      <c r="T808" s="185"/>
      <c r="V808" s="185"/>
      <c r="W808" s="190"/>
      <c r="X808" s="253"/>
      <c r="Y808" s="42"/>
      <c r="AA808" s="206">
        <f>IFERROR(H808*7.5/E808/7,"")</f>
        <v>0</v>
      </c>
      <c r="AB808"/>
      <c r="AC808"/>
      <c r="AD808"/>
      <c r="AE808"/>
      <c r="AF808"/>
    </row>
    <row r="809" spans="1:32" ht="16.5" hidden="1" customHeight="1" ns3:dyDescent="0.3">
      <c r="A809" s="43" t="s">
        <v>138</v>
      </c>
      <c r="B809" s="13" t="s">
        <v>530</v>
      </c>
      <c r="C809" s="262" t="s">
        <v>536</v>
      </c>
      <c r="D809" s="166" t="str">
        <f>IFERROR((F809/E809),"")</f>
        <v/>
      </c>
      <c r="E809" s="4">
        <v>1</v>
      </c>
      <c r="F809" s="3" t="str">
        <f>IFERROR((L809-K809),"")</f>
        <v/>
      </c>
      <c r="G809" s="5">
        <f>G801</f>
        <v>5.3</v>
      </c>
      <c r="H809" s="38">
        <f>VLOOKUP(C809,'야채 계산기'!$B$6:$D$28,2,0)</f>
        <v>0</v>
      </c>
      <c r="I809" s="34">
        <f>IFERROR((S809*E809),"")</f>
        <v>0</v>
      </c>
      <c r="J809" s="78" t="str">
        <f>IFERROR(VLOOKUP(C809,[2]Sheet1!$D:$J,7,0),"")</f>
        <v/>
      </c>
      <c r="K809" s="80" t="str">
        <f>IFERROR((I809+J809),"")</f>
        <v/>
      </c>
      <c r="L809" s="7">
        <f>IFERROR((G809*H809),"")</f>
        <v>0</v>
      </c>
      <c r="M809" s="8" t="str">
        <f>IFERROR(K809-L809,"")</f>
        <v/>
      </c>
      <c r="N809" s="57" t="str">
        <f>IFERROR((K809/H809),"")</f>
        <v/>
      </c>
      <c r="O809" s="9"/>
      <c r="P809" s="10"/>
      <c r="Q809" s="10">
        <v>45000</v>
      </c>
      <c r="R809" s="10">
        <f>O809*P809*Q809</f>
        <v>0</v>
      </c>
      <c r="S809" s="41">
        <f>SUM(Y809,T809:X809)</f>
        <v>0</v>
      </c>
      <c r="T809" s="185"/>
      <c r="V809" s="185"/>
      <c r="W809" s="190"/>
      <c r="X809" s="253"/>
      <c r="Y809" s="42"/>
      <c r="AA809" s="206">
        <f>IFERROR(H809*7.5/E809/7,"")</f>
        <v>0</v>
      </c>
      <c r="AB809"/>
      <c r="AC809"/>
      <c r="AD809"/>
      <c r="AE809"/>
      <c r="AF809"/>
    </row>
    <row r="810" spans="1:32" ht="16.5" hidden="1" customHeight="1" ns3:dyDescent="0.3">
      <c r="A810" s="43" t="s">
        <v>128</v>
      </c>
      <c r="B810" s="13" t="s">
        <v>503</v>
      </c>
      <c r="C810" s="262" t="s">
        <v>516</v>
      </c>
      <c r="D810" s="166" t="str">
        <f>IFERROR((F810/E810),"")</f>
        <v/>
      </c>
      <c r="E810" s="4">
        <v>34</v>
      </c>
      <c r="F810" s="3" t="str">
        <f>IFERROR((L810-K810),"")</f>
        <v/>
      </c>
      <c r="G810" s="5">
        <v>1.5</v>
      </c>
      <c r="H810" s="38">
        <f>VLOOKUP(C810,'야채 계산기'!$B$6:$D$28,2,0)</f>
        <v>0</v>
      </c>
      <c r="I810" s="34">
        <f>IFERROR((S810*E810),"")</f>
        <v>0</v>
      </c>
      <c r="J810" s="78" t="str">
        <f>IFERROR(VLOOKUP(C810,[2]Sheet1!$D:$J,7,0),"")</f>
        <v/>
      </c>
      <c r="K810" s="80" t="str">
        <f>IFERROR((I810+J810),"")</f>
        <v/>
      </c>
      <c r="L810" s="7">
        <f>IFERROR((G810*H810),"")</f>
        <v>0</v>
      </c>
      <c r="M810" s="8" t="str">
        <f>IFERROR(K810-L810,"")</f>
        <v/>
      </c>
      <c r="N810" s="57" t="str">
        <f>IFERROR((K810/H810),"")</f>
        <v/>
      </c>
      <c r="O810" s="9"/>
      <c r="P810" s="10"/>
      <c r="Q810" s="10">
        <v>364</v>
      </c>
      <c r="R810" s="10">
        <f>O810*P810*Q810</f>
        <v>0</v>
      </c>
      <c r="S810" s="41">
        <f>SUM(Y810,T810:X810)</f>
        <v>0</v>
      </c>
      <c r="T810" s="185"/>
      <c r="V810" s="185"/>
      <c r="W810" s="190"/>
      <c r="X810" s="253"/>
      <c r="Y810" s="42"/>
      <c r="AA810" s="206">
        <f>IFERROR(H810*7.5/E810/7,"")</f>
        <v>0</v>
      </c>
      <c r="AB810">
        <v>1</v>
      </c>
      <c r="AC810"/>
      <c r="AD810"/>
      <c r="AE810"/>
      <c r="AF810"/>
    </row>
    <row r="811" spans="1:32" ns3:dyDescent="0.3">
      <c r="A811" s="12"/>
      <c r="B811" s="12"/>
      <c r="C811" s="62"/>
      <c r="D811" s="111"/>
      <c r="E811" s="4"/>
      <c r="F811" s="3"/>
      <c r="G811" s="69"/>
      <c r="H811" s="6"/>
      <c r="I811" s="34">
        <f t="shared" si="1285"/>
        <v>0</v>
      </c>
      <c r="J811" s="78" t="str">
        <f>IFERROR(VLOOKUP(C811,[2]Sheet1!$D:$J,7,0),"")</f>
        <v/>
      </c>
      <c r="K811" s="80" t="str">
        <f t="shared" ref="K811" si="1298">IFERROR((I811+J811),"")</f>
        <v/>
      </c>
      <c r="L811" s="7"/>
      <c r="M811" s="8"/>
      <c r="N811" s="57"/>
      <c r="O811" s="9"/>
      <c r="P811" s="10"/>
      <c r="Q811" s="10"/>
      <c r="R811" s="10"/>
      <c r="S811" s="41">
        <f t="shared" si="1287"/>
        <v>0</v>
      </c>
      <c r="T811" s="137"/>
      <c r="V811" s="137"/>
      <c r="W811" s="190"/>
      <c r="X811" s="137"/>
      <c r="Y811" s="42"/>
      <c r="AA811"/>
      <c r="AB811"/>
      <c r="AC811"/>
      <c r="AD811"/>
      <c r="AE811"/>
      <c r="AF811"/>
    </row>
    <row r="812" spans="1:32" ht="19.5" hidden="1" customHeight="1" ns3:dyDescent="0.3">
      <c r="A812" s="214" t="s">
        <v>354</v>
      </c>
      <c r="B812" s="199" t="s">
        <v>353</v>
      </c>
      <c r="C812" s="160"/>
      <c r="D812" s="166" t="str">
        <f t="shared" ref="D812:D818" si="1299">IFERROR((F812/E812),"")</f>
        <v/>
      </c>
      <c r="E812" s="4"/>
      <c r="F812" s="3"/>
      <c r="G812" s="5"/>
      <c r="H812" s="6"/>
      <c r="I812" s="34">
        <f t="shared" ref="I812:I814" si="1300">IFERROR((S812*E812),"")</f>
        <v>0</v>
      </c>
      <c r="J812" s="78" t="str">
        <f>IFERROR(VLOOKUP(C812,[2]Sheet1!$D:$J,7,0),"")</f>
        <v/>
      </c>
      <c r="K812" s="80" t="str">
        <f t="shared" ref="K812:K814" si="1301">IFERROR((I812+J812),"")</f>
        <v/>
      </c>
      <c r="L812" s="7">
        <f t="shared" ref="L812:L814" si="1302">IFERROR((G812*H812),"")</f>
        <v>0</v>
      </c>
      <c r="M812" s="8" t="str">
        <f t="shared" ref="M812:M814" si="1303">IFERROR(K812-L812,"")</f>
        <v/>
      </c>
      <c r="N812" s="57" t="str">
        <f>IFERROR((K812/H812),"")</f>
        <v/>
      </c>
      <c r="O812" s="9"/>
      <c r="P812" s="10"/>
      <c r="Q812" s="10"/>
      <c r="R812" s="10">
        <f t="shared" ref="R812:R818" si="1304">O812*P812*Q812</f>
        <v>0</v>
      </c>
      <c r="S812" s="41">
        <f t="shared" si="1287"/>
        <v>0</v>
      </c>
      <c r="W812" s="190"/>
      <c r="Y812" s="42"/>
      <c r="Z812" s="1"/>
      <c r="AA812" s="206" t="str">
        <f t="shared" ref="AA812:AA870" si="1305">IFERROR(H812*7.5/E812/7,"")</f>
        <v/>
      </c>
    </row>
    <row r="813" spans="1:32" hidden="1" ns3:dyDescent="0.3">
      <c r="A813" s="13"/>
      <c r="B813" s="11"/>
      <c r="C813" s="62" t="s">
        <v>656</v>
      </c>
      <c r="D813" s="166">
        <f t="shared" ref="D813:D814" si="1306">IFERROR((F813/E813),"")</f>
        <v>0</v>
      </c>
      <c r="E813" s="4">
        <v>24</v>
      </c>
      <c r="F813" s="3">
        <f>IFERROR((L813-K813),"")</f>
        <v>0</v>
      </c>
      <c r="G813" s="5">
        <v>0</v>
      </c>
      <c r="H813" s="39">
        <f>ROUNDUP(SUMPRODUCT(B814:B814,C814:C814)/300,1)</f>
        <v>0</v>
      </c>
      <c r="I813" s="34">
        <f t="shared" si="1300"/>
        <v>0</v>
      </c>
      <c r="J813" s="78">
        <f>IFERROR(VLOOKUP(C813,[2]Sheet1!$D:$J,7,0),"")</f>
        <v>0</v>
      </c>
      <c r="K813" s="80">
        <f t="shared" si="1301"/>
        <v>0</v>
      </c>
      <c r="L813" s="7">
        <f t="shared" si="1302"/>
        <v>0</v>
      </c>
      <c r="M813" s="8">
        <f t="shared" si="1303"/>
        <v>0</v>
      </c>
      <c r="N813" s="57" t="str">
        <f t="shared" ref="N813:N826" si="1307">IFERROR((K813/H813),"")</f>
        <v/>
      </c>
      <c r="O813" s="9"/>
      <c r="P813" s="10"/>
      <c r="Q813" s="10"/>
      <c r="R813" s="10">
        <f t="shared" ref="R813:R814" si="1308">O813*P813*Q813</f>
        <v>0</v>
      </c>
      <c r="S813" s="41">
        <f t="shared" ref="S813:S827" si="1309">SUM(Y813,T813:X813)</f>
        <v>0</v>
      </c>
      <c r="U813" s="173"/>
      <c r="X813" s="173"/>
      <c r="Y813" s="42"/>
      <c r="Z813" s="1"/>
      <c r="AA813" s="206">
        <f t="shared" ref="AA813:AA814" si="1310">IFERROR(H813*7.5/E813/7,"")</f>
        <v>0</v>
      </c>
    </row>
    <row r="814" spans="1:32" hidden="1" ns3:dyDescent="0.3">
      <c r="A814" s="60" t="s">
        <v>654</v>
      </c>
      <c r="B814" s="11">
        <f>ROUNDUP(HLOOKUP(A814,'야채 계산기'!$2:$3,2,0)*1.03,0)</f>
        <v>0</v>
      </c>
      <c r="C814" s="62">
        <f>'[1]쯔양)매콤흑당치킨'!$B$10</f>
        <v>70.47</v>
      </c>
      <c r="D814" s="166" t="str">
        <f t="shared" si="1306"/>
        <v/>
      </c>
      <c r="E814" s="4"/>
      <c r="F814" s="3"/>
      <c r="G814" s="5"/>
      <c r="H814" s="6"/>
      <c r="I814" s="34">
        <f t="shared" si="1300"/>
        <v>0</v>
      </c>
      <c r="J814" s="78" t="str">
        <f>IFERROR(VLOOKUP(C814,[2]Sheet1!$D:$J,7,0),"")</f>
        <v/>
      </c>
      <c r="K814" s="80" t="str">
        <f t="shared" si="1301"/>
        <v/>
      </c>
      <c r="L814" s="7">
        <f t="shared" si="1302"/>
        <v>0</v>
      </c>
      <c r="M814" s="8" t="str">
        <f t="shared" si="1303"/>
        <v/>
      </c>
      <c r="N814" s="57" t="str">
        <f t="shared" si="1307"/>
        <v/>
      </c>
      <c r="O814" s="9"/>
      <c r="P814" s="10"/>
      <c r="Q814" s="10"/>
      <c r="R814" s="10">
        <f t="shared" si="1308"/>
        <v>0</v>
      </c>
      <c r="S814" s="41">
        <f t="shared" si="1309"/>
        <v>0</v>
      </c>
      <c r="Y814" s="42"/>
      <c r="Z814" s="1"/>
      <c r="AA814" s="206" t="str">
        <f t="shared" si="1310"/>
        <v/>
      </c>
    </row>
    <row r="815" spans="1:32" hidden="1" ns3:dyDescent="0.3">
      <c r="A815" s="13"/>
      <c r="B815" s="11"/>
      <c r="C815" s="164" t="s">
        <v>42</v>
      </c>
      <c r="D815" s="166">
        <f t="shared" si="1299"/>
        <v>0</v>
      </c>
      <c r="E815" s="4">
        <v>6</v>
      </c>
      <c r="F815" s="3">
        <f>IFERROR((L815-K815),"")</f>
        <v>0</v>
      </c>
      <c r="G815" s="5">
        <v>0</v>
      </c>
      <c r="H815" s="39">
        <f>ROUNDUP(SUMPRODUCT(B816:B819,C816:C819)/2064,1)</f>
        <v>1.1000000000000001</v>
      </c>
      <c r="I815" s="34">
        <f t="shared" ref="I815:I816" si="1311">IFERROR((S815*E815),"")</f>
        <v>0</v>
      </c>
      <c r="J815" s="78">
        <f>IFERROR(VLOOKUP(C815,[2]Sheet1!$D:$J,7,0),"")</f>
        <v>0</v>
      </c>
      <c r="K815" s="80">
        <f t="shared" ref="K815:K816" si="1312">IFERROR((I815+J815),"")</f>
        <v>0</v>
      </c>
      <c r="L815" s="7">
        <f t="shared" ref="L815:L820" si="1313">IFERROR((G815*H815),"")</f>
        <v>0</v>
      </c>
      <c r="M815" s="8">
        <f t="shared" ref="M815:M820" si="1314">IFERROR(K815-L815,"")</f>
        <v>0</v>
      </c>
      <c r="N815" s="57">
        <f t="shared" si="1307"/>
        <v>0</v>
      </c>
      <c r="O815" s="9"/>
      <c r="P815" s="10"/>
      <c r="Q815" s="10"/>
      <c r="R815" s="10">
        <f t="shared" si="1304"/>
        <v>0</v>
      </c>
      <c r="S815" s="41">
        <f t="shared" si="1309"/>
        <v>0</v>
      </c>
      <c r="U815" s="173"/>
      <c r="X815" s="173"/>
      <c r="Y815" s="42"/>
      <c r="Z815" s="1"/>
      <c r="AA815" s="206">
        <f t="shared" si="1305"/>
        <v>0.19642857142857142</v>
      </c>
    </row>
    <row r="816" spans="1:32" hidden="1" ns3:dyDescent="0.3">
      <c r="A816" s="13" t="s">
        <v>174</v>
      </c>
      <c r="B816" s="11">
        <f>ROUNDUP(HLOOKUP(A816,'야채 계산기'!$2:$3,2,0)*1.03,0)</f>
        <v>176</v>
      </c>
      <c r="C816" s="62">
        <v>0.31</v>
      </c>
      <c r="D816" s="166" t="str">
        <f t="shared" si="1299"/>
        <v/>
      </c>
      <c r="E816" s="4"/>
      <c r="F816" s="3"/>
      <c r="G816" s="5"/>
      <c r="H816" s="6"/>
      <c r="I816" s="34">
        <f t="shared" si="1311"/>
        <v>0</v>
      </c>
      <c r="J816" s="78" t="str">
        <f>IFERROR(VLOOKUP(C816,[2]Sheet1!$D:$J,7,0),"")</f>
        <v/>
      </c>
      <c r="K816" s="80" t="str">
        <f t="shared" si="1312"/>
        <v/>
      </c>
      <c r="L816" s="7">
        <f t="shared" si="1313"/>
        <v>0</v>
      </c>
      <c r="M816" s="8" t="str">
        <f t="shared" si="1314"/>
        <v/>
      </c>
      <c r="N816" s="57" t="str">
        <f t="shared" si="1307"/>
        <v/>
      </c>
      <c r="O816" s="9"/>
      <c r="P816" s="10"/>
      <c r="Q816" s="10"/>
      <c r="R816" s="10">
        <f t="shared" si="1304"/>
        <v>0</v>
      </c>
      <c r="S816" s="41">
        <f t="shared" si="1309"/>
        <v>0</v>
      </c>
      <c r="Y816" s="42"/>
      <c r="Z816" s="1"/>
      <c r="AA816" s="206" t="str">
        <f t="shared" si="1305"/>
        <v/>
      </c>
    </row>
    <row r="817" spans="1:27" hidden="1" ns3:dyDescent="0.3">
      <c r="A817" s="13" t="s">
        <v>271</v>
      </c>
      <c r="B817" s="11">
        <f>ROUNDUP(HLOOKUP(A817,'야채 계산기'!$2:$3,2,0)*1.03,0)</f>
        <v>1082</v>
      </c>
      <c r="C817" s="62">
        <v>0.52</v>
      </c>
      <c r="D817" s="166" t="str">
        <f t="shared" si="1299"/>
        <v/>
      </c>
      <c r="E817" s="4"/>
      <c r="F817" s="3"/>
      <c r="G817" s="5"/>
      <c r="H817" s="6"/>
      <c r="I817" s="34">
        <f>IFERROR((S817*E817),"")</f>
        <v>0</v>
      </c>
      <c r="J817" s="78" t="str">
        <f>IFERROR(VLOOKUP(C817,[2]Sheet1!$D:$J,7,0),"")</f>
        <v/>
      </c>
      <c r="K817" s="80" t="str">
        <f>IFERROR((I817+J817),"")</f>
        <v/>
      </c>
      <c r="L817" s="7">
        <f>IFERROR((G817*H817),"")</f>
        <v>0</v>
      </c>
      <c r="M817" s="8" t="str">
        <f>IFERROR(K817-L817,"")</f>
        <v/>
      </c>
      <c r="N817" s="57" t="str">
        <f t="shared" si="1307"/>
        <v/>
      </c>
      <c r="O817" s="9"/>
      <c r="P817" s="10"/>
      <c r="Q817" s="10"/>
      <c r="R817" s="10">
        <f t="shared" si="1304"/>
        <v>0</v>
      </c>
      <c r="S817" s="41">
        <f t="shared" si="1309"/>
        <v>0</v>
      </c>
      <c r="Y817" s="42"/>
      <c r="Z817" s="1"/>
      <c r="AA817" s="206" t="str">
        <f t="shared" si="1305"/>
        <v/>
      </c>
    </row>
    <row r="818" spans="1:27" hidden="1" ns3:dyDescent="0.3">
      <c r="A818" s="13" t="s">
        <v>492</v>
      </c>
      <c r="B818" s="11">
        <f>ROUNDUP(HLOOKUP(A818,'야채 계산기'!$2:$3,2,0)*1.03,0)</f>
        <v>57</v>
      </c>
      <c r="C818" s="164">
        <f>'[1]착한비빔밥(25.10.23)'!$B$17</f>
        <v>0.47</v>
      </c>
      <c r="D818" s="166" t="str">
        <f t="shared" si="1299"/>
        <v/>
      </c>
      <c r="E818" s="4"/>
      <c r="F818" s="3"/>
      <c r="G818" s="5"/>
      <c r="H818" s="6"/>
      <c r="I818" s="34">
        <f>IFERROR((S818*E818),"")</f>
        <v>0</v>
      </c>
      <c r="J818" s="78" t="str">
        <f>IFERROR(VLOOKUP(C818,[2]Sheet1!$D:$J,7,0),"")</f>
        <v/>
      </c>
      <c r="K818" s="80" t="str">
        <f>IFERROR((I818+J818),"")</f>
        <v/>
      </c>
      <c r="L818" s="7">
        <f>IFERROR((G818*H818),"")</f>
        <v>0</v>
      </c>
      <c r="M818" s="8" t="str">
        <f>IFERROR(K818-L818,"")</f>
        <v/>
      </c>
      <c r="N818" s="57" t="str">
        <f t="shared" si="1307"/>
        <v/>
      </c>
      <c r="O818" s="9"/>
      <c r="P818" s="10"/>
      <c r="Q818" s="10"/>
      <c r="R818" s="10">
        <f t="shared" si="1304"/>
        <v>0</v>
      </c>
      <c r="S818" s="41">
        <f t="shared" si="1309"/>
        <v>0</v>
      </c>
      <c r="Y818" s="42"/>
      <c r="Z818" s="1"/>
      <c r="AA818" s="206" t="str">
        <f t="shared" si="1305"/>
        <v/>
      </c>
    </row>
    <row r="819" spans="1:27" hidden="1" ns3:dyDescent="0.3">
      <c r="A819" s="13" t="s">
        <v>256</v>
      </c>
      <c r="B819" s="11">
        <f>ROUNDUP(HLOOKUP(A819,'야채 계산기'!$2:$3,2,0)*1.03,0)</f>
        <v>2926</v>
      </c>
      <c r="C819" s="164">
        <v>0.52</v>
      </c>
      <c r="D819" s="166"/>
      <c r="E819" s="4"/>
      <c r="F819" s="3"/>
      <c r="G819" s="5"/>
      <c r="H819" s="6"/>
      <c r="I819" s="34">
        <f>IFERROR((S819*E819),"")</f>
        <v>0</v>
      </c>
      <c r="J819" s="78" t="str">
        <f>IFERROR(VLOOKUP(C819,[2]Sheet1!$D:$J,7,0),"")</f>
        <v/>
      </c>
      <c r="K819" s="80" t="str">
        <f>IFERROR((I819+J819),"")</f>
        <v/>
      </c>
      <c r="L819" s="7">
        <f>IFERROR((G819*H819),"")</f>
        <v>0</v>
      </c>
      <c r="M819" s="8" t="str">
        <f>IFERROR(K819-L819,"")</f>
        <v/>
      </c>
      <c r="N819" s="57" t="str">
        <f t="shared" si="1307"/>
        <v/>
      </c>
      <c r="O819" s="9"/>
      <c r="P819" s="10"/>
      <c r="Q819" s="10"/>
      <c r="R819" s="10">
        <f t="shared" ref="R819:R831" si="1315">O819*P819*Q819</f>
        <v>0</v>
      </c>
      <c r="S819" s="41">
        <f t="shared" si="1309"/>
        <v>0</v>
      </c>
      <c r="Y819" s="42"/>
      <c r="Z819" s="1"/>
      <c r="AA819" s="206" t="str">
        <f t="shared" si="1305"/>
        <v/>
      </c>
    </row>
    <row r="820" spans="1:27" hidden="1" ns3:dyDescent="0.3">
      <c r="A820" s="13"/>
      <c r="B820" s="59"/>
      <c r="C820" s="164" t="s">
        <v>65</v>
      </c>
      <c r="D820" s="166">
        <f t="shared" ref="D820:D826" si="1316">IFERROR((F820/E820),"")</f>
        <v>0</v>
      </c>
      <c r="E820" s="4">
        <v>4</v>
      </c>
      <c r="F820" s="3">
        <f>IFERROR((L820-K820),"")</f>
        <v>0</v>
      </c>
      <c r="G820" s="5">
        <f>G815</f>
        <v>0</v>
      </c>
      <c r="H820" s="6">
        <f>ROUNDUP(SUMPRODUCT(B821:B822,C821:C822)/5000,1)</f>
        <v>0.1</v>
      </c>
      <c r="I820" s="34">
        <f t="shared" ref="I820:I833" si="1317">IFERROR((S820*E820),"")</f>
        <v>0</v>
      </c>
      <c r="J820" s="78">
        <f>IFERROR(VLOOKUP(C820,[2]Sheet1!$D:$J,7,0),"")</f>
        <v>0</v>
      </c>
      <c r="K820" s="80">
        <f t="shared" ref="K820:K828" si="1318">IFERROR((I820+J820),"")</f>
        <v>0</v>
      </c>
      <c r="L820" s="7">
        <f t="shared" si="1313"/>
        <v>0</v>
      </c>
      <c r="M820" s="8">
        <f t="shared" si="1314"/>
        <v>0</v>
      </c>
      <c r="N820" s="57">
        <f t="shared" si="1307"/>
        <v>0</v>
      </c>
      <c r="O820" s="9"/>
      <c r="P820" s="10"/>
      <c r="Q820" s="10"/>
      <c r="R820" s="10">
        <f t="shared" si="1315"/>
        <v>0</v>
      </c>
      <c r="S820" s="41">
        <f t="shared" si="1309"/>
        <v>0</v>
      </c>
      <c r="U820" s="173"/>
      <c r="X820" s="173"/>
      <c r="Y820" s="42"/>
      <c r="AA820" s="206">
        <f t="shared" si="1305"/>
        <v>2.6785714285714284E-2</v>
      </c>
    </row>
    <row r="821" spans="1:27" hidden="1" ns3:dyDescent="0.3">
      <c r="A821" s="11" t="s">
        <v>492</v>
      </c>
      <c r="B821" s="11">
        <f>ROUNDUP(HLOOKUP(A821,'야채 계산기'!$2:$3,2,0)*1.03,0)</f>
        <v>57</v>
      </c>
      <c r="C821" s="164">
        <f>'[1]착한비빔밥(25.10.23)'!$B$16</f>
        <v>0.19</v>
      </c>
      <c r="D821" s="166" t="str">
        <f>IFERROR((F821/E821),"")</f>
        <v/>
      </c>
      <c r="E821" s="4"/>
      <c r="F821" s="3"/>
      <c r="G821" s="5"/>
      <c r="H821" s="6"/>
      <c r="I821" s="34">
        <f t="shared" si="1317"/>
        <v>0</v>
      </c>
      <c r="J821" s="78" t="str">
        <f>IFERROR(VLOOKUP(C821,[2]Sheet1!$D:$J,7,0),"")</f>
        <v/>
      </c>
      <c r="K821" s="80" t="str">
        <f t="shared" si="1318"/>
        <v/>
      </c>
      <c r="L821" s="7">
        <f>IFERROR((G821*H821),"")</f>
        <v>0</v>
      </c>
      <c r="M821" s="8" t="str">
        <f>IFERROR(K821-L821,"")</f>
        <v/>
      </c>
      <c r="N821" s="57" t="str">
        <f t="shared" si="1307"/>
        <v/>
      </c>
      <c r="O821" s="9"/>
      <c r="P821" s="10"/>
      <c r="Q821" s="10"/>
      <c r="R821" s="10">
        <f t="shared" si="1315"/>
        <v>0</v>
      </c>
      <c r="S821" s="41">
        <f t="shared" si="1309"/>
        <v>0</v>
      </c>
      <c r="Y821" s="42"/>
      <c r="AA821" s="206" t="str">
        <f t="shared" si="1305"/>
        <v/>
      </c>
    </row>
    <row r="822" spans="1:27" hidden="1" ns3:dyDescent="0.3">
      <c r="A822" s="13" t="s">
        <v>267</v>
      </c>
      <c r="B822" s="11">
        <f>ROUNDUP(HLOOKUP(A822,'야채 계산기'!$2:$3,2,0)*1.03,0)</f>
        <v>1329</v>
      </c>
      <c r="C822" s="164">
        <v>0.27</v>
      </c>
      <c r="D822" s="166" t="str">
        <f>IFERROR((F822/E822),"")</f>
        <v/>
      </c>
      <c r="E822" s="4"/>
      <c r="F822" s="3"/>
      <c r="G822" s="5"/>
      <c r="H822" s="6"/>
      <c r="I822" s="34">
        <f>IFERROR((S822*E822),"")</f>
        <v>0</v>
      </c>
      <c r="J822" s="78" t="str">
        <f>IFERROR(VLOOKUP(C822,[2]Sheet1!$D:$J,7,0),"")</f>
        <v/>
      </c>
      <c r="K822" s="80" t="str">
        <f>IFERROR((I822+J822),"")</f>
        <v/>
      </c>
      <c r="L822" s="7">
        <f>IFERROR((G822*H822),"")</f>
        <v>0</v>
      </c>
      <c r="M822" s="8" t="str">
        <f>IFERROR(K822-L822,"")</f>
        <v/>
      </c>
      <c r="N822" s="57" t="str">
        <f t="shared" si="1307"/>
        <v/>
      </c>
      <c r="O822" s="9"/>
      <c r="P822" s="10"/>
      <c r="Q822" s="10"/>
      <c r="R822" s="10">
        <f t="shared" si="1315"/>
        <v>0</v>
      </c>
      <c r="S822" s="41">
        <f t="shared" si="1309"/>
        <v>0</v>
      </c>
      <c r="U822" s="190"/>
      <c r="Y822" s="42"/>
      <c r="AA822" s="206" t="str">
        <f t="shared" si="1305"/>
        <v/>
      </c>
    </row>
    <row r="823" spans="1:27" hidden="1" ns3:dyDescent="0.3">
      <c r="A823" s="11"/>
      <c r="B823" s="11"/>
      <c r="C823" s="164" t="s">
        <v>156</v>
      </c>
      <c r="D823" s="166">
        <f t="shared" si="1316"/>
        <v>0</v>
      </c>
      <c r="E823" s="4">
        <v>24</v>
      </c>
      <c r="F823" s="3">
        <f>IFERROR((L823-K823),"")</f>
        <v>0</v>
      </c>
      <c r="G823" s="5">
        <f>G815</f>
        <v>0</v>
      </c>
      <c r="H823" s="6">
        <f>ROUNDUP(SUMPRODUCT(B824:B824,C824:C824)/340,0)</f>
        <v>156</v>
      </c>
      <c r="I823" s="34">
        <f t="shared" si="1317"/>
        <v>0</v>
      </c>
      <c r="J823" s="78">
        <f>IFERROR(VLOOKUP(C823,[2]Sheet1!$D:$J,7,0),"")</f>
        <v>0</v>
      </c>
      <c r="K823" s="80">
        <f t="shared" si="1318"/>
        <v>0</v>
      </c>
      <c r="L823" s="7">
        <f t="shared" ref="L823:L833" si="1319">IFERROR((G823*H823),"")</f>
        <v>0</v>
      </c>
      <c r="M823" s="8">
        <f t="shared" ref="M823:M833" si="1320">IFERROR(K823-L823,"")</f>
        <v>0</v>
      </c>
      <c r="N823" s="57">
        <f t="shared" si="1307"/>
        <v>0</v>
      </c>
      <c r="O823" s="9"/>
      <c r="P823" s="10"/>
      <c r="Q823" s="10"/>
      <c r="R823" s="10">
        <f t="shared" si="1315"/>
        <v>0</v>
      </c>
      <c r="S823" s="41">
        <f t="shared" si="1309"/>
        <v>0</v>
      </c>
      <c r="U823" s="173"/>
      <c r="X823" s="173"/>
      <c r="Y823" s="42"/>
      <c r="AA823" s="206">
        <f t="shared" si="1305"/>
        <v>6.9642857142857144</v>
      </c>
    </row>
    <row r="824" spans="1:27" hidden="1" ns3:dyDescent="0.3">
      <c r="A824" s="11" t="s">
        <v>303</v>
      </c>
      <c r="B824" s="11">
        <f>ROUNDUP(HLOOKUP(A824,'야채 계산기'!$2:$3,2,0)*1.03,0)</f>
        <v>3729</v>
      </c>
      <c r="C824" s="164">
        <v>14.17</v>
      </c>
      <c r="D824" s="166" t="str">
        <f t="shared" si="1316"/>
        <v/>
      </c>
      <c r="E824" s="4"/>
      <c r="F824" s="3"/>
      <c r="G824" s="5"/>
      <c r="H824" s="6"/>
      <c r="I824" s="34">
        <f>IFERROR((S824*E824),"")</f>
        <v>0</v>
      </c>
      <c r="J824" s="78" t="str">
        <f>IFERROR(VLOOKUP(C824,[2]Sheet1!$D:$J,7,0),"")</f>
        <v/>
      </c>
      <c r="K824" s="80" t="str">
        <f>IFERROR((I824+J824),"")</f>
        <v/>
      </c>
      <c r="L824" s="7">
        <f>IFERROR((G824*H824),"")</f>
        <v>0</v>
      </c>
      <c r="M824" s="8" t="str">
        <f>IFERROR(K824-L824,"")</f>
        <v/>
      </c>
      <c r="N824" s="57" t="str">
        <f t="shared" si="1307"/>
        <v/>
      </c>
      <c r="O824" s="9"/>
      <c r="P824" s="10"/>
      <c r="Q824" s="10"/>
      <c r="R824" s="10">
        <f t="shared" si="1315"/>
        <v>0</v>
      </c>
      <c r="S824" s="41">
        <f t="shared" si="1309"/>
        <v>0</v>
      </c>
      <c r="Y824" s="42"/>
      <c r="AA824" s="206" t="str">
        <f t="shared" si="1305"/>
        <v/>
      </c>
    </row>
    <row r="825" spans="1:27" hidden="1" ns3:dyDescent="0.3">
      <c r="A825" s="16"/>
      <c r="B825" s="11"/>
      <c r="C825" s="164" t="s">
        <v>165</v>
      </c>
      <c r="D825" s="166" t="str">
        <f t="shared" si="1316"/>
        <v/>
      </c>
      <c r="E825" s="4">
        <v>8</v>
      </c>
      <c r="F825" s="3" t="str">
        <f>IFERROR((L825-K825),"")</f>
        <v/>
      </c>
      <c r="G825" s="5">
        <f>G821</f>
        <v>0</v>
      </c>
      <c r="H825" s="6">
        <f>ROUNDUP(((B826*C826))/1000,0)</f>
        <v>53</v>
      </c>
      <c r="I825" s="34">
        <f t="shared" ref="I825:I826" si="1321">IFERROR((S825*E825),"")</f>
        <v>0</v>
      </c>
      <c r="J825" s="78" t="str">
        <f>IFERROR(VLOOKUP(C825,[2]Sheet1!$D:$J,7,0),"")</f>
        <v/>
      </c>
      <c r="K825" s="80" t="str">
        <f t="shared" ref="K825:K826" si="1322">IFERROR((I825+J825),"")</f>
        <v/>
      </c>
      <c r="L825" s="7">
        <f t="shared" ref="L825:L826" si="1323">IFERROR((G825*H825),"")</f>
        <v>0</v>
      </c>
      <c r="M825" s="8" t="str">
        <f t="shared" ref="M825:M826" si="1324">IFERROR(K825-L825,"")</f>
        <v/>
      </c>
      <c r="N825" s="57" t="str">
        <f t="shared" si="1307"/>
        <v/>
      </c>
      <c r="O825" s="9"/>
      <c r="P825" s="10"/>
      <c r="Q825" s="10"/>
      <c r="R825" s="10">
        <f t="shared" ref="R825:R826" si="1325">O825*P825*Q825</f>
        <v>0</v>
      </c>
      <c r="S825" s="41">
        <f t="shared" si="1309"/>
        <v>0</v>
      </c>
      <c r="U825" s="173"/>
      <c r="X825" s="173"/>
      <c r="Y825" s="42"/>
      <c r="Z825" s="42"/>
      <c r="AA825" s="206">
        <f t="shared" ref="AA825:AA826" si="1326">IFERROR(H825*7.5/E825/7,"")</f>
        <v>7.0982142857142856</v>
      </c>
    </row>
    <row r="826" spans="1:27" hidden="1" ns3:dyDescent="0.3">
      <c r="A826" s="16" t="s">
        <v>496</v>
      </c>
      <c r="B826" s="11">
        <f>ROUNDUP(HLOOKUP(A826,'야채 계산기'!$2:$3,2,0)*1.03,0)</f>
        <v>1113</v>
      </c>
      <c r="C826" s="164">
        <v>47.21</v>
      </c>
      <c r="D826" s="166" t="str">
        <f t="shared" si="1316"/>
        <v/>
      </c>
      <c r="E826" s="4"/>
      <c r="F826" s="3"/>
      <c r="G826" s="5"/>
      <c r="H826" s="6"/>
      <c r="I826" s="34">
        <f t="shared" si="1321"/>
        <v>0</v>
      </c>
      <c r="J826" s="78" t="str">
        <f>IFERROR(VLOOKUP(C826,[2]Sheet1!$D:$J,7,0),"")</f>
        <v/>
      </c>
      <c r="K826" s="80" t="str">
        <f t="shared" si="1322"/>
        <v/>
      </c>
      <c r="L826" s="7">
        <f t="shared" si="1323"/>
        <v>0</v>
      </c>
      <c r="M826" s="8" t="str">
        <f t="shared" si="1324"/>
        <v/>
      </c>
      <c r="N826" s="57" t="str">
        <f t="shared" si="1307"/>
        <v/>
      </c>
      <c r="O826" s="9"/>
      <c r="P826" s="10"/>
      <c r="Q826" s="10"/>
      <c r="R826" s="10">
        <f t="shared" si="1325"/>
        <v>0</v>
      </c>
      <c r="S826" s="41">
        <f t="shared" si="1309"/>
        <v>0</v>
      </c>
      <c r="U826" s="169"/>
      <c r="Y826" s="42"/>
      <c r="Z826" s="1"/>
      <c r="AA826" s="206" t="str">
        <f t="shared" si="1326"/>
        <v/>
      </c>
    </row>
    <row r="827" spans="1:27" hidden="1" ns3:dyDescent="0.3">
      <c r="A827" s="16"/>
      <c r="B827" s="11"/>
      <c r="C827" s="162" t="s">
        <v>693</v>
      </c>
      <c r="D827" s="166" t="str">
        <f t="shared" ref="D827:D831" si="1327">IFERROR((F827/E827),"")</f>
        <v/>
      </c>
      <c r="E827" s="4">
        <v>5</v>
      </c>
      <c r="F827" s="3" t="str">
        <f>IFERROR((L827-K827),"")</f>
        <v/>
      </c>
      <c r="G827" s="5">
        <f>G823</f>
        <v>0</v>
      </c>
      <c r="H827" s="6">
        <f>ROUNDUP(B828/2,0)</f>
        <v>100</v>
      </c>
      <c r="I827" s="34">
        <f t="shared" si="1317"/>
        <v>0</v>
      </c>
      <c r="J827" s="78" t="str">
        <f>IFERROR(VLOOKUP(C827,[2]Sheet1!$D:$J,7,0),"")</f>
        <v/>
      </c>
      <c r="K827" s="80" t="str">
        <f t="shared" si="1318"/>
        <v/>
      </c>
      <c r="L827" s="7">
        <f t="shared" si="1319"/>
        <v>0</v>
      </c>
      <c r="M827" s="8" t="str">
        <f t="shared" si="1320"/>
        <v/>
      </c>
      <c r="N827" s="57" t="str">
        <f>IFERROR((K827/H827),"")</f>
        <v/>
      </c>
      <c r="O827" s="9"/>
      <c r="P827" s="10"/>
      <c r="Q827" s="10">
        <v>14900</v>
      </c>
      <c r="R827" s="10">
        <f t="shared" si="1315"/>
        <v>0</v>
      </c>
      <c r="S827" s="41">
        <f t="shared" si="1309"/>
        <v>0</v>
      </c>
      <c r="U827" s="173"/>
      <c r="X827" s="173"/>
      <c r="Y827" s="42"/>
      <c r="Z827" s="42"/>
      <c r="AA827" s="206">
        <f t="shared" si="1305"/>
        <v>21.428571428571427</v>
      </c>
    </row>
    <row r="828" spans="1:27" hidden="1" ns3:dyDescent="0.3">
      <c r="A828" s="16" t="s">
        <v>128</v>
      </c>
      <c r="B828" s="11">
        <f>ROUNDUP('마요네즈, 참치'!K2/1000,0)</f>
        <v>199</v>
      </c>
      <c r="C828" s="164"/>
      <c r="D828" s="166" t="str">
        <f t="shared" si="1327"/>
        <v/>
      </c>
      <c r="E828" s="4"/>
      <c r="F828" s="3"/>
      <c r="G828" s="5"/>
      <c r="H828" s="6"/>
      <c r="I828" s="34">
        <f t="shared" si="1317"/>
        <v>0</v>
      </c>
      <c r="J828" s="78" t="str">
        <f>IFERROR(VLOOKUP(C828,[2]Sheet1!$D:$J,7,0),"")</f>
        <v/>
      </c>
      <c r="K828" s="80" t="str">
        <f t="shared" si="1318"/>
        <v/>
      </c>
      <c r="L828" s="7">
        <f t="shared" si="1319"/>
        <v>0</v>
      </c>
      <c r="M828" s="8" t="str">
        <f t="shared" si="1320"/>
        <v/>
      </c>
      <c r="N828" s="57" t="str">
        <f t="shared" ref="N828:N829" si="1328">IFERROR((K828/H828),"")</f>
        <v/>
      </c>
      <c r="O828" s="9"/>
      <c r="P828" s="10"/>
      <c r="Q828" s="10"/>
      <c r="R828" s="10">
        <f t="shared" si="1315"/>
        <v>0</v>
      </c>
      <c r="S828" s="41">
        <f t="shared" si="1287"/>
        <v>0</v>
      </c>
      <c r="U828" s="169"/>
      <c r="Y828" s="42"/>
      <c r="Z828" s="1"/>
      <c r="AA828" s="206" t="str">
        <f t="shared" si="1305"/>
        <v/>
      </c>
    </row>
    <row r="829" spans="1:27" hidden="1" ns3:dyDescent="0.3">
      <c r="A829" s="16"/>
      <c r="B829" s="11"/>
      <c r="C829" s="164" t="s">
        <v>287</v>
      </c>
      <c r="D829" s="166">
        <f t="shared" si="1327"/>
        <v>0</v>
      </c>
      <c r="E829" s="4">
        <v>10</v>
      </c>
      <c r="F829" s="3">
        <f>IFERROR((L829-K829),"")</f>
        <v>0</v>
      </c>
      <c r="G829" s="5">
        <f>G827</f>
        <v>0</v>
      </c>
      <c r="H829" s="6">
        <f>ROUNDUP(SUMPRODUCT(B830:B831,C830:C831)/1000,1)</f>
        <v>0.5</v>
      </c>
      <c r="I829" s="34">
        <f t="shared" ref="I829:I831" si="1329">IFERROR((S829*E829),"")</f>
        <v>0</v>
      </c>
      <c r="J829" s="78">
        <f>IFERROR(VLOOKUP(C829,[2]Sheet1!$D:$J,7,0),"")</f>
        <v>0</v>
      </c>
      <c r="K829" s="80">
        <f t="shared" ref="K829" si="1330">IFERROR((I829+J829),"")</f>
        <v>0</v>
      </c>
      <c r="L829" s="7">
        <f t="shared" ref="L829:L831" si="1331">IFERROR((G829*H829),"")</f>
        <v>0</v>
      </c>
      <c r="M829" s="8">
        <f t="shared" ref="M829:M831" si="1332">IFERROR(K829-L829,"")</f>
        <v>0</v>
      </c>
      <c r="N829" s="57">
        <f t="shared" si="1328"/>
        <v>0</v>
      </c>
      <c r="O829" s="9"/>
      <c r="P829" s="10"/>
      <c r="Q829" s="10">
        <v>7450</v>
      </c>
      <c r="R829" s="10">
        <f t="shared" si="1315"/>
        <v>0</v>
      </c>
      <c r="S829" s="41">
        <f t="shared" si="1287"/>
        <v>0</v>
      </c>
      <c r="U829" s="173"/>
      <c r="X829" s="173"/>
      <c r="Y829" s="42"/>
      <c r="Z829" s="1"/>
      <c r="AA829" s="206">
        <f t="shared" si="1305"/>
        <v>5.3571428571428568E-2</v>
      </c>
    </row>
    <row r="830" spans="1:27" hidden="1" ns3:dyDescent="0.3">
      <c r="A830" s="15" t="s">
        <v>303</v>
      </c>
      <c r="B830" s="15">
        <f>ROUNDUP(HLOOKUP(A830,'야채 계산기'!$2:$3,2,0)*1.03,0)</f>
        <v>3729</v>
      </c>
      <c r="C830" s="164">
        <v>0.06</v>
      </c>
      <c r="D830" s="166" t="str">
        <f t="shared" si="1327"/>
        <v/>
      </c>
      <c r="E830" s="4"/>
      <c r="F830" s="17"/>
      <c r="G830" s="5"/>
      <c r="H830" s="6"/>
      <c r="I830" s="34">
        <f t="shared" si="1329"/>
        <v>0</v>
      </c>
      <c r="J830" s="78" t="str">
        <f>IFERROR(VLOOKUP(C830,[2]Sheet1!$D:$J,7,0),"")</f>
        <v/>
      </c>
      <c r="K830" s="80" t="str">
        <f>IFERROR((I830+J830),"")</f>
        <v/>
      </c>
      <c r="L830" s="7">
        <f t="shared" si="1331"/>
        <v>0</v>
      </c>
      <c r="M830" s="8" t="str">
        <f t="shared" si="1332"/>
        <v/>
      </c>
      <c r="N830" s="57"/>
      <c r="O830" s="9"/>
      <c r="P830" s="10"/>
      <c r="Q830" s="10"/>
      <c r="R830" s="10">
        <f t="shared" si="1315"/>
        <v>0</v>
      </c>
      <c r="S830" s="41">
        <f t="shared" si="1287"/>
        <v>0</v>
      </c>
      <c r="Y830" s="42"/>
      <c r="Z830" s="1"/>
      <c r="AA830" s="206" t="str">
        <f t="shared" si="1305"/>
        <v/>
      </c>
    </row>
    <row r="831" spans="1:27" hidden="1" ns3:dyDescent="0.3">
      <c r="A831" s="15" t="s">
        <v>491</v>
      </c>
      <c r="B831" s="15">
        <f>ROUNDUP(HLOOKUP(A831,'야채 계산기'!$2:$3,2,0)*1.03,0)</f>
        <v>4553</v>
      </c>
      <c r="C831" s="164">
        <v>0.04</v>
      </c>
      <c r="D831" s="166" t="str">
        <f t="shared" si="1327"/>
        <v/>
      </c>
      <c r="E831" s="4"/>
      <c r="F831" s="17"/>
      <c r="G831" s="5"/>
      <c r="H831" s="6"/>
      <c r="I831" s="34">
        <f t="shared" si="1329"/>
        <v>0</v>
      </c>
      <c r="J831" s="78" t="str">
        <f>IFERROR(VLOOKUP(C831,[2]Sheet1!$D:$J,7,0),"")</f>
        <v/>
      </c>
      <c r="K831" s="80" t="str">
        <f>IFERROR((I831+J831),"")</f>
        <v/>
      </c>
      <c r="L831" s="7">
        <f t="shared" si="1331"/>
        <v>0</v>
      </c>
      <c r="M831" s="8" t="str">
        <f t="shared" si="1332"/>
        <v/>
      </c>
      <c r="N831" s="57"/>
      <c r="O831" s="9"/>
      <c r="P831" s="10"/>
      <c r="Q831" s="10"/>
      <c r="R831" s="10">
        <f t="shared" si="1315"/>
        <v>0</v>
      </c>
      <c r="S831" s="41">
        <f t="shared" si="1287"/>
        <v>0</v>
      </c>
      <c r="Y831" s="42"/>
      <c r="Z831" s="1"/>
      <c r="AA831" s="206" t="str">
        <f t="shared" si="1305"/>
        <v/>
      </c>
    </row>
    <row r="832" spans="1:27" ns3:dyDescent="0.3">
      <c r="A832" s="2"/>
      <c r="B832" s="2"/>
      <c r="C832" s="62"/>
      <c r="D832" s="166" t="str">
        <f t="shared" ref="D832" si="1333">IFERROR((F832/E832),"")</f>
        <v/>
      </c>
      <c r="E832" s="4"/>
      <c r="F832" s="17"/>
      <c r="G832" s="5"/>
      <c r="H832" s="6"/>
      <c r="I832" s="34">
        <f t="shared" si="1317"/>
        <v>0</v>
      </c>
      <c r="J832" s="78" t="str">
        <f>IFERROR(VLOOKUP(C832,[2]Sheet1!$D:$J,7,0),"")</f>
        <v/>
      </c>
      <c r="K832" s="80" t="str">
        <f t="shared" ref="K832:K833" si="1334">IFERROR((I832+J832),"")</f>
        <v/>
      </c>
      <c r="L832" s="7">
        <f t="shared" si="1319"/>
        <v>0</v>
      </c>
      <c r="M832" s="8" t="str">
        <f t="shared" si="1320"/>
        <v/>
      </c>
      <c r="N832" s="57"/>
      <c r="O832" s="9"/>
      <c r="P832" s="10"/>
      <c r="Q832" s="10"/>
      <c r="R832" s="10">
        <f t="shared" ref="R832" si="1335">O832*P832*Q832</f>
        <v>0</v>
      </c>
      <c r="S832" s="41">
        <f t="shared" si="1287"/>
        <v>0</v>
      </c>
      <c r="W832" s="190"/>
      <c r="Y832" s="42"/>
      <c r="Z832" s="1"/>
      <c r="AA832" s="206" t="str">
        <f t="shared" si="1305"/>
        <v/>
      </c>
    </row>
    <row r="833" spans="1:27" ns3:dyDescent="0.3">
      <c r="A833" s="2"/>
      <c r="B833" s="2"/>
      <c r="C833" s="62"/>
      <c r="D833" s="166"/>
      <c r="E833" s="4"/>
      <c r="F833" s="17"/>
      <c r="G833" s="5"/>
      <c r="H833" s="6"/>
      <c r="I833" s="34">
        <f t="shared" si="1317"/>
        <v>0</v>
      </c>
      <c r="J833" s="78" t="str">
        <f>IFERROR(VLOOKUP(C833,[2]Sheet1!$D:$J,7,0),"")</f>
        <v/>
      </c>
      <c r="K833" s="80" t="str">
        <f t="shared" si="1334"/>
        <v/>
      </c>
      <c r="L833" s="7">
        <f t="shared" si="1319"/>
        <v>0</v>
      </c>
      <c r="M833" s="8" t="str">
        <f t="shared" si="1320"/>
        <v/>
      </c>
      <c r="N833" s="57"/>
      <c r="O833" s="9"/>
      <c r="P833" s="10"/>
      <c r="Q833" s="10"/>
      <c r="R833" s="10"/>
      <c r="S833" s="41">
        <f t="shared" si="1287"/>
        <v>0</v>
      </c>
      <c r="W833" s="190"/>
      <c r="Y833" s="42"/>
      <c r="Z833" s="1"/>
      <c r="AA833" s="206" t="str">
        <f t="shared" si="1305"/>
        <v/>
      </c>
    </row>
    <row r="834" spans="1:27" hidden="1" ns3:dyDescent="0.3">
      <c r="A834" s="213" t="s">
        <v>355</v>
      </c>
      <c r="B834" s="2" t="s">
        <v>356</v>
      </c>
      <c r="C834" s="152" t="s">
        <v>357</v>
      </c>
      <c r="D834" s="166" t="str">
        <f t="shared" ref="D834:D837" si="1336">IFERROR((F834/E834),"")</f>
        <v/>
      </c>
      <c r="E834" s="4"/>
      <c r="F834" s="17"/>
      <c r="G834" s="5"/>
      <c r="H834" s="6"/>
      <c r="I834" s="34">
        <f t="shared" ref="I834:I838" si="1337">IFERROR((S834*E834),"")</f>
        <v>0</v>
      </c>
      <c r="J834" s="78" t="str">
        <f>IFERROR(VLOOKUP(C834,[2]Sheet1!$D:$J,7,0),"")</f>
        <v/>
      </c>
      <c r="K834" s="80" t="str">
        <f>IFERROR((I834+J834),"")</f>
        <v/>
      </c>
      <c r="L834" s="7">
        <f t="shared" ref="L834:L838" si="1338">IFERROR((G834*H834),"")</f>
        <v>0</v>
      </c>
      <c r="M834" s="8" t="str">
        <f t="shared" ref="M834:M838" si="1339">IFERROR(K834-L834,"")</f>
        <v/>
      </c>
      <c r="N834" s="57" t="str">
        <f t="shared" ref="N834:N836" si="1340">IFERROR((K834/H834),"")</f>
        <v/>
      </c>
      <c r="O834" s="9"/>
      <c r="P834" s="10"/>
      <c r="Q834" s="10"/>
      <c r="R834" s="10">
        <f t="shared" ref="R834:R837" si="1341">O834*P834*Q834</f>
        <v>0</v>
      </c>
      <c r="S834" s="41">
        <f t="shared" si="1287"/>
        <v>0</v>
      </c>
      <c r="W834" s="190"/>
      <c r="Y834" s="42"/>
      <c r="AA834" s="206" t="str">
        <f t="shared" si="1305"/>
        <v/>
      </c>
    </row>
    <row r="835" spans="1:27" hidden="1" ns3:dyDescent="0.3">
      <c r="A835" s="13"/>
      <c r="B835" s="94"/>
      <c r="C835" s="164" t="s">
        <v>215</v>
      </c>
      <c r="D835" s="166">
        <f>IFERROR((F835/E835),"")</f>
        <v>0</v>
      </c>
      <c r="E835" s="4">
        <v>5</v>
      </c>
      <c r="F835" s="3">
        <f>IFERROR((L835-K835),"")</f>
        <v>0</v>
      </c>
      <c r="G835" s="5">
        <v>0</v>
      </c>
      <c r="H835" s="6">
        <f>ROUNDUP(B836/2,1)</f>
        <v>99.5</v>
      </c>
      <c r="I835" s="34">
        <f t="shared" si="1337"/>
        <v>0</v>
      </c>
      <c r="J835" s="78">
        <f>IFERROR(VLOOKUP(C835,[2]Sheet1!$D:$J,7,0),"")</f>
        <v>0</v>
      </c>
      <c r="K835" s="80">
        <f>IFERROR((I835+J835),"")</f>
        <v>0</v>
      </c>
      <c r="L835" s="7">
        <f t="shared" si="1338"/>
        <v>0</v>
      </c>
      <c r="M835" s="8">
        <f t="shared" si="1339"/>
        <v>0</v>
      </c>
      <c r="N835" s="57">
        <f>IFERROR((K835/H835),"")</f>
        <v>0</v>
      </c>
      <c r="O835" s="9"/>
      <c r="P835" s="10"/>
      <c r="Q835" s="10">
        <v>13000</v>
      </c>
      <c r="R835" s="10">
        <f>O835*P835*Q835</f>
        <v>0</v>
      </c>
      <c r="S835" s="41">
        <f t="shared" si="1287"/>
        <v>0</v>
      </c>
      <c r="W835" s="193"/>
      <c r="Y835" s="42"/>
      <c r="Z835" s="1"/>
      <c r="AA835" s="206">
        <f t="shared" si="1305"/>
        <v>21.321428571428573</v>
      </c>
    </row>
    <row r="836" spans="1:27" hidden="1" ns3:dyDescent="0.3">
      <c r="A836" s="112" t="s">
        <v>115</v>
      </c>
      <c r="B836" s="94">
        <f>ROUNDUP('마요네즈, 참치'!K2/1000,0)</f>
        <v>199</v>
      </c>
      <c r="C836" s="62"/>
      <c r="D836" s="166" t="str">
        <f>IFERROR((F836/E836),"")</f>
        <v/>
      </c>
      <c r="E836" s="4"/>
      <c r="F836" s="3"/>
      <c r="G836" s="5"/>
      <c r="H836" s="6"/>
      <c r="I836" s="34">
        <f t="shared" si="1337"/>
        <v>0</v>
      </c>
      <c r="J836" s="78" t="str">
        <f>IFERROR(VLOOKUP(C836,[2]Sheet1!$D:$J,7,0),"")</f>
        <v/>
      </c>
      <c r="K836" s="80" t="str">
        <f>IFERROR((I836+J836),"")</f>
        <v/>
      </c>
      <c r="L836" s="7">
        <f t="shared" si="1338"/>
        <v>0</v>
      </c>
      <c r="M836" s="8" t="str">
        <f t="shared" si="1339"/>
        <v/>
      </c>
      <c r="N836" s="57" t="str">
        <f t="shared" si="1340"/>
        <v/>
      </c>
      <c r="O836" s="9"/>
      <c r="P836" s="10"/>
      <c r="Q836" s="10"/>
      <c r="R836" s="10">
        <f t="shared" si="1341"/>
        <v>0</v>
      </c>
      <c r="S836" s="41">
        <f t="shared" si="1287"/>
        <v>0</v>
      </c>
      <c r="W836" s="190"/>
      <c r="Y836" s="42"/>
      <c r="Z836" s="1"/>
      <c r="AA836" s="206" t="str">
        <f t="shared" si="1305"/>
        <v/>
      </c>
    </row>
    <row r="837" spans="1:27" ht="16.5" hidden="1" customHeight="1" ns3:dyDescent="0.3">
      <c r="A837" s="2"/>
      <c r="B837" s="2"/>
      <c r="C837" s="62"/>
      <c r="D837" s="166" t="str">
        <f t="shared" si="1336"/>
        <v/>
      </c>
      <c r="E837" s="4"/>
      <c r="F837" s="17"/>
      <c r="G837" s="5"/>
      <c r="H837" s="6"/>
      <c r="I837" s="34">
        <f t="shared" si="1337"/>
        <v>0</v>
      </c>
      <c r="J837" s="78" t="str">
        <f>IFERROR(VLOOKUP(C837,[2]Sheet1!$D:$J,7,0),"")</f>
        <v/>
      </c>
      <c r="K837" s="80" t="str">
        <f>IFERROR((I837+J837),"")</f>
        <v/>
      </c>
      <c r="L837" s="7">
        <f t="shared" si="1338"/>
        <v>0</v>
      </c>
      <c r="M837" s="8" t="str">
        <f t="shared" si="1339"/>
        <v/>
      </c>
      <c r="N837" s="57"/>
      <c r="O837" s="9"/>
      <c r="P837" s="10"/>
      <c r="Q837" s="10"/>
      <c r="R837" s="10">
        <f t="shared" si="1341"/>
        <v>0</v>
      </c>
      <c r="S837" s="41">
        <f t="shared" si="1287"/>
        <v>0</v>
      </c>
      <c r="W837" s="190"/>
      <c r="Y837" s="42"/>
      <c r="AA837" s="206" t="str">
        <f t="shared" si="1305"/>
        <v/>
      </c>
    </row>
    <row r="838" spans="1:27" ht="16.5" customHeight="1" ns3:dyDescent="0.3">
      <c r="A838" s="12"/>
      <c r="B838" s="12"/>
      <c r="C838" s="62"/>
      <c r="D838" s="166"/>
      <c r="E838" s="4"/>
      <c r="F838" s="3"/>
      <c r="G838" s="5"/>
      <c r="H838" s="6"/>
      <c r="I838" s="34">
        <f t="shared" si="1337"/>
        <v>0</v>
      </c>
      <c r="J838" s="78" t="str">
        <f>IFERROR(VLOOKUP(C838,[2]Sheet1!$D:$J,7,0),"")</f>
        <v/>
      </c>
      <c r="K838" s="80" t="str">
        <f>IFERROR((I838+J838),"")</f>
        <v/>
      </c>
      <c r="L838" s="7">
        <f t="shared" si="1338"/>
        <v>0</v>
      </c>
      <c r="M838" s="8" t="str">
        <f t="shared" si="1339"/>
        <v/>
      </c>
      <c r="N838" s="57"/>
      <c r="O838" s="9"/>
      <c r="P838" s="10"/>
      <c r="Q838" s="10"/>
      <c r="R838" s="10"/>
      <c r="S838" s="41">
        <f t="shared" si="1287"/>
        <v>0</v>
      </c>
      <c r="W838" s="190"/>
      <c r="Y838" s="42"/>
      <c r="AA838" s="206" t="str">
        <f t="shared" si="1305"/>
        <v/>
      </c>
    </row>
    <row r="839" spans="1:27" ns3:dyDescent="0.3">
      <c r="A839" s="213" t="s">
        <v>359</v>
      </c>
      <c r="B839" s="2" t="s">
        <v>116</v>
      </c>
      <c r="C839" s="152" t="s">
        <v>358</v>
      </c>
      <c r="D839" s="166" t="str">
        <f t="shared" ref="D839:D842" si="1342">IFERROR((F839/E839),"")</f>
        <v/>
      </c>
      <c r="E839" s="4"/>
      <c r="F839" s="17"/>
      <c r="G839" s="5"/>
      <c r="H839" s="6"/>
      <c r="I839" s="34">
        <f t="shared" ref="I839:I855" si="1343">IFERROR((S839*E839),"")</f>
        <v>0</v>
      </c>
      <c r="J839" s="78" t="str">
        <f>IFERROR(VLOOKUP(C839,[2]Sheet1!$D:$J,7,0),"")</f>
        <v/>
      </c>
      <c r="K839" s="80" t="str">
        <f t="shared" ref="K839:K855" si="1344">IFERROR((I839+J839),"")</f>
        <v/>
      </c>
      <c r="L839" s="7">
        <f t="shared" ref="L839:L855" si="1345">IFERROR((G839*H839),"")</f>
        <v>0</v>
      </c>
      <c r="M839" s="8" t="str">
        <f t="shared" ref="M839:M855" si="1346">IFERROR(K839-L839,"")</f>
        <v/>
      </c>
      <c r="N839" s="57" t="str">
        <f>IFERROR((K839/H839),"")</f>
        <v/>
      </c>
      <c r="O839" s="9"/>
      <c r="P839" s="10"/>
      <c r="Q839" s="10"/>
      <c r="R839" s="10">
        <f t="shared" ref="R839:R842" si="1347">O839*P839*Q839</f>
        <v>0</v>
      </c>
      <c r="S839" s="41">
        <f t="shared" si="1287"/>
        <v>0</v>
      </c>
      <c r="W839" s="190"/>
      <c r="Y839" s="42"/>
      <c r="AA839" s="206" t="str">
        <f t="shared" si="1305"/>
        <v/>
      </c>
    </row>
    <row r="840" spans="1:27" ns3:dyDescent="0.3">
      <c r="A840" s="13"/>
      <c r="B840" s="94"/>
      <c r="C840" s="164" t="s">
        <v>329</v>
      </c>
      <c r="D840" s="166">
        <f t="shared" si="1342"/>
        <v>-50.4</v>
      </c>
      <c r="E840" s="4">
        <v>5</v>
      </c>
      <c r="F840" s="3">
        <f>IFERROR((L840-K840),"")</f>
        <v>-252</v>
      </c>
      <c r="G840" s="5">
        <v>4</v>
      </c>
      <c r="H840" s="6">
        <f>ROUNDUP(B841/3,0)</f>
        <v>67</v>
      </c>
      <c r="I840" s="34">
        <f t="shared" si="1343"/>
        <v>0</v>
      </c>
      <c r="J840" s="78">
        <f>IFERROR(VLOOKUP(C840,[2]Sheet1!$D:$J,7,0),"")</f>
        <v>520</v>
      </c>
      <c r="K840" s="80">
        <f t="shared" si="1344"/>
        <v>520</v>
      </c>
      <c r="L840" s="7">
        <f t="shared" si="1345"/>
        <v>268</v>
      </c>
      <c r="M840" s="8">
        <f t="shared" si="1346"/>
        <v>252</v>
      </c>
      <c r="N840" s="57">
        <f>IFERROR((K840/H840),"")</f>
        <v>7.7611940298507465</v>
      </c>
      <c r="O840" s="9"/>
      <c r="P840" s="10"/>
      <c r="Q840" s="10">
        <v>13000</v>
      </c>
      <c r="R840" s="10">
        <f t="shared" si="1347"/>
        <v>0</v>
      </c>
      <c r="S840" s="41">
        <f t="shared" si="1287"/>
        <v>0</v>
      </c>
      <c r="U840" s="173"/>
      <c r="W840" s="190"/>
      <c r="Y840" s="42"/>
      <c r="Z840" s="1"/>
      <c r="AA840" s="206">
        <f t="shared" si="1305"/>
        <v>14.357142857142858</v>
      </c>
    </row>
    <row r="841" spans="1:27" ns3:dyDescent="0.3">
      <c r="A841" s="112" t="s">
        <v>115</v>
      </c>
      <c r="B841" s="94">
        <f>ROUNDUP('마요네즈, 참치'!K2/1000,0)</f>
        <v>199</v>
      </c>
      <c r="C841" s="62"/>
      <c r="D841" s="166" t="str">
        <f t="shared" si="1342"/>
        <v/>
      </c>
      <c r="E841" s="4"/>
      <c r="F841" s="3"/>
      <c r="G841" s="5"/>
      <c r="H841" s="6"/>
      <c r="I841" s="34">
        <f t="shared" si="1343"/>
        <v>0</v>
      </c>
      <c r="J841" s="78" t="str">
        <f>IFERROR(VLOOKUP(C841,[2]Sheet1!$D:$J,7,0),"")</f>
        <v/>
      </c>
      <c r="K841" s="80" t="str">
        <f t="shared" si="1344"/>
        <v/>
      </c>
      <c r="L841" s="7">
        <f t="shared" si="1345"/>
        <v>0</v>
      </c>
      <c r="M841" s="8" t="str">
        <f t="shared" si="1346"/>
        <v/>
      </c>
      <c r="N841" s="57" t="str">
        <f>IFERROR((K841/H841),"")</f>
        <v/>
      </c>
      <c r="O841" s="9"/>
      <c r="P841" s="10"/>
      <c r="Q841" s="10"/>
      <c r="R841" s="10">
        <f t="shared" si="1347"/>
        <v>0</v>
      </c>
      <c r="S841" s="41">
        <f t="shared" si="1287"/>
        <v>0</v>
      </c>
      <c r="U841" s="169"/>
      <c r="W841" s="190"/>
      <c r="Y841" s="42"/>
      <c r="Z841" s="1"/>
      <c r="AA841" s="206" t="str">
        <f t="shared" si="1305"/>
        <v/>
      </c>
    </row>
    <row r="842" spans="1:27" ns3:dyDescent="0.3">
      <c r="A842" s="2"/>
      <c r="B842" s="2"/>
      <c r="C842" s="62"/>
      <c r="D842" s="166" t="str">
        <f t="shared" si="1342"/>
        <v/>
      </c>
      <c r="E842" s="4"/>
      <c r="F842" s="17"/>
      <c r="G842" s="5"/>
      <c r="H842" s="6"/>
      <c r="I842" s="34">
        <f t="shared" si="1343"/>
        <v>0</v>
      </c>
      <c r="J842" s="78" t="str">
        <f>IFERROR(VLOOKUP(C842,[2]Sheet1!$D:$J,7,0),"")</f>
        <v/>
      </c>
      <c r="K842" s="80" t="str">
        <f t="shared" si="1344"/>
        <v/>
      </c>
      <c r="L842" s="7">
        <f t="shared" si="1345"/>
        <v>0</v>
      </c>
      <c r="M842" s="8" t="str">
        <f t="shared" si="1346"/>
        <v/>
      </c>
      <c r="N842" s="57"/>
      <c r="O842" s="9"/>
      <c r="P842" s="10"/>
      <c r="Q842" s="10"/>
      <c r="R842" s="10">
        <f t="shared" si="1347"/>
        <v>0</v>
      </c>
      <c r="S842" s="41">
        <f t="shared" si="1287"/>
        <v>0</v>
      </c>
      <c r="W842" s="190"/>
      <c r="Y842" s="42"/>
      <c r="AA842" s="206" t="str">
        <f t="shared" si="1305"/>
        <v/>
      </c>
    </row>
    <row r="843" spans="1:27" ns3:dyDescent="0.3">
      <c r="A843" s="12"/>
      <c r="B843" s="12"/>
      <c r="C843" s="62"/>
      <c r="D843" s="166"/>
      <c r="E843" s="4"/>
      <c r="F843" s="3"/>
      <c r="G843" s="5"/>
      <c r="H843" s="6"/>
      <c r="I843" s="34">
        <f t="shared" si="1343"/>
        <v>0</v>
      </c>
      <c r="J843" s="78" t="str">
        <f>IFERROR(VLOOKUP(C843,[2]Sheet1!$D:$J,7,0),"")</f>
        <v/>
      </c>
      <c r="K843" s="80" t="str">
        <f t="shared" si="1344"/>
        <v/>
      </c>
      <c r="L843" s="7">
        <f t="shared" si="1345"/>
        <v>0</v>
      </c>
      <c r="M843" s="8" t="str">
        <f t="shared" si="1346"/>
        <v/>
      </c>
      <c r="N843" s="57"/>
      <c r="O843" s="9"/>
      <c r="P843" s="10"/>
      <c r="Q843" s="10"/>
      <c r="R843" s="10"/>
      <c r="S843" s="41">
        <f t="shared" si="1287"/>
        <v>0</v>
      </c>
      <c r="W843" s="190"/>
      <c r="Y843" s="42"/>
      <c r="AA843" s="206" t="str">
        <f t="shared" si="1305"/>
        <v/>
      </c>
    </row>
    <row r="844" spans="1:27" ns3:dyDescent="0.3">
      <c r="A844" s="298" t="s">
        <v>361</v>
      </c>
      <c r="B844" s="2" t="s">
        <v>369</v>
      </c>
      <c r="C844" s="196"/>
      <c r="D844" s="166" t="str">
        <f>IFERROR((F844/E844),"")</f>
        <v/>
      </c>
      <c r="E844" s="4"/>
      <c r="F844" s="3"/>
      <c r="G844" s="5"/>
      <c r="H844" s="6"/>
      <c r="I844" s="34">
        <f t="shared" si="1343"/>
        <v>0</v>
      </c>
      <c r="J844" s="78" t="str">
        <f>IFERROR(VLOOKUP(C844,[2]Sheet1!$D:$J,7,0),"")</f>
        <v/>
      </c>
      <c r="K844" s="80" t="str">
        <f t="shared" si="1344"/>
        <v/>
      </c>
      <c r="L844" s="7">
        <f t="shared" si="1345"/>
        <v>0</v>
      </c>
      <c r="M844" s="8" t="str">
        <f t="shared" si="1346"/>
        <v/>
      </c>
      <c r="N844" s="57" t="str">
        <f t="shared" ref="N844:N855" si="1348">IFERROR((K844/H844),"")</f>
        <v/>
      </c>
      <c r="O844" s="9"/>
      <c r="P844" s="10"/>
      <c r="Q844" s="10"/>
      <c r="R844" s="10">
        <f>O844*P844*Q844</f>
        <v>0</v>
      </c>
      <c r="S844" s="41">
        <f t="shared" ref="S844:S855" si="1349">SUM(Y844,T844:X844)</f>
        <v>0</v>
      </c>
      <c r="U844" s="190"/>
      <c r="Y844" s="42"/>
      <c r="AA844" s="206" t="str">
        <f t="shared" ref="AA844:AA855" si="1350">IFERROR(H844*7.5/E844/7,"")</f>
        <v/>
      </c>
    </row>
    <row r="845" spans="1:27" ns3:dyDescent="0.3">
      <c r="A845" s="13"/>
      <c r="B845" s="11"/>
      <c r="C845" s="164" t="s">
        <v>109</v>
      </c>
      <c r="D845" s="166">
        <f>IFERROR((F845/E845),"")</f>
        <v>18.443750000000001</v>
      </c>
      <c r="E845" s="4">
        <v>10</v>
      </c>
      <c r="F845" s="3">
        <f>IFERROR((L845-K845),"")</f>
        <v>184.4375</v>
      </c>
      <c r="G845" s="5">
        <v>7.5</v>
      </c>
      <c r="H845" s="6">
        <f>ROUNDUP(SUMPRODUCT(B846:B848,C846:C848)/1000,1)*0.85</f>
        <v>93.924999999999997</v>
      </c>
      <c r="I845" s="34">
        <f t="shared" si="1343"/>
        <v>250</v>
      </c>
      <c r="J845" s="78">
        <f>IFERROR(VLOOKUP(C845,[2]Sheet1!$D:$J,7,0),"")</f>
        <v>270</v>
      </c>
      <c r="K845" s="80">
        <f t="shared" si="1344"/>
        <v>520</v>
      </c>
      <c r="L845" s="7">
        <f t="shared" si="1345"/>
        <v>704.4375</v>
      </c>
      <c r="M845" s="8">
        <f t="shared" si="1346"/>
        <v>-184.4375</v>
      </c>
      <c r="N845" s="57">
        <f t="shared" si="1348"/>
        <v>5.5363321799307963</v>
      </c>
      <c r="O845" s="9"/>
      <c r="P845" s="10">
        <v>10</v>
      </c>
      <c r="Q845" s="10">
        <v>5900</v>
      </c>
      <c r="R845" s="10">
        <f>O845*P845*Q845</f>
        <v>0</v>
      </c>
      <c r="S845" s="41">
        <f t="shared" si="1349"/>
        <v>25</v>
      </c>
      <c r="U845" s="183">
        <v>25</v>
      </c>
      <c r="W845" s="173"/>
      <c r="Y845" s="220"/>
      <c r="AA845" s="206">
        <f t="shared" si="1350"/>
        <v>10.063392857142857</v>
      </c>
    </row>
    <row r="846" spans="1:27" ht="17.25" customHeight="1" ns3:dyDescent="0.3">
      <c r="A846" s="13" t="s">
        <v>297</v>
      </c>
      <c r="B846" s="11">
        <f>ROUNDUP(HLOOKUP(A846,'야채 계산기'!$2:$3,2,0),0)</f>
        <v>4900</v>
      </c>
      <c r="C846" s="182">
        <f>17.1</f>
        <v>17.100000000000001</v>
      </c>
      <c r="D846" s="166"/>
      <c r="E846" s="4"/>
      <c r="F846" s="3"/>
      <c r="G846" s="5"/>
      <c r="H846" s="6"/>
      <c r="I846" s="34">
        <f t="shared" si="1343"/>
        <v>0</v>
      </c>
      <c r="J846" s="78" t="str">
        <f>IFERROR(VLOOKUP(C846,[2]Sheet1!$D:$J,7,0),"")</f>
        <v/>
      </c>
      <c r="K846" s="80" t="str">
        <f t="shared" si="1344"/>
        <v/>
      </c>
      <c r="L846" s="7">
        <f t="shared" si="1345"/>
        <v>0</v>
      </c>
      <c r="M846" s="8" t="str">
        <f t="shared" si="1346"/>
        <v/>
      </c>
      <c r="N846" s="57" t="str">
        <f t="shared" si="1348"/>
        <v/>
      </c>
      <c r="O846" s="9"/>
      <c r="P846" s="10"/>
      <c r="Q846" s="10"/>
      <c r="R846" s="10"/>
      <c r="S846" s="41">
        <f t="shared" si="1349"/>
        <v>0</v>
      </c>
      <c r="Y846" s="42"/>
      <c r="AA846" s="206" t="str">
        <f t="shared" si="1350"/>
        <v/>
      </c>
    </row>
    <row r="847" spans="1:27" ht="17.25" customHeight="1" ns3:dyDescent="0.3">
      <c r="A847" s="13" t="s">
        <v>443</v>
      </c>
      <c r="B847" s="11">
        <f>ROUNDUP(HLOOKUP(A847,'야채 계산기'!$2:$3,2,0),0)</f>
        <v>1340</v>
      </c>
      <c r="C847" s="164">
        <v>19.93</v>
      </c>
      <c r="D847" s="166"/>
      <c r="E847" s="4"/>
      <c r="F847" s="3"/>
      <c r="G847" s="5"/>
      <c r="H847" s="6"/>
      <c r="I847" s="34">
        <f t="shared" ref="I847" si="1351">IFERROR((S847*E847),"")</f>
        <v>0</v>
      </c>
      <c r="J847" s="78" t="str">
        <f>IFERROR(VLOOKUP(C847,[2]Sheet1!$D:$J,7,0),"")</f>
        <v/>
      </c>
      <c r="K847" s="80" t="str">
        <f t="shared" ref="K847" si="1352">IFERROR((I847+J847),"")</f>
        <v/>
      </c>
      <c r="L847" s="7">
        <f t="shared" ref="L847" si="1353">IFERROR((G847*H847),"")</f>
        <v>0</v>
      </c>
      <c r="M847" s="8" t="str">
        <f t="shared" ref="M847" si="1354">IFERROR(K847-L847,"")</f>
        <v/>
      </c>
      <c r="N847" s="57" t="str">
        <f t="shared" ref="N847" si="1355">IFERROR((K847/H847),"")</f>
        <v/>
      </c>
      <c r="O847" s="9"/>
      <c r="P847" s="10"/>
      <c r="Q847" s="10"/>
      <c r="R847" s="10"/>
      <c r="S847" s="41">
        <f t="shared" ref="S847" si="1356">SUM(Y847,T847:X847)</f>
        <v>0</v>
      </c>
      <c r="Y847" s="42"/>
      <c r="AA847" s="206" t="str">
        <f t="shared" ref="AA847" si="1357">IFERROR(H847*7.5/E847/7,"")</f>
        <v/>
      </c>
    </row>
    <row r="848" spans="1:27" ht="17.25" customHeight="1" ns3:dyDescent="0.3">
      <c r="A848" s="248" t="s">
        <v>877</v>
      </c>
      <c r="B848" s="11">
        <f>ROUNDUP(HLOOKUP(A848,'야채 계산기'!$2:$3,2,0),0)</f>
        <v>0</v>
      </c>
      <c r="C848" s="164">
        <v>11.93</v>
      </c>
      <c r="D848" s="166"/>
      <c r="E848" s="4"/>
      <c r="F848" s="3"/>
      <c r="G848" s="5"/>
      <c r="H848" s="6"/>
      <c r="I848" s="34">
        <f t="shared" si="1343"/>
        <v>0</v>
      </c>
      <c r="J848" s="78" t="str">
        <f>IFERROR(VLOOKUP(C848,[2]Sheet1!$D:$J,7,0),"")</f>
        <v/>
      </c>
      <c r="K848" s="80" t="str">
        <f t="shared" si="1344"/>
        <v/>
      </c>
      <c r="L848" s="7">
        <f t="shared" si="1345"/>
        <v>0</v>
      </c>
      <c r="M848" s="8" t="str">
        <f t="shared" si="1346"/>
        <v/>
      </c>
      <c r="N848" s="57" t="str">
        <f t="shared" si="1348"/>
        <v/>
      </c>
      <c r="O848" s="9"/>
      <c r="P848" s="10"/>
      <c r="Q848" s="10"/>
      <c r="R848" s="10"/>
      <c r="S848" s="41">
        <f t="shared" si="1349"/>
        <v>0</v>
      </c>
      <c r="Y848" s="42"/>
      <c r="AA848" s="206" t="str">
        <f t="shared" si="1350"/>
        <v/>
      </c>
    </row>
    <row r="849" spans="1:27" ns3:dyDescent="0.3">
      <c r="A849" s="13"/>
      <c r="B849" s="11"/>
      <c r="C849" s="62" t="s">
        <v>565</v>
      </c>
      <c r="D849" s="166">
        <f>IFERROR((F849/E849),"")</f>
        <v>25.774999999999988</v>
      </c>
      <c r="E849" s="4">
        <v>10</v>
      </c>
      <c r="F849" s="3">
        <f>IFERROR((L849-K849),"")</f>
        <v>257.74999999999989</v>
      </c>
      <c r="G849" s="5">
        <f>G845</f>
        <v>7.5</v>
      </c>
      <c r="H849" s="6">
        <f>ROUNDUP(SUMPRODUCT(B850:B851,C850:C851)/700,1)</f>
        <v>71.699999999999989</v>
      </c>
      <c r="I849" s="34">
        <f t="shared" si="1343"/>
        <v>100</v>
      </c>
      <c r="J849" s="78">
        <f>IFERROR(VLOOKUP(C849,[2]Sheet1!$D:$J,7,0),"")</f>
        <v>180</v>
      </c>
      <c r="K849" s="80">
        <f t="shared" si="1344"/>
        <v>280</v>
      </c>
      <c r="L849" s="7">
        <f t="shared" si="1345"/>
        <v>537.74999999999989</v>
      </c>
      <c r="M849" s="8">
        <f t="shared" si="1346"/>
        <v>-257.74999999999989</v>
      </c>
      <c r="N849" s="57">
        <f t="shared" si="1348"/>
        <v>3.9051603905160395</v>
      </c>
      <c r="O849" s="9"/>
      <c r="P849" s="10">
        <v>10</v>
      </c>
      <c r="Q849" s="10">
        <v>4657</v>
      </c>
      <c r="R849" s="10">
        <f>O849*P849*Q849</f>
        <v>0</v>
      </c>
      <c r="S849" s="41">
        <f t="shared" si="1349"/>
        <v>10</v>
      </c>
      <c r="U849" s="183">
        <v>10</v>
      </c>
      <c r="W849" s="173"/>
      <c r="Y849" s="220"/>
      <c r="AA849" s="206">
        <f t="shared" si="1350"/>
        <v>7.6821428571428561</v>
      </c>
    </row>
    <row r="850" spans="1:27" ht="17.25" customHeight="1" ns3:dyDescent="0.3">
      <c r="A850" s="60" t="s">
        <v>563</v>
      </c>
      <c r="B850" s="11">
        <f>ROUNDUP(HLOOKUP(A850,'야채 계산기'!$2:$3,2,0),0)</f>
        <v>1780</v>
      </c>
      <c r="C850" s="164">
        <v>12.37</v>
      </c>
      <c r="D850" s="166"/>
      <c r="E850" s="4"/>
      <c r="F850" s="3"/>
      <c r="G850" s="5"/>
      <c r="H850" s="6"/>
      <c r="I850" s="34">
        <f t="shared" ref="I850" si="1358">IFERROR((S850*E850),"")</f>
        <v>0</v>
      </c>
      <c r="J850" s="78" t="str">
        <f>IFERROR(VLOOKUP(C850,[2]Sheet1!$D:$J,7,0),"")</f>
        <v/>
      </c>
      <c r="K850" s="80" t="str">
        <f t="shared" ref="K850" si="1359">IFERROR((I850+J850),"")</f>
        <v/>
      </c>
      <c r="L850" s="7">
        <f t="shared" ref="L850" si="1360">IFERROR((G850*H850),"")</f>
        <v>0</v>
      </c>
      <c r="M850" s="8" t="str">
        <f t="shared" ref="M850" si="1361">IFERROR(K850-L850,"")</f>
        <v/>
      </c>
      <c r="N850" s="57" t="str">
        <f t="shared" ref="N850" si="1362">IFERROR((K850/H850),"")</f>
        <v/>
      </c>
      <c r="O850" s="9"/>
      <c r="P850" s="10"/>
      <c r="Q850" s="10"/>
      <c r="R850" s="10"/>
      <c r="S850" s="41">
        <f t="shared" ref="S850" si="1363">SUM(Y850,T850:X850)</f>
        <v>0</v>
      </c>
      <c r="Y850" s="42"/>
      <c r="AA850" s="206" t="str">
        <f t="shared" ref="AA850" si="1364">IFERROR(H850*7.5/E850/7,"")</f>
        <v/>
      </c>
    </row>
    <row r="851" spans="1:27" ht="17.25" customHeight="1" ns3:dyDescent="0.3">
      <c r="A851" s="60" t="s">
        <v>885</v>
      </c>
      <c r="B851" s="11">
        <f>ROUNDUP(HLOOKUP(A851,'야채 계산기'!$2:$3,2,0),0)</f>
        <v>1820</v>
      </c>
      <c r="C851" s="164">
        <v>15.46</v>
      </c>
      <c r="D851" s="166"/>
      <c r="E851" s="4"/>
      <c r="F851" s="3"/>
      <c r="G851" s="5"/>
      <c r="H851" s="6"/>
      <c r="I851" s="34">
        <f t="shared" si="1343"/>
        <v>0</v>
      </c>
      <c r="J851" s="78" t="str">
        <f>IFERROR(VLOOKUP(C851,[2]Sheet1!$D:$J,7,0),"")</f>
        <v/>
      </c>
      <c r="K851" s="80" t="str">
        <f t="shared" si="1344"/>
        <v/>
      </c>
      <c r="L851" s="7">
        <f t="shared" si="1345"/>
        <v>0</v>
      </c>
      <c r="M851" s="8" t="str">
        <f t="shared" si="1346"/>
        <v/>
      </c>
      <c r="N851" s="57" t="str">
        <f t="shared" si="1348"/>
        <v/>
      </c>
      <c r="O851" s="9"/>
      <c r="P851" s="10"/>
      <c r="Q851" s="10"/>
      <c r="R851" s="10"/>
      <c r="S851" s="41">
        <f t="shared" si="1349"/>
        <v>0</v>
      </c>
      <c r="Y851" s="42"/>
      <c r="AA851" s="206" t="str">
        <f t="shared" si="1350"/>
        <v/>
      </c>
    </row>
    <row r="852" spans="1:27" ns3:dyDescent="0.3">
      <c r="A852" s="13"/>
      <c r="B852" s="11"/>
      <c r="C852" s="62" t="s">
        <v>677</v>
      </c>
      <c r="D852" s="166">
        <f>IFERROR((F852/E852),"")</f>
        <v>41.663999999999987</v>
      </c>
      <c r="E852" s="4">
        <v>10</v>
      </c>
      <c r="F852" s="3">
        <f>IFERROR((L852-K852),"")</f>
        <v>416.63999999999987</v>
      </c>
      <c r="G852" s="5">
        <f>G845</f>
        <v>7.5</v>
      </c>
      <c r="H852" s="6">
        <f>ROUNDUP(SUMPRODUCT(B853:B855,C853:C855)/900,1)*0.96</f>
        <v>113.95199999999998</v>
      </c>
      <c r="I852" s="34">
        <f t="shared" si="1343"/>
        <v>200</v>
      </c>
      <c r="J852" s="78">
        <f>IFERROR(VLOOKUP(C852,[2]Sheet1!$D:$J,7,0),"")</f>
        <v>238</v>
      </c>
      <c r="K852" s="80">
        <f t="shared" si="1344"/>
        <v>438</v>
      </c>
      <c r="L852" s="7">
        <f t="shared" si="1345"/>
        <v>854.63999999999987</v>
      </c>
      <c r="M852" s="8">
        <f t="shared" si="1346"/>
        <v>-416.63999999999987</v>
      </c>
      <c r="N852" s="57">
        <f t="shared" si="1348"/>
        <v>3.8437236731255271</v>
      </c>
      <c r="O852" s="9"/>
      <c r="P852" s="10">
        <v>10</v>
      </c>
      <c r="Q852" s="10">
        <v>8400</v>
      </c>
      <c r="R852" s="10">
        <f>O852*P852*Q852</f>
        <v>0</v>
      </c>
      <c r="S852" s="41">
        <f t="shared" si="1349"/>
        <v>20</v>
      </c>
      <c r="U852" s="183">
        <v>20</v>
      </c>
      <c r="W852" s="173"/>
      <c r="Y852" s="220"/>
      <c r="AA852" s="206">
        <f t="shared" si="1350"/>
        <v>12.209142857142854</v>
      </c>
    </row>
    <row r="853" spans="1:27" ht="16.5" customHeight="1" ns3:dyDescent="0.3">
      <c r="A853" s="61" t="s">
        <v>709</v>
      </c>
      <c r="B853" s="11">
        <f>ROUNDUP(HLOOKUP(A853,'야채 계산기'!$2:$3,2,0),0)</f>
        <v>1680</v>
      </c>
      <c r="C853" s="62">
        <v>30.3</v>
      </c>
      <c r="D853" s="166"/>
      <c r="E853" s="4"/>
      <c r="F853" s="3"/>
      <c r="G853" s="5"/>
      <c r="H853" s="6"/>
      <c r="I853" s="34">
        <f t="shared" si="1343"/>
        <v>0</v>
      </c>
      <c r="J853" s="78" t="str">
        <f>IFERROR(VLOOKUP(C853,[2]Sheet1!$D:$J,7,0),"")</f>
        <v/>
      </c>
      <c r="K853" s="80" t="str">
        <f t="shared" si="1344"/>
        <v/>
      </c>
      <c r="L853" s="7">
        <f t="shared" si="1345"/>
        <v>0</v>
      </c>
      <c r="M853" s="8" t="str">
        <f t="shared" si="1346"/>
        <v/>
      </c>
      <c r="N853" s="57" t="str">
        <f t="shared" si="1348"/>
        <v/>
      </c>
      <c r="O853" s="9"/>
      <c r="P853" s="10"/>
      <c r="Q853" s="10"/>
      <c r="R853" s="10"/>
      <c r="S853" s="41">
        <f t="shared" si="1349"/>
        <v>0</v>
      </c>
      <c r="W853" s="190"/>
      <c r="Y853" s="42"/>
      <c r="AA853" s="206" t="str">
        <f t="shared" si="1350"/>
        <v/>
      </c>
    </row>
    <row r="854" spans="1:27" ht="16.5" customHeight="1" ns3:dyDescent="0.3">
      <c r="A854" s="61" t="s">
        <v>736</v>
      </c>
      <c r="B854" s="11">
        <f>ROUNDUP(HLOOKUP(A854,'야채 계산기'!$2:$3,2,0),0)</f>
        <v>2020</v>
      </c>
      <c r="C854" s="62">
        <v>15.15</v>
      </c>
      <c r="D854" s="166"/>
      <c r="E854" s="4"/>
      <c r="F854" s="3"/>
      <c r="G854" s="5"/>
      <c r="H854" s="6"/>
      <c r="I854" s="34">
        <f t="shared" ref="I854" si="1365">IFERROR((S854*E854),"")</f>
        <v>0</v>
      </c>
      <c r="J854" s="78" t="str">
        <f>IFERROR(VLOOKUP(C854,[2]Sheet1!$D:$J,7,0),"")</f>
        <v/>
      </c>
      <c r="K854" s="80" t="str">
        <f t="shared" ref="K854" si="1366">IFERROR((I854+J854),"")</f>
        <v/>
      </c>
      <c r="L854" s="7">
        <f t="shared" ref="L854" si="1367">IFERROR((G854*H854),"")</f>
        <v>0</v>
      </c>
      <c r="M854" s="8" t="str">
        <f t="shared" ref="M854" si="1368">IFERROR(K854-L854,"")</f>
        <v/>
      </c>
      <c r="N854" s="57" t="str">
        <f t="shared" ref="N854" si="1369">IFERROR((K854/H854),"")</f>
        <v/>
      </c>
      <c r="O854" s="9"/>
      <c r="P854" s="10"/>
      <c r="Q854" s="10"/>
      <c r="R854" s="10"/>
      <c r="S854" s="41">
        <f t="shared" ref="S854" si="1370">SUM(Y854,T854:X854)</f>
        <v>0</v>
      </c>
      <c r="W854" s="190"/>
      <c r="Y854" s="42"/>
      <c r="AA854" s="206" t="str">
        <f t="shared" ref="AA854" si="1371">IFERROR(H854*7.5/E854/7,"")</f>
        <v/>
      </c>
    </row>
    <row r="855" spans="1:27" ht="16.5" customHeight="1" ns3:dyDescent="0.3">
      <c r="A855" s="13" t="s">
        <v>823</v>
      </c>
      <c r="B855" s="11">
        <f>ROUNDUP(HLOOKUP(A855,'야채 계산기'!$2:$3,2,0),0)</f>
        <v>550</v>
      </c>
      <c r="C855" s="62">
        <v>45.91</v>
      </c>
      <c r="D855" s="166"/>
      <c r="E855" s="4"/>
      <c r="F855" s="3"/>
      <c r="G855" s="5"/>
      <c r="H855" s="6"/>
      <c r="I855" s="34">
        <f t="shared" si="1343"/>
        <v>0</v>
      </c>
      <c r="J855" s="78" t="str">
        <f>IFERROR(VLOOKUP(C855,[2]Sheet1!$D:$J,7,0),"")</f>
        <v/>
      </c>
      <c r="K855" s="80" t="str">
        <f t="shared" si="1344"/>
        <v/>
      </c>
      <c r="L855" s="7">
        <f t="shared" si="1345"/>
        <v>0</v>
      </c>
      <c r="M855" s="8" t="str">
        <f t="shared" si="1346"/>
        <v/>
      </c>
      <c r="N855" s="57" t="str">
        <f t="shared" si="1348"/>
        <v/>
      </c>
      <c r="O855" s="9"/>
      <c r="P855" s="10"/>
      <c r="Q855" s="10"/>
      <c r="R855" s="10"/>
      <c r="S855" s="41">
        <f t="shared" si="1349"/>
        <v>0</v>
      </c>
      <c r="W855" s="190"/>
      <c r="Y855" s="42"/>
      <c r="AA855" s="206" t="str">
        <f t="shared" si="1350"/>
        <v/>
      </c>
    </row>
    <row r="856" spans="1:27" ht="16.5" customHeight="1" ns3:dyDescent="0.3">
      <c r="A856" s="13"/>
      <c r="B856" s="11"/>
      <c r="C856" s="62"/>
      <c r="D856" s="166"/>
      <c r="E856" s="4"/>
      <c r="F856" s="3"/>
      <c r="G856" s="5"/>
      <c r="H856" s="6"/>
      <c r="I856" s="34"/>
      <c r="J856" s="78" t="str">
        <f>IFERROR(VLOOKUP(C856,[2]Sheet1!$D:$J,7,0),"")</f>
        <v/>
      </c>
      <c r="K856" s="80"/>
      <c r="L856" s="7"/>
      <c r="M856" s="8"/>
      <c r="N856" s="57"/>
      <c r="O856" s="9"/>
      <c r="P856" s="10"/>
      <c r="Q856" s="10"/>
      <c r="R856" s="10"/>
      <c r="W856" s="190"/>
      <c r="Y856" s="42"/>
      <c r="AA856" s="206"/>
    </row>
    <row r="857" spans="1:27" ht="16.5" customHeight="1" ns3:dyDescent="0.3">
      <c r="A857" s="13"/>
      <c r="B857" s="11"/>
      <c r="C857" s="62"/>
      <c r="D857" s="166"/>
      <c r="E857" s="4"/>
      <c r="F857" s="3"/>
      <c r="G857" s="5"/>
      <c r="H857" s="6"/>
      <c r="I857" s="34"/>
      <c r="J857" s="78" t="str">
        <f>IFERROR(VLOOKUP(C857,[2]Sheet1!$D:$J,7,0),"")</f>
        <v/>
      </c>
      <c r="K857" s="80"/>
      <c r="L857" s="7"/>
      <c r="M857" s="8"/>
      <c r="N857" s="57"/>
      <c r="O857" s="9"/>
      <c r="P857" s="10"/>
      <c r="Q857" s="10"/>
      <c r="R857" s="10"/>
      <c r="W857" s="190"/>
      <c r="Y857" s="42"/>
      <c r="AA857" s="206"/>
    </row>
    <row r="858" spans="1:27" ns3:dyDescent="0.3">
      <c r="A858" s="301" t="s">
        <v>765</v>
      </c>
      <c r="B858" s="2" t="s">
        <v>868</v>
      </c>
      <c r="C858" s="196"/>
      <c r="D858" s="166" t="str">
        <f>IFERROR((F858/E858),"")</f>
        <v/>
      </c>
      <c r="E858" s="4"/>
      <c r="F858" s="3"/>
      <c r="G858" s="5"/>
      <c r="H858" s="6"/>
      <c r="I858" s="34">
        <f t="shared" ref="I858" si="1372">IFERROR((S858*E858),"")</f>
        <v>0</v>
      </c>
      <c r="J858" s="78" t="str">
        <f>IFERROR(VLOOKUP(C858,[2]Sheet1!$D:$J,7,0),"")</f>
        <v/>
      </c>
      <c r="K858" s="80" t="str">
        <f t="shared" ref="K858" si="1373">IFERROR((I858+J858),"")</f>
        <v/>
      </c>
      <c r="L858" s="7">
        <f t="shared" ref="L858" si="1374">IFERROR((G858*H858),"")</f>
        <v>0</v>
      </c>
      <c r="M858" s="8" t="str">
        <f t="shared" ref="M858" si="1375">IFERROR(K858-L858,"")</f>
        <v/>
      </c>
      <c r="N858" s="57" t="str">
        <f t="shared" ref="N858:N860" si="1376">IFERROR((K858/H858),"")</f>
        <v/>
      </c>
      <c r="O858" s="9"/>
      <c r="P858" s="10"/>
      <c r="Q858" s="10"/>
      <c r="R858" s="10">
        <f>O858*P858*Q858</f>
        <v>0</v>
      </c>
      <c r="S858" s="41">
        <f t="shared" ref="S858" si="1377">SUM(Y858,T858:X858)</f>
        <v>0</v>
      </c>
      <c r="U858" s="190"/>
      <c r="Y858" s="42"/>
      <c r="AA858" s="206" t="str">
        <f t="shared" ref="AA858" si="1378">IFERROR(H858*7.5/E858/7,"")</f>
        <v/>
      </c>
    </row>
    <row r="859" spans="1:27" ns3:dyDescent="0.3">
      <c r="A859" s="13"/>
      <c r="B859" s="307" t="s">
        <v>770</v>
      </c>
      <c r="C859" s="62" t="s">
        <v>764</v>
      </c>
      <c r="D859" s="166">
        <f>IFERROR((F859/E859),"")</f>
        <v>-8.6049999999999986</v>
      </c>
      <c r="E859" s="4">
        <v>10</v>
      </c>
      <c r="F859" s="3">
        <f>IFERROR((L859-K859),"")</f>
        <v>-86.049999999999983</v>
      </c>
      <c r="G859" s="5">
        <v>3.5</v>
      </c>
      <c r="H859" s="6">
        <f>ROUNDUP(SUMPRODUCT(B860,C860)/60,1)</f>
        <v>33.700000000000003</v>
      </c>
      <c r="I859" s="34">
        <f>IFERROR((S859*E859),"")</f>
        <v>140</v>
      </c>
      <c r="J859" s="78">
        <f>IFERROR(VLOOKUP(C859,[2]Sheet1!$D:$J,7,0),"")</f>
        <v>64</v>
      </c>
      <c r="K859" s="80">
        <f>IFERROR((I859+J859),"")</f>
        <v>204</v>
      </c>
      <c r="L859" s="7">
        <f>IFERROR((G859*H859),"")</f>
        <v>117.95000000000002</v>
      </c>
      <c r="M859" s="8">
        <f>IFERROR(K859-L859,"")</f>
        <v>86.049999999999983</v>
      </c>
      <c r="N859" s="57">
        <f t="shared" si="1376"/>
        <v>6.0534124629080113</v>
      </c>
      <c r="O859" s="9"/>
      <c r="P859" s="10">
        <v>10</v>
      </c>
      <c r="Q859" s="10">
        <v>9600</v>
      </c>
      <c r="R859" s="10">
        <f>O859*P859*Q859</f>
        <v>0</v>
      </c>
      <c r="S859" s="41">
        <f>SUM(Y859,T859:X859)</f>
        <v>14</v>
      </c>
      <c r="T859" s="173">
        <v>5</v>
      </c>
      <c r="U859" s="173">
        <v>5</v>
      </c>
      <c r="V859" s="173">
        <v>4</v>
      </c>
      <c r="W859" s="173"/>
      <c r="X859" s="173"/>
      <c r="Y859" s="220"/>
      <c r="AA859" s="206">
        <f>IFERROR(H859*7.5/E859/7,"")</f>
        <v>3.6107142857142862</v>
      </c>
    </row>
    <row r="860" spans="1:27" ht="16.5" customHeight="1" ns3:dyDescent="0.3">
      <c r="A860" s="61" t="s">
        <v>728</v>
      </c>
      <c r="B860" s="11">
        <f>ROUNDUP(HLOOKUP(A860,'야채 계산기'!$2:$3,2,0),0)</f>
        <v>2020</v>
      </c>
      <c r="C860" s="62">
        <v>1</v>
      </c>
      <c r="D860" s="166"/>
      <c r="E860" s="4"/>
      <c r="F860" s="3"/>
      <c r="G860" s="5"/>
      <c r="H860" s="6"/>
      <c r="I860" s="34">
        <f>IFERROR((S860*E860),"")</f>
        <v>0</v>
      </c>
      <c r="J860" s="78" t="str">
        <f>IFERROR(VLOOKUP(C860,[2]Sheet1!$D:$J,7,0),"")</f>
        <v/>
      </c>
      <c r="K860" s="80" t="str">
        <f>IFERROR((I860+J860),"")</f>
        <v/>
      </c>
      <c r="L860" s="7">
        <f>IFERROR((G860*H860),"")</f>
        <v>0</v>
      </c>
      <c r="M860" s="8" t="str">
        <f>IFERROR(K860-L860,"")</f>
        <v/>
      </c>
      <c r="N860" s="57" t="str">
        <f t="shared" si="1376"/>
        <v/>
      </c>
      <c r="O860" s="9"/>
      <c r="P860" s="10"/>
      <c r="Q860" s="10"/>
      <c r="R860" s="10"/>
      <c r="S860" s="41">
        <f>SUM(Y860,T860:X860)</f>
        <v>0</v>
      </c>
      <c r="W860" s="190"/>
      <c r="Y860" s="42"/>
      <c r="AA860" s="206" t="str">
        <f>IFERROR(H860*7.5/E860/7,"")</f>
        <v/>
      </c>
    </row>
    <row r="861" spans="1:27" ht="16.5" customHeight="1" ns3:dyDescent="0.3">
      <c r="A861" s="292"/>
      <c r="B861" s="11"/>
      <c r="C861" s="62"/>
      <c r="D861" s="166"/>
      <c r="E861" s="4"/>
      <c r="F861" s="3"/>
      <c r="G861" s="5"/>
      <c r="H861" s="6"/>
      <c r="I861" s="34"/>
      <c r="J861" s="78" t="str">
        <f>IFERROR(VLOOKUP(C861,[2]Sheet1!$D:$J,7,0),"")</f>
        <v/>
      </c>
      <c r="K861" s="80"/>
      <c r="L861" s="7"/>
      <c r="M861" s="8"/>
      <c r="N861" s="57"/>
      <c r="O861" s="9"/>
      <c r="P861" s="10"/>
      <c r="Q861" s="10"/>
      <c r="R861" s="10"/>
      <c r="W861" s="190"/>
      <c r="Y861" s="42"/>
      <c r="AA861" s="206"/>
    </row>
    <row r="862" spans="1:27" ht="16.5" customHeight="1" ns3:dyDescent="0.3">
      <c r="A862" s="292"/>
      <c r="B862" s="11"/>
      <c r="C862" s="62"/>
      <c r="D862" s="166"/>
      <c r="E862" s="4"/>
      <c r="F862" s="3"/>
      <c r="G862" s="5"/>
      <c r="H862" s="6"/>
      <c r="I862" s="34"/>
      <c r="J862" s="78" t="str">
        <f>IFERROR(VLOOKUP(C862,[2]Sheet1!$D:$J,7,0),"")</f>
        <v/>
      </c>
      <c r="K862" s="80"/>
      <c r="L862" s="7"/>
      <c r="M862" s="8"/>
      <c r="N862" s="57"/>
      <c r="O862" s="9"/>
      <c r="P862" s="10"/>
      <c r="Q862" s="10"/>
      <c r="R862" s="10"/>
      <c r="W862" s="190"/>
      <c r="Y862" s="42"/>
      <c r="AA862" s="206"/>
    </row>
    <row r="863" spans="1:27" ht="16.5" customHeight="1" ns3:dyDescent="0.3">
      <c r="A863" s="292"/>
      <c r="B863" s="11"/>
      <c r="C863" s="62"/>
      <c r="D863" s="166"/>
      <c r="E863" s="4"/>
      <c r="F863" s="3"/>
      <c r="G863" s="5"/>
      <c r="H863" s="6"/>
      <c r="I863" s="34"/>
      <c r="J863" s="78" t="str">
        <f>IFERROR(VLOOKUP(C863,[2]Sheet1!$D:$J,7,0),"")</f>
        <v/>
      </c>
      <c r="K863" s="80"/>
      <c r="L863" s="7"/>
      <c r="M863" s="8"/>
      <c r="N863" s="57"/>
      <c r="O863" s="9"/>
      <c r="P863" s="10"/>
      <c r="Q863" s="10"/>
      <c r="R863" s="10"/>
      <c r="W863" s="190"/>
      <c r="Y863" s="42"/>
      <c r="AA863" s="206"/>
    </row>
    <row r="864" spans="1:27" ht="16.5" customHeight="1" ns3:dyDescent="0.3">
      <c r="A864" s="292"/>
      <c r="B864" s="11"/>
      <c r="C864" s="62"/>
      <c r="D864" s="166"/>
      <c r="E864" s="4"/>
      <c r="F864" s="3"/>
      <c r="G864" s="5"/>
      <c r="H864" s="6"/>
      <c r="I864" s="34"/>
      <c r="J864" s="78" t="str">
        <f>IFERROR(VLOOKUP(C864,[2]Sheet1!$D:$J,7,0),"")</f>
        <v/>
      </c>
      <c r="K864" s="80"/>
      <c r="L864" s="7"/>
      <c r="M864" s="8"/>
      <c r="N864" s="57"/>
      <c r="O864" s="9"/>
      <c r="P864" s="10"/>
      <c r="Q864" s="10"/>
      <c r="R864" s="10"/>
      <c r="W864" s="190"/>
      <c r="Y864" s="42"/>
      <c r="AA864" s="206"/>
    </row>
    <row r="865" spans="1:35" ht="16.5" customHeight="1" ns3:dyDescent="0.3">
      <c r="A865" s="292"/>
      <c r="B865" s="11"/>
      <c r="C865" s="62"/>
      <c r="D865" s="166"/>
      <c r="E865" s="4"/>
      <c r="F865" s="3"/>
      <c r="G865" s="5"/>
      <c r="H865" s="6"/>
      <c r="I865" s="34"/>
      <c r="J865" s="78" t="str">
        <f>IFERROR(VLOOKUP(C865,[2]Sheet1!$D:$J,7,0),"")</f>
        <v/>
      </c>
      <c r="K865" s="80"/>
      <c r="L865" s="7"/>
      <c r="M865" s="8"/>
      <c r="N865" s="57"/>
      <c r="O865" s="9"/>
      <c r="P865" s="10"/>
      <c r="Q865" s="10"/>
      <c r="R865" s="10"/>
      <c r="W865" s="190"/>
      <c r="Y865" s="42"/>
      <c r="AA865" s="206"/>
    </row>
    <row r="866" spans="1:35" ht="31.5" ns3:dyDescent="0.3">
      <c r="A866" s="301" t="s">
        <v>738</v>
      </c>
      <c r="B866" s="11" t="s">
        <v>739</v>
      </c>
      <c r="C866" s="196"/>
      <c r="D866" s="166" t="str">
        <f>IFERROR((F866/E866),"")</f>
        <v/>
      </c>
      <c r="E866" s="4"/>
      <c r="F866" s="3"/>
      <c r="G866" s="5"/>
      <c r="H866" s="6"/>
      <c r="I866" s="34">
        <f t="shared" ref="I866:I895" si="1379">IFERROR((S866*E866),"")</f>
        <v>0</v>
      </c>
      <c r="J866" s="78" t="str">
        <f>IFERROR(VLOOKUP(C866,[2]Sheet1!$D:$J,7,0),"")</f>
        <v/>
      </c>
      <c r="K866" s="80" t="str">
        <f t="shared" ref="K866:K869" si="1380">IFERROR((I866+J866),"")</f>
        <v/>
      </c>
      <c r="L866" s="7">
        <f t="shared" ref="L866:L895" si="1381">IFERROR((G866*H866),"")</f>
        <v>0</v>
      </c>
      <c r="M866" s="8" t="str">
        <f t="shared" ref="M866:M895" si="1382">IFERROR(K866-L866,"")</f>
        <v/>
      </c>
      <c r="N866" s="57" t="str">
        <f t="shared" ref="N866:N874" si="1383">IFERROR((K866/H866),"")</f>
        <v/>
      </c>
      <c r="O866" s="9"/>
      <c r="P866" s="10"/>
      <c r="Q866" s="10"/>
      <c r="R866" s="10">
        <f>O866*P866*Q866</f>
        <v>0</v>
      </c>
      <c r="S866" s="41">
        <f t="shared" si="1287"/>
        <v>0</v>
      </c>
      <c r="U866" s="190"/>
      <c r="Y866" s="42"/>
      <c r="AA866" s="206" t="str">
        <f t="shared" si="1305"/>
        <v/>
      </c>
      <c r="AB866" s="343" t="s">
        <v>897</v>
      </c>
      <c r="AC866" s="343"/>
      <c r="AD866" s="343"/>
      <c r="AE866" s="343"/>
      <c r="AF866" s="343"/>
      <c r="AG866" s="343"/>
      <c r="AH866" s="343"/>
      <c r="AI866" s="343"/>
    </row>
    <row r="867" spans="1:35" ns3:dyDescent="0.3">
      <c r="A867" s="13"/>
      <c r="B867" s="11"/>
      <c r="C867" s="62" t="s">
        <v>750</v>
      </c>
      <c r="D867" s="166">
        <f>IFERROR((F867/E867),"")</f>
        <v>20.625000000000004</v>
      </c>
      <c r="E867" s="4">
        <v>6</v>
      </c>
      <c r="F867" s="3">
        <f>IFERROR((L867-K867),"")</f>
        <v>123.75000000000003</v>
      </c>
      <c r="G867" s="5">
        <v>7.5</v>
      </c>
      <c r="H867" s="6">
        <f>ROUNDUP(SUMPRODUCT(B868:B868,C868:C868)/2000,1)</f>
        <v>31.700000000000003</v>
      </c>
      <c r="I867" s="34">
        <f>IFERROR((S867*E867),"")</f>
        <v>84</v>
      </c>
      <c r="J867" s="78">
        <f>IFERROR(VLOOKUP(C867,[2]Sheet1!$D:$J,7,0),"")</f>
        <v>30</v>
      </c>
      <c r="K867" s="80">
        <f>IFERROR((I867+J867),"")</f>
        <v>114</v>
      </c>
      <c r="L867" s="7">
        <f>IFERROR((G867*H867),"")</f>
        <v>237.75000000000003</v>
      </c>
      <c r="M867" s="8">
        <f>IFERROR(K867-L867,"")</f>
        <v>-123.75000000000003</v>
      </c>
      <c r="N867" s="57">
        <f t="shared" ref="N867" si="1384">IFERROR((K867/H867),"")</f>
        <v>3.5962145110410093</v>
      </c>
      <c r="O867" s="9"/>
      <c r="P867" s="10">
        <v>10</v>
      </c>
      <c r="Q867" s="10">
        <v>15577</v>
      </c>
      <c r="R867" s="10">
        <f>O867*P867*Q867</f>
        <v>0</v>
      </c>
      <c r="S867" s="41">
        <f>SUM(Y867,T867:X867)</f>
        <v>14</v>
      </c>
      <c r="U867" s="183">
        <v>14</v>
      </c>
      <c r="W867" s="173"/>
      <c r="Y867" s="220"/>
      <c r="AA867" s="206">
        <f>IFERROR(H867*7.5/E867/7,"")</f>
        <v>5.6607142857142865</v>
      </c>
      <c r="AB867" s="344" t="s">
        <v>898</v>
      </c>
      <c r="AC867" s="345"/>
      <c r="AD867" s="315" t="s">
        <v>899</v>
      </c>
      <c r="AE867" s="316"/>
      <c r="AF867" s="316"/>
      <c r="AG867" s="317"/>
      <c r="AH867"/>
      <c r="AI867"/>
    </row>
    <row r="868" spans="1:35" ht="16.5" customHeight="1" ns3:dyDescent="0.3">
      <c r="A868" s="61" t="s">
        <v>736</v>
      </c>
      <c r="B868" s="11">
        <f>ROUNDUP(HLOOKUP(A868,'야채 계산기'!$2:$3,2,0),0)</f>
        <v>2020</v>
      </c>
      <c r="C868" s="62">
        <v>31.36</v>
      </c>
      <c r="D868" s="166"/>
      <c r="E868" s="4"/>
      <c r="F868" s="3"/>
      <c r="G868" s="5"/>
      <c r="H868" s="6"/>
      <c r="I868" s="34">
        <f>IFERROR((S868*E868),"")</f>
        <v>0</v>
      </c>
      <c r="J868" s="78" t="str">
        <f>IFERROR(VLOOKUP(C868,[2]Sheet1!$D:$J,7,0),"")</f>
        <v/>
      </c>
      <c r="K868" s="80" t="str">
        <f>IFERROR((I868+J868),"")</f>
        <v/>
      </c>
      <c r="L868" s="7">
        <f>IFERROR((G868*H868),"")</f>
        <v>0</v>
      </c>
      <c r="M868" s="8" t="str">
        <f>IFERROR(K868-L868,"")</f>
        <v/>
      </c>
      <c r="N868" s="57" t="str">
        <f t="shared" ref="N868" si="1385">IFERROR((K868/H868),"")</f>
        <v/>
      </c>
      <c r="O868" s="9"/>
      <c r="P868" s="10"/>
      <c r="Q868" s="10"/>
      <c r="R868" s="10"/>
      <c r="S868" s="41">
        <f>SUM(Y868,T868:X868)</f>
        <v>0</v>
      </c>
      <c r="W868" s="190"/>
      <c r="Y868" s="42"/>
      <c r="AA868" s="206" t="str">
        <f>IFERROR(H868*7.5/E868/7,"")</f>
        <v/>
      </c>
      <c r="AB868" s="344" t="s">
        <v>900</v>
      </c>
      <c r="AC868" s="345"/>
      <c r="AD868" s="318">
        <f>SUM(AH872:AH904)</f>
        <v>12</v>
      </c>
      <c r="AE868" s="316"/>
      <c r="AF868" s="316"/>
      <c r="AG868" s="316"/>
      <c r="AH868" s="319"/>
      <c r="AI868" s="320"/>
    </row>
    <row r="869" spans="1:35" ns3:dyDescent="0.3">
      <c r="A869" s="60"/>
      <c r="B869" s="11"/>
      <c r="C869" s="164" t="s">
        <v>740</v>
      </c>
      <c r="D869" s="166">
        <f>IFERROR((F869/E869),"")</f>
        <v>40.6875</v>
      </c>
      <c r="E869" s="4">
        <v>8</v>
      </c>
      <c r="F869" s="3">
        <f>IFERROR((L869-K869),"")</f>
        <v>325.5</v>
      </c>
      <c r="G869" s="5">
        <f>G867</f>
        <v>7.5</v>
      </c>
      <c r="H869" s="6">
        <f>ROUNDUP(SUMPRODUCT(B870,C870)/20,1)</f>
        <v>101</v>
      </c>
      <c r="I869" s="34">
        <f t="shared" si="1379"/>
        <v>288</v>
      </c>
      <c r="J869" s="78">
        <f>IFERROR(VLOOKUP(C869,[2]Sheet1!$D:$J,7,0),"")</f>
        <v>144</v>
      </c>
      <c r="K869" s="80">
        <f t="shared" si="1380"/>
        <v>432</v>
      </c>
      <c r="L869" s="7">
        <f t="shared" si="1381"/>
        <v>757.5</v>
      </c>
      <c r="M869" s="8">
        <f t="shared" si="1382"/>
        <v>-325.5</v>
      </c>
      <c r="N869" s="57">
        <f t="shared" si="1383"/>
        <v>4.2772277227722775</v>
      </c>
      <c r="O869" s="9"/>
      <c r="P869" s="10">
        <v>10</v>
      </c>
      <c r="Q869" s="10">
        <v>7297</v>
      </c>
      <c r="R869" s="10">
        <f>O869*P869*Q869</f>
        <v>0</v>
      </c>
      <c r="S869" s="41">
        <f t="shared" si="1287"/>
        <v>36</v>
      </c>
      <c r="U869" s="183">
        <v>36</v>
      </c>
      <c r="W869" s="173"/>
      <c r="Y869" s="220"/>
      <c r="AA869" s="206">
        <f t="shared" si="1305"/>
        <v>13.526785714285714</v>
      </c>
      <c r="AB869" s="346" t="s">
        <v>901</v>
      </c>
      <c r="AC869" s="345"/>
      <c r="AD869" s="321">
        <v>46321</v>
      </c>
      <c r="AE869" s="316"/>
      <c r="AF869" s="316"/>
      <c r="AG869" s="316"/>
      <c r="AH869" s="319"/>
      <c r="AI869" s="320"/>
    </row>
    <row r="870" spans="1:35" ht="17.25" customHeight="1" thickBot="1" ns3:dyDescent="0.35">
      <c r="A870" s="60" t="s">
        <v>731</v>
      </c>
      <c r="B870" s="11">
        <f>ROUNDUP(HLOOKUP(A870,'야채 계산기'!$2:$3,2,0),0)</f>
        <v>2020</v>
      </c>
      <c r="C870" s="182">
        <v>1</v>
      </c>
      <c r="D870" s="166"/>
      <c r="E870" s="4"/>
      <c r="F870" s="3"/>
      <c r="G870" s="5"/>
      <c r="H870" s="6"/>
      <c r="I870" s="34">
        <f t="shared" ref="I870" si="1386">IFERROR((S870*E870),"")</f>
        <v>0</v>
      </c>
      <c r="J870" s="78" t="str">
        <f>IFERROR(VLOOKUP(C870,[2]Sheet1!$D:$J,7,0),"")</f>
        <v/>
      </c>
      <c r="K870" s="80" t="str">
        <f t="shared" ref="K870" si="1387">IFERROR((I870+J870),"")</f>
        <v/>
      </c>
      <c r="L870" s="7">
        <f t="shared" ref="L870" si="1388">IFERROR((G870*H870),"")</f>
        <v>0</v>
      </c>
      <c r="M870" s="8" t="str">
        <f t="shared" ref="M870" si="1389">IFERROR(K870-L870,"")</f>
        <v/>
      </c>
      <c r="N870" s="57" t="str">
        <f t="shared" si="1383"/>
        <v/>
      </c>
      <c r="O870" s="9"/>
      <c r="P870" s="10"/>
      <c r="Q870" s="10"/>
      <c r="R870" s="10"/>
      <c r="S870" s="41">
        <f t="shared" si="1287"/>
        <v>0</v>
      </c>
      <c r="Y870" s="42"/>
      <c r="AA870" s="206" t="str">
        <f t="shared" si="1305"/>
        <v/>
      </c>
      <c r="AB870" s="322"/>
      <c r="AC870" s="323"/>
      <c r="AD870" s="323"/>
      <c r="AE870" s="324"/>
      <c r="AF870" s="324"/>
      <c r="AG870" s="324"/>
      <c r="AH870" s="323"/>
      <c r="AI870" s="325" t="s">
        <v>902</v>
      </c>
    </row>
    <row r="871" spans="1:35" ht="33" ns3:dyDescent="0.3">
      <c r="A871" s="60"/>
      <c r="B871" s="11"/>
      <c r="C871" s="62" t="s">
        <v>741</v>
      </c>
      <c r="D871" s="166">
        <f>IFERROR((F871/E871),"")</f>
        <v>32.75</v>
      </c>
      <c r="E871" s="4">
        <v>10</v>
      </c>
      <c r="F871" s="3">
        <f>IFERROR((L871-K871),"")</f>
        <v>327.5</v>
      </c>
      <c r="G871" s="5">
        <f>G869</f>
        <v>7.5</v>
      </c>
      <c r="H871" s="6">
        <f>ROUNDUP(SUMPRODUCT(B872,C872)/10,1)</f>
        <v>101</v>
      </c>
      <c r="I871" s="34">
        <f t="shared" ref="I871:I877" si="1390">IFERROR((S871*E871),"")</f>
        <v>220</v>
      </c>
      <c r="J871" s="78">
        <f>IFERROR(VLOOKUP(C871,[2]Sheet1!$D:$J,7,0),"")</f>
        <v>210</v>
      </c>
      <c r="K871" s="80">
        <f t="shared" ref="K871:K876" si="1391">IFERROR((I871+J871),"")</f>
        <v>430</v>
      </c>
      <c r="L871" s="7">
        <f t="shared" ref="L871:L877" si="1392">IFERROR((G871*H871),"")</f>
        <v>757.5</v>
      </c>
      <c r="M871" s="8">
        <f t="shared" ref="M871:M877" si="1393">IFERROR(K871-L871,"")</f>
        <v>-327.5</v>
      </c>
      <c r="N871" s="57">
        <f t="shared" si="1383"/>
        <v>4.2574257425742577</v>
      </c>
      <c r="O871" s="9"/>
      <c r="P871" s="10">
        <v>10</v>
      </c>
      <c r="Q871" s="10">
        <v>10771</v>
      </c>
      <c r="R871" s="10">
        <f>O871*P871*Q871</f>
        <v>0</v>
      </c>
      <c r="S871" s="41">
        <f t="shared" ref="S871:S874" si="1394">SUM(Y871,T871:X871)</f>
        <v>22</v>
      </c>
      <c r="U871" s="183">
        <v>22</v>
      </c>
      <c r="W871" s="173"/>
      <c r="Y871" s="220"/>
      <c r="AA871" s="206">
        <f t="shared" ref="AA871:AA874" si="1395">IFERROR(H871*7.5/E871/7,"")</f>
        <v>10.821428571428571</v>
      </c>
      <c r="AB871" s="326" t="s">
        <v>903</v>
      </c>
      <c r="AC871" s="327" t="s">
        <v>904</v>
      </c>
      <c r="AD871" s="326" t="s">
        <v>905</v>
      </c>
      <c r="AE871" s="328" t="s">
        <v>906</v>
      </c>
      <c r="AF871" s="329" t="s">
        <v>907</v>
      </c>
      <c r="AG871" s="330" t="s">
        <v>908</v>
      </c>
      <c r="AH871" s="331" t="s">
        <v>909</v>
      </c>
      <c r="AI871" s="332" t="s">
        <v>910</v>
      </c>
    </row>
    <row r="872" spans="1:35" ht="17.25" customHeight="1" ns3:dyDescent="0.3">
      <c r="A872" s="60" t="s">
        <v>731</v>
      </c>
      <c r="B872" s="11">
        <f>ROUNDUP(HLOOKUP(A872,'야채 계산기'!$2:$3,2,0),0)</f>
        <v>2020</v>
      </c>
      <c r="C872" s="164">
        <v>0.5</v>
      </c>
      <c r="D872" s="166"/>
      <c r="E872" s="4"/>
      <c r="F872" s="3"/>
      <c r="G872" s="5"/>
      <c r="H872" s="6"/>
      <c r="I872" s="34">
        <f t="shared" si="1390"/>
        <v>0</v>
      </c>
      <c r="J872" s="78" t="str">
        <f>IFERROR(VLOOKUP(C872,[2]Sheet1!$D:$J,7,0),"")</f>
        <v/>
      </c>
      <c r="K872" s="80" t="str">
        <f t="shared" si="1391"/>
        <v/>
      </c>
      <c r="L872" s="7">
        <f t="shared" si="1392"/>
        <v>0</v>
      </c>
      <c r="M872" s="8" t="str">
        <f t="shared" si="1393"/>
        <v/>
      </c>
      <c r="N872" s="57" t="str">
        <f t="shared" si="1383"/>
        <v/>
      </c>
      <c r="O872" s="9"/>
      <c r="P872" s="10"/>
      <c r="Q872" s="10"/>
      <c r="R872" s="10"/>
      <c r="S872" s="41">
        <f t="shared" si="1394"/>
        <v>0</v>
      </c>
      <c r="Y872" s="42"/>
      <c r="AA872" s="206" t="str">
        <f t="shared" si="1395"/>
        <v/>
      </c>
      <c r="AB872" s="333">
        <v>1</v>
      </c>
      <c r="AC872" s="334" t="s">
        <v>911</v>
      </c>
      <c r="AD872" s="315" t="s">
        <v>767</v>
      </c>
      <c r="AE872" s="335"/>
      <c r="AF872" s="335">
        <v>6</v>
      </c>
      <c r="AG872" s="335"/>
      <c r="AH872" s="336">
        <v>6</v>
      </c>
      <c r="AI872" s="337" t="s">
        <v>912</v>
      </c>
    </row>
    <row r="873" spans="1:35" ns3:dyDescent="0.3">
      <c r="A873" s="60"/>
      <c r="B873" s="11"/>
      <c r="C873" s="62" t="s">
        <v>742</v>
      </c>
      <c r="D873" s="166">
        <f>IFERROR((F873/E873),"")</f>
        <v>7.625</v>
      </c>
      <c r="E873" s="4">
        <v>4</v>
      </c>
      <c r="F873" s="3">
        <f>IFERROR((L873-K873),"")</f>
        <v>30.5</v>
      </c>
      <c r="G873" s="5">
        <f>G867</f>
        <v>7.5</v>
      </c>
      <c r="H873" s="6">
        <f>ROUNDUP(SUMPRODUCT(B874:B874,C874:C874)/3000,1)</f>
        <v>11</v>
      </c>
      <c r="I873" s="34">
        <f t="shared" ref="I873:I874" si="1396">IFERROR((S873*E873),"")</f>
        <v>24</v>
      </c>
      <c r="J873" s="78">
        <f>IFERROR(VLOOKUP(C873,[2]Sheet1!$D:$J,7,0),"")</f>
        <v>28</v>
      </c>
      <c r="K873" s="80">
        <f t="shared" ref="K873:K874" si="1397">IFERROR((I873+J873),"")</f>
        <v>52</v>
      </c>
      <c r="L873" s="7">
        <f t="shared" ref="L873:L874" si="1398">IFERROR((G873*H873),"")</f>
        <v>82.5</v>
      </c>
      <c r="M873" s="8">
        <f t="shared" ref="M873:M874" si="1399">IFERROR(K873-L873,"")</f>
        <v>-30.5</v>
      </c>
      <c r="N873" s="57">
        <f t="shared" si="1383"/>
        <v>4.7272727272727275</v>
      </c>
      <c r="O873" s="9"/>
      <c r="P873" s="10">
        <v>10</v>
      </c>
      <c r="Q873" s="10">
        <v>17639</v>
      </c>
      <c r="R873" s="10">
        <f>O873*P873*Q873</f>
        <v>0</v>
      </c>
      <c r="S873" s="41">
        <f t="shared" si="1394"/>
        <v>6</v>
      </c>
      <c r="U873" s="183">
        <v>6</v>
      </c>
      <c r="W873" s="173"/>
      <c r="Y873" s="220"/>
      <c r="AA873" s="206">
        <f t="shared" si="1395"/>
        <v>2.9464285714285716</v>
      </c>
      <c r="AB873" s="333">
        <v>2</v>
      </c>
      <c r="AC873" s="334">
        <v>3001000016</v>
      </c>
      <c r="AD873" s="315" t="s">
        <v>766</v>
      </c>
      <c r="AE873" s="335"/>
      <c r="AF873" s="335">
        <v>6</v>
      </c>
      <c r="AG873" s="335"/>
      <c r="AH873" s="336">
        <v>6</v>
      </c>
      <c r="AI873" s="337"/>
    </row>
    <row r="874" spans="1:35" ht="16.5" customHeight="1" ns3:dyDescent="0.3">
      <c r="A874" s="61" t="s">
        <v>727</v>
      </c>
      <c r="B874" s="11">
        <f>ROUNDUP(HLOOKUP(A874,'야채 계산기'!$2:$3,2,0),0)</f>
        <v>2020</v>
      </c>
      <c r="C874" s="62">
        <v>16.28</v>
      </c>
      <c r="D874" s="166"/>
      <c r="E874" s="4"/>
      <c r="F874" s="3"/>
      <c r="G874" s="5"/>
      <c r="H874" s="6"/>
      <c r="I874" s="34">
        <f t="shared" si="1396"/>
        <v>0</v>
      </c>
      <c r="J874" s="78" t="str">
        <f>IFERROR(VLOOKUP(C874,[2]Sheet1!$D:$J,7,0),"")</f>
        <v/>
      </c>
      <c r="K874" s="80" t="str">
        <f t="shared" si="1397"/>
        <v/>
      </c>
      <c r="L874" s="7">
        <f t="shared" si="1398"/>
        <v>0</v>
      </c>
      <c r="M874" s="8" t="str">
        <f t="shared" si="1399"/>
        <v/>
      </c>
      <c r="N874" s="57" t="str">
        <f t="shared" si="1383"/>
        <v/>
      </c>
      <c r="O874" s="9"/>
      <c r="P874" s="10"/>
      <c r="Q874" s="10"/>
      <c r="R874" s="10"/>
      <c r="S874" s="41">
        <f t="shared" si="1394"/>
        <v>0</v>
      </c>
      <c r="W874" s="190"/>
      <c r="Y874" s="42"/>
      <c r="AA874" s="206" t="str">
        <f t="shared" si="1395"/>
        <v/>
      </c>
      <c r="AB874" s="333">
        <v>3</v>
      </c>
      <c r="AC874" s="334"/>
      <c r="AD874" s="315"/>
      <c r="AE874" s="335"/>
      <c r="AF874" s="335"/>
      <c r="AG874" s="335"/>
      <c r="AH874" s="336"/>
      <c r="AI874" s="337"/>
    </row>
    <row r="875" spans="1:35" hidden="1" ns3:dyDescent="0.3">
      <c r="A875" s="13" t="s">
        <v>664</v>
      </c>
      <c r="B875" s="11" t="e">
        <f>ROUNDUP(HLOOKUP(A875,'야채 계산기'!$2:$3,2,0),0)</f>
        <v>#N/A</v>
      </c>
      <c r="C875" s="262" t="s">
        <v>517</v>
      </c>
      <c r="D875" s="166" t="str">
        <f>IFERROR((F875/E875),"")</f>
        <v/>
      </c>
      <c r="E875" s="4">
        <v>3</v>
      </c>
      <c r="F875" s="3" t="str">
        <f>IFERROR((L875-K875),"")</f>
        <v/>
      </c>
      <c r="G875" s="5">
        <f>G869</f>
        <v>7.5</v>
      </c>
      <c r="H875" s="6" t="e">
        <f>ROUNDUP(SUMPRODUCT(B876:B877,C876:C877)/3000,1)</f>
        <v>#N/A</v>
      </c>
      <c r="I875" s="34">
        <f t="shared" si="1390"/>
        <v>3</v>
      </c>
      <c r="J875" s="78" t="str">
        <f>IFERROR(VLOOKUP(C875,[2]Sheet1!$D:$J,7,0),"")</f>
        <v/>
      </c>
      <c r="K875" s="80" t="str">
        <f t="shared" si="1391"/>
        <v/>
      </c>
      <c r="L875" s="7" t="str">
        <f t="shared" si="1392"/>
        <v/>
      </c>
      <c r="M875" s="8" t="str">
        <f t="shared" si="1393"/>
        <v/>
      </c>
      <c r="N875" s="57" t="str">
        <f>IFERROR((K875/H875),"")</f>
        <v/>
      </c>
      <c r="O875" s="9"/>
      <c r="P875" s="10">
        <v>10</v>
      </c>
      <c r="Q875" s="10">
        <f>5000</f>
        <v>5000</v>
      </c>
      <c r="R875" s="10">
        <f>O875*P875*Q875</f>
        <v>0</v>
      </c>
      <c r="S875" s="41">
        <f>SUM(Y875,T875:X875)</f>
        <v>1</v>
      </c>
      <c r="U875" s="183"/>
      <c r="W875" s="173">
        <v>1</v>
      </c>
      <c r="Y875" s="220"/>
      <c r="AA875" s="206" t="str">
        <f>IFERROR(H875*7.5/E875/7,"")</f>
        <v/>
      </c>
    </row>
    <row r="876" spans="1:35" ht="17.25" hidden="1" customHeight="1" ns3:dyDescent="0.3">
      <c r="A876" s="273" t="s">
        <v>504</v>
      </c>
      <c r="B876" s="11" t="e">
        <f>ROUNDUP(HLOOKUP(A876,'야채 계산기'!$2:$3,2,0),0)</f>
        <v>#N/A</v>
      </c>
      <c r="C876" s="164">
        <v>25.51</v>
      </c>
      <c r="D876" s="166" t="str">
        <f>IFERROR((F876/E876),"")</f>
        <v/>
      </c>
      <c r="E876" s="4"/>
      <c r="F876" s="3" t="str">
        <f>IFERROR((L876-K876),"")</f>
        <v/>
      </c>
      <c r="G876" s="5"/>
      <c r="H876" s="6"/>
      <c r="I876" s="34">
        <f t="shared" si="1390"/>
        <v>0</v>
      </c>
      <c r="J876" s="78" t="str">
        <f>IFERROR(VLOOKUP(C876,[2]Sheet1!$D:$J,7,0),"")</f>
        <v/>
      </c>
      <c r="K876" s="80" t="str">
        <f t="shared" si="1391"/>
        <v/>
      </c>
      <c r="L876" s="7">
        <f t="shared" si="1392"/>
        <v>0</v>
      </c>
      <c r="M876" s="8" t="str">
        <f t="shared" si="1393"/>
        <v/>
      </c>
      <c r="N876" s="57" t="str">
        <f t="shared" ref="N876" si="1400">IFERROR((K876/H876),"")</f>
        <v/>
      </c>
      <c r="O876" s="9"/>
      <c r="P876" s="10"/>
      <c r="Q876" s="10"/>
      <c r="R876" s="10"/>
      <c r="S876" s="41">
        <f>SUM(Y876,T876:X876)</f>
        <v>0</v>
      </c>
      <c r="Y876" s="42"/>
      <c r="AA876" s="206" t="str">
        <f>IFERROR(H876*7.5/E876/7,"")</f>
        <v/>
      </c>
    </row>
    <row r="877" spans="1:35" ht="17.25" hidden="1" customHeight="1" ns3:dyDescent="0.3">
      <c r="A877" s="273" t="s">
        <v>557</v>
      </c>
      <c r="B877" s="11" t="e">
        <f>ROUNDUP(HLOOKUP(A877,'야채 계산기'!$2:$3,2,0),0)</f>
        <v>#N/A</v>
      </c>
      <c r="C877" s="164">
        <v>25.51</v>
      </c>
      <c r="D877" s="166" t="str">
        <f>IFERROR((F877/E877),"")</f>
        <v/>
      </c>
      <c r="E877" s="4"/>
      <c r="F877" s="3" t="str">
        <f>IFERROR((L877-K877),"")</f>
        <v/>
      </c>
      <c r="G877" s="5"/>
      <c r="H877" s="6"/>
      <c r="I877" s="34">
        <f t="shared" si="1390"/>
        <v>0</v>
      </c>
      <c r="J877" s="78" t="str">
        <f>IFERROR(VLOOKUP(C877,[2]Sheet1!$D:$J,7,0),"")</f>
        <v/>
      </c>
      <c r="K877" s="80" t="str">
        <f t="shared" ref="K877" si="1401">IFERROR((I877+J877),"")</f>
        <v/>
      </c>
      <c r="L877" s="7">
        <f t="shared" si="1392"/>
        <v>0</v>
      </c>
      <c r="M877" s="8" t="str">
        <f t="shared" si="1393"/>
        <v/>
      </c>
      <c r="N877" s="57" t="str">
        <f>IFERROR((K877/H877),"")</f>
        <v/>
      </c>
      <c r="O877" s="9"/>
      <c r="P877" s="10"/>
      <c r="Q877" s="10"/>
      <c r="R877" s="10"/>
      <c r="S877" s="41">
        <f>SUM(Y877,T877:X877)</f>
        <v>0</v>
      </c>
      <c r="Y877" s="42"/>
      <c r="AA877" s="206" t="str">
        <f>IFERROR(H877*7.5/E877/7,"")</f>
        <v/>
      </c>
    </row>
    <row r="878" spans="1:35" ht="16.5" customHeight="1" ns3:dyDescent="0.3">
      <c r="A878" s="151"/>
      <c r="B878" s="2"/>
      <c r="C878" s="62"/>
      <c r="D878" s="166" t="str">
        <f t="shared" ref="D878" si="1402">IFERROR((F878/E878),"")</f>
        <v/>
      </c>
      <c r="E878" s="4"/>
      <c r="F878" s="3" t="str">
        <f t="shared" ref="F878" si="1403">IFERROR((L878-K878),"")</f>
        <v/>
      </c>
      <c r="G878" s="5"/>
      <c r="H878" s="6"/>
      <c r="I878" s="34">
        <f t="shared" ref="I878" si="1404">IFERROR((S878*E878),"")</f>
        <v>0</v>
      </c>
      <c r="J878" s="78" t="str">
        <f>IFERROR(VLOOKUP(C878,[2]Sheet1!$D:$J,7,0),"")</f>
        <v/>
      </c>
      <c r="K878" s="80" t="str">
        <f>IFERROR((I878+J878),"")</f>
        <v/>
      </c>
      <c r="L878" s="7">
        <f t="shared" ref="L878" si="1405">IFERROR((G878*H878),"")</f>
        <v>0</v>
      </c>
      <c r="M878" s="8" t="str">
        <f t="shared" ref="M878" si="1406">IFERROR(K878-L878,"")</f>
        <v/>
      </c>
      <c r="N878" s="57"/>
      <c r="O878" s="9"/>
      <c r="P878" s="10"/>
      <c r="Q878" s="10"/>
      <c r="R878" s="10"/>
      <c r="S878" s="41">
        <f t="shared" si="1287"/>
        <v>0</v>
      </c>
      <c r="W878" s="190"/>
      <c r="Y878" s="42"/>
      <c r="AA878" s="206" t="str">
        <f t="shared" ref="AA878:AA925" si="1407">IFERROR(H878*7.5/E878/7,"")</f>
        <v/>
      </c>
    </row>
    <row r="879" spans="1:35" ht="16.5" customHeight="1" ns3:dyDescent="0.3">
      <c r="A879" s="15"/>
      <c r="B879" s="11"/>
      <c r="C879" s="62"/>
      <c r="D879" s="166" t="str">
        <f t="shared" ref="D879:D895" si="1408">IFERROR((F879/E879),"")</f>
        <v/>
      </c>
      <c r="E879" s="4"/>
      <c r="F879" s="3" t="str">
        <f t="shared" ref="F879:F894" si="1409">IFERROR((L879-K879),"")</f>
        <v/>
      </c>
      <c r="G879" s="5"/>
      <c r="H879" s="6"/>
      <c r="I879" s="34">
        <f t="shared" ref="I879:I887" si="1410">IFERROR((S879*E879),"")</f>
        <v>0</v>
      </c>
      <c r="J879" s="78" t="str">
        <f>IFERROR(VLOOKUP(C879,[2]Sheet1!$D:$J,7,0),"")</f>
        <v/>
      </c>
      <c r="K879" s="80" t="str">
        <f>IFERROR((I879+J879),"")</f>
        <v/>
      </c>
      <c r="L879" s="7">
        <f t="shared" ref="L879:L880" si="1411">IFERROR((G879*H879),"")</f>
        <v>0</v>
      </c>
      <c r="M879" s="8" t="str">
        <f t="shared" ref="M879:M881" si="1412">IFERROR(K879-L879,"")</f>
        <v/>
      </c>
      <c r="N879" s="57"/>
      <c r="O879" s="9"/>
      <c r="P879" s="10"/>
      <c r="Q879" s="10"/>
      <c r="R879" s="10"/>
      <c r="S879" s="41">
        <f t="shared" ref="S879:S887" si="1413">SUM(Y879,T879:X879)</f>
        <v>0</v>
      </c>
      <c r="W879" s="190"/>
      <c r="Y879" s="42"/>
      <c r="AA879" s="206" t="str">
        <f t="shared" ref="AA879:AA880" si="1414">IFERROR(H879*7.5/E879/7,"")</f>
        <v/>
      </c>
    </row>
    <row r="880" spans="1:35" ht="16.5" customHeight="1" ns3:dyDescent="0.3">
      <c r="A880" s="151"/>
      <c r="B880" s="2"/>
      <c r="C880" s="62"/>
      <c r="D880" s="166" t="str">
        <f t="shared" si="1408"/>
        <v/>
      </c>
      <c r="E880" s="4"/>
      <c r="F880" s="3" t="str">
        <f t="shared" si="1409"/>
        <v/>
      </c>
      <c r="G880" s="5"/>
      <c r="H880" s="6"/>
      <c r="I880" s="34">
        <f t="shared" si="1410"/>
        <v>0</v>
      </c>
      <c r="J880" s="78" t="str">
        <f>IFERROR(VLOOKUP(C880,[2]Sheet1!$D:$J,7,0),"")</f>
        <v/>
      </c>
      <c r="K880" s="80" t="str">
        <f>IFERROR((I880+J880),"")</f>
        <v/>
      </c>
      <c r="L880" s="7">
        <f t="shared" si="1411"/>
        <v>0</v>
      </c>
      <c r="M880" s="8" t="str">
        <f t="shared" si="1412"/>
        <v/>
      </c>
      <c r="N880" s="57"/>
      <c r="O880" s="9"/>
      <c r="P880" s="10"/>
      <c r="Q880" s="10"/>
      <c r="R880" s="10"/>
      <c r="S880" s="41">
        <f t="shared" si="1413"/>
        <v>0</v>
      </c>
      <c r="W880" s="190"/>
      <c r="Y880" s="42"/>
      <c r="AA880" s="206" t="str">
        <f t="shared" si="1414"/>
        <v/>
      </c>
    </row>
    <row r="881" spans="1:27" ns3:dyDescent="0.3">
      <c r="A881" s="303" t="s">
        <v>639</v>
      </c>
      <c r="B881" s="58" t="s">
        <v>44</v>
      </c>
      <c r="C881" s="196"/>
      <c r="D881" s="166" t="str">
        <f t="shared" si="1408"/>
        <v/>
      </c>
      <c r="E881" s="4"/>
      <c r="F881" s="3" t="str">
        <f t="shared" si="1409"/>
        <v/>
      </c>
      <c r="G881" s="5"/>
      <c r="H881" s="6"/>
      <c r="I881" s="34">
        <f t="shared" si="1410"/>
        <v>0</v>
      </c>
      <c r="J881" s="78" t="str">
        <f>IFERROR(VLOOKUP(C881,[2]Sheet1!$D:$J,7,0),"")</f>
        <v/>
      </c>
      <c r="K881" s="80" t="str">
        <f t="shared" ref="K881" si="1415">IFERROR((I881+J881),"")</f>
        <v/>
      </c>
      <c r="L881" s="7"/>
      <c r="M881" s="8" t="str">
        <f t="shared" si="1412"/>
        <v/>
      </c>
      <c r="N881" s="57" t="str">
        <f t="shared" ref="N881" si="1416">IFERROR((K881/H881),"")</f>
        <v/>
      </c>
      <c r="O881" s="9"/>
      <c r="P881" s="10"/>
      <c r="Q881" s="10"/>
      <c r="R881" s="10">
        <f t="shared" ref="R881" si="1417">O881*P881*Q881</f>
        <v>0</v>
      </c>
      <c r="S881" s="41">
        <f t="shared" si="1413"/>
        <v>0</v>
      </c>
      <c r="Y881" s="42"/>
    </row>
    <row r="882" spans="1:27" ht="16.5" hidden="1" customHeight="1" ns3:dyDescent="0.3">
      <c r="A882" s="15"/>
      <c r="B882" s="11"/>
      <c r="C882" s="262" t="s">
        <v>676</v>
      </c>
      <c r="D882" s="166" t="str">
        <f>IFERROR((F882/E882),"")</f>
        <v/>
      </c>
      <c r="E882" s="4">
        <v>5</v>
      </c>
      <c r="F882" s="3" t="str">
        <f>IFERROR((L882-K882),"")</f>
        <v/>
      </c>
      <c r="G882" s="5">
        <v>5.5</v>
      </c>
      <c r="H882" s="6" t="e">
        <f>ROUNDUP((B883*C883)/33,1)</f>
        <v>#N/A</v>
      </c>
      <c r="I882" s="34">
        <f>IFERROR((S882*E882),"")</f>
        <v>0</v>
      </c>
      <c r="J882" s="78" t="str">
        <f>IFERROR(VLOOKUP(C882,[2]Sheet1!$D:$J,7,0),"")</f>
        <v/>
      </c>
      <c r="K882" s="80" t="str">
        <f>IFERROR((I882+J882),"")</f>
        <v/>
      </c>
      <c r="L882" s="7" t="str">
        <f>IFERROR((G882*H882),"")</f>
        <v/>
      </c>
      <c r="M882" s="8" t="str">
        <f>IFERROR(K882-L882,"")</f>
        <v/>
      </c>
      <c r="N882" s="57" t="str">
        <f>IFERROR((K882/H882),"")</f>
        <v/>
      </c>
      <c r="O882" s="9"/>
      <c r="P882" s="10"/>
      <c r="Q882" s="10">
        <v>6570</v>
      </c>
      <c r="R882" s="10"/>
      <c r="S882" s="41">
        <f>SUM(Y882,T882:X882)</f>
        <v>0</v>
      </c>
      <c r="U882" s="173"/>
      <c r="W882" s="193"/>
      <c r="Y882" s="193"/>
      <c r="AA882" s="206" t="str">
        <f>IFERROR(H882*7.5/E882/7,"")</f>
        <v/>
      </c>
    </row>
    <row r="883" spans="1:27" ht="16.5" hidden="1" customHeight="1" ns3:dyDescent="0.3">
      <c r="A883" s="273" t="s">
        <v>671</v>
      </c>
      <c r="B883" s="11" t="e">
        <f>ROUNDUP(HLOOKUP(A883,'야채 계산기'!$2:$3,2,0),0)</f>
        <v>#N/A</v>
      </c>
      <c r="C883" s="62">
        <v>0.5</v>
      </c>
      <c r="D883" s="166" t="str">
        <f>IFERROR((F883/E883),"")</f>
        <v/>
      </c>
      <c r="E883" s="4"/>
      <c r="F883" s="3" t="str">
        <f>IFERROR((L883-K883),"")</f>
        <v/>
      </c>
      <c r="G883" s="5"/>
      <c r="H883" s="6"/>
      <c r="I883" s="34">
        <f>IFERROR((S883*E883),"")</f>
        <v>0</v>
      </c>
      <c r="J883" s="78" t="str">
        <f>IFERROR(VLOOKUP(C883,[2]Sheet1!$D:$J,7,0),"")</f>
        <v/>
      </c>
      <c r="K883" s="80" t="str">
        <f>IFERROR((I883+J883),"")</f>
        <v/>
      </c>
      <c r="L883" s="7">
        <f>IFERROR((G883*H883),"")</f>
        <v>0</v>
      </c>
      <c r="M883" s="8" t="str">
        <f>IFERROR(K883-L883,"")</f>
        <v/>
      </c>
      <c r="N883" s="57"/>
      <c r="O883" s="9"/>
      <c r="P883" s="10"/>
      <c r="Q883" s="10"/>
      <c r="R883" s="10"/>
      <c r="S883" s="41">
        <f>SUM(Y883,T883:X883)</f>
        <v>0</v>
      </c>
      <c r="W883" s="190"/>
      <c r="Y883" s="42"/>
      <c r="AA883" s="206" t="str">
        <f>IFERROR(H883*7.5/E883/7,"")</f>
        <v/>
      </c>
    </row>
    <row r="884" spans="1:27" ht="16.5" customHeight="1" ns3:dyDescent="0.3">
      <c r="A884" s="15"/>
      <c r="B884" s="11"/>
      <c r="C884" s="62" t="s">
        <v>642</v>
      </c>
      <c r="D884" s="166">
        <f t="shared" si="1408"/>
        <v>34.5</v>
      </c>
      <c r="E884" s="4">
        <v>5</v>
      </c>
      <c r="F884" s="3">
        <f t="shared" si="1409"/>
        <v>172.5</v>
      </c>
      <c r="G884" s="5">
        <v>7.5</v>
      </c>
      <c r="H884" s="6">
        <f>ROUNDUP((B885*C885)/33,1)</f>
        <v>44.6</v>
      </c>
      <c r="I884" s="34">
        <f t="shared" ref="I884" si="1418">IFERROR((S884*E884),"")</f>
        <v>80</v>
      </c>
      <c r="J884" s="78">
        <f>IFERROR(VLOOKUP(C884,[2]Sheet1!$D:$J,7,0),"")</f>
        <v>82</v>
      </c>
      <c r="K884" s="80">
        <f t="shared" ref="K884" si="1419">IFERROR((I884+J884),"")</f>
        <v>162</v>
      </c>
      <c r="L884" s="7">
        <f t="shared" ref="L884" si="1420">IFERROR((G884*H884),"")</f>
        <v>334.5</v>
      </c>
      <c r="M884" s="8">
        <f t="shared" ref="M884" si="1421">IFERROR(K884-L884,"")</f>
        <v>-172.5</v>
      </c>
      <c r="N884" s="57">
        <f t="shared" ref="N884:N890" si="1422">IFERROR((K884/H884),"")</f>
        <v>3.6322869955156949</v>
      </c>
      <c r="O884" s="9"/>
      <c r="P884" s="10"/>
      <c r="Q884" s="10">
        <v>5993</v>
      </c>
      <c r="R884" s="10"/>
      <c r="S884" s="41">
        <f t="shared" si="1413"/>
        <v>16</v>
      </c>
      <c r="U884" s="173">
        <v>16</v>
      </c>
      <c r="W884" s="193"/>
      <c r="Y884" s="220"/>
      <c r="AA884" s="206">
        <f t="shared" ref="AA884:AA887" si="1423">IFERROR(H884*7.5/E884/7,"")</f>
        <v>9.5571428571428587</v>
      </c>
    </row>
    <row r="885" spans="1:27" ht="16.5" customHeight="1" ns3:dyDescent="0.3">
      <c r="A885" s="60" t="s">
        <v>638</v>
      </c>
      <c r="B885" s="11">
        <f>ROUNDUP(HLOOKUP(A885,'야채 계산기'!$2:$3,2,0),0)</f>
        <v>1470</v>
      </c>
      <c r="C885" s="62">
        <v>1</v>
      </c>
      <c r="D885" s="166" t="str">
        <f t="shared" si="1408"/>
        <v/>
      </c>
      <c r="E885" s="4"/>
      <c r="F885" s="3" t="str">
        <f t="shared" si="1409"/>
        <v/>
      </c>
      <c r="G885" s="5"/>
      <c r="H885" s="6"/>
      <c r="I885" s="34">
        <f t="shared" si="1410"/>
        <v>0</v>
      </c>
      <c r="J885" s="78" t="str">
        <f>IFERROR(VLOOKUP(C885,[2]Sheet1!$D:$J,7,0),"")</f>
        <v/>
      </c>
      <c r="K885" s="80" t="str">
        <f t="shared" ref="K885:K895" si="1424">IFERROR((I885+J885),"")</f>
        <v/>
      </c>
      <c r="L885" s="7">
        <f t="shared" ref="L885:L887" si="1425">IFERROR((G885*H885),"")</f>
        <v>0</v>
      </c>
      <c r="M885" s="8" t="str">
        <f t="shared" ref="M885:M887" si="1426">IFERROR(K885-L885,"")</f>
        <v/>
      </c>
      <c r="N885" s="57" t="str">
        <f t="shared" si="1422"/>
        <v/>
      </c>
      <c r="O885" s="9"/>
      <c r="P885" s="10"/>
      <c r="Q885" s="10"/>
      <c r="R885" s="10"/>
      <c r="S885" s="41">
        <f t="shared" si="1413"/>
        <v>0</v>
      </c>
      <c r="W885" s="190"/>
      <c r="Y885" s="42"/>
      <c r="AA885" s="206" t="str">
        <f t="shared" si="1423"/>
        <v/>
      </c>
    </row>
    <row r="886" spans="1:27" ht="16.5" hidden="1" customHeight="1" ns3:dyDescent="0.3">
      <c r="A886" s="15"/>
      <c r="B886" s="11"/>
      <c r="C886" s="262" t="s">
        <v>675</v>
      </c>
      <c r="D886" s="166" t="str">
        <f t="shared" si="1408"/>
        <v/>
      </c>
      <c r="E886" s="4">
        <v>4</v>
      </c>
      <c r="F886" s="3" t="str">
        <f t="shared" si="1409"/>
        <v/>
      </c>
      <c r="G886" s="5">
        <f>G882</f>
        <v>5.5</v>
      </c>
      <c r="H886" s="6" t="e">
        <f>ROUNDUP((B887*C887)/46,1)</f>
        <v>#N/A</v>
      </c>
      <c r="I886" s="34">
        <f t="shared" si="1410"/>
        <v>0</v>
      </c>
      <c r="J886" s="78" t="str">
        <f>IFERROR(VLOOKUP(C886,[2]Sheet1!$D:$J,7,0),"")</f>
        <v/>
      </c>
      <c r="K886" s="80" t="str">
        <f t="shared" si="1424"/>
        <v/>
      </c>
      <c r="L886" s="7" t="str">
        <f t="shared" si="1425"/>
        <v/>
      </c>
      <c r="M886" s="8" t="str">
        <f t="shared" si="1426"/>
        <v/>
      </c>
      <c r="N886" s="57" t="str">
        <f t="shared" si="1422"/>
        <v/>
      </c>
      <c r="O886" s="9"/>
      <c r="P886" s="10"/>
      <c r="Q886" s="10">
        <v>12070</v>
      </c>
      <c r="R886" s="10"/>
      <c r="S886" s="41">
        <f t="shared" si="1413"/>
        <v>0</v>
      </c>
      <c r="U886" s="173"/>
      <c r="W886" s="193"/>
      <c r="Y886" s="220"/>
      <c r="AA886" s="206" t="str">
        <f t="shared" si="1423"/>
        <v/>
      </c>
    </row>
    <row r="887" spans="1:27" ht="16.5" hidden="1" customHeight="1" ns3:dyDescent="0.3">
      <c r="A887" s="273" t="s">
        <v>671</v>
      </c>
      <c r="B887" s="11" t="e">
        <f>ROUNDUP(HLOOKUP(A887,'야채 계산기'!$2:$3,2,0),0)</f>
        <v>#N/A</v>
      </c>
      <c r="C887" s="62">
        <v>1</v>
      </c>
      <c r="D887" s="166" t="str">
        <f t="shared" si="1408"/>
        <v/>
      </c>
      <c r="E887" s="4"/>
      <c r="F887" s="3" t="str">
        <f t="shared" si="1409"/>
        <v/>
      </c>
      <c r="G887" s="5"/>
      <c r="H887" s="6"/>
      <c r="I887" s="34">
        <f t="shared" si="1410"/>
        <v>0</v>
      </c>
      <c r="J887" s="78" t="str">
        <f>IFERROR(VLOOKUP(C887,[2]Sheet1!$D:$J,7,0),"")</f>
        <v/>
      </c>
      <c r="K887" s="80" t="str">
        <f t="shared" si="1424"/>
        <v/>
      </c>
      <c r="L887" s="7">
        <f t="shared" si="1425"/>
        <v>0</v>
      </c>
      <c r="M887" s="8" t="str">
        <f t="shared" si="1426"/>
        <v/>
      </c>
      <c r="N887" s="57"/>
      <c r="O887" s="9"/>
      <c r="P887" s="10"/>
      <c r="Q887" s="10"/>
      <c r="R887" s="10"/>
      <c r="S887" s="41">
        <f t="shared" si="1413"/>
        <v>0</v>
      </c>
      <c r="W887" s="190"/>
      <c r="Y887" s="42"/>
      <c r="AA887" s="206" t="str">
        <f t="shared" si="1423"/>
        <v/>
      </c>
    </row>
    <row r="888" spans="1:27" ht="16.5" hidden="1" customHeight="1" ns3:dyDescent="0.3">
      <c r="A888" s="15"/>
      <c r="B888" s="273" t="s">
        <v>648</v>
      </c>
      <c r="C888" s="289" t="s">
        <v>663</v>
      </c>
      <c r="D888" s="166" t="str">
        <f t="shared" ref="D888:D889" si="1427">IFERROR((F888/E888),"")</f>
        <v/>
      </c>
      <c r="E888" s="4">
        <v>6</v>
      </c>
      <c r="F888" s="3" t="str">
        <f t="shared" ref="F888:F889" si="1428">IFERROR((L888-K888),"")</f>
        <v/>
      </c>
      <c r="G888" s="5">
        <v>3.5</v>
      </c>
      <c r="H888" s="6">
        <f>ROUNDUP((B889*C889)/43,1)</f>
        <v>9.5</v>
      </c>
      <c r="I888" s="34">
        <f t="shared" ref="I888:I889" si="1429">IFERROR((S888*E888),"")</f>
        <v>0</v>
      </c>
      <c r="J888" s="78" t="str">
        <f>IFERROR(VLOOKUP(C888,[2]Sheet1!$D:$J,7,0),"")</f>
        <v/>
      </c>
      <c r="K888" s="80" t="str">
        <f t="shared" ref="K888:K889" si="1430">IFERROR((I888+J888),"")</f>
        <v/>
      </c>
      <c r="L888" s="7">
        <f t="shared" ref="L888:L889" si="1431">IFERROR((G888*H888),"")</f>
        <v>33.25</v>
      </c>
      <c r="M888" s="8" t="str">
        <f t="shared" ref="M888:M889" si="1432">IFERROR(K888-L888,"")</f>
        <v/>
      </c>
      <c r="N888" s="57" t="str">
        <f t="shared" si="1422"/>
        <v/>
      </c>
      <c r="O888" s="9"/>
      <c r="P888" s="10"/>
      <c r="Q888" s="10">
        <v>10834</v>
      </c>
      <c r="R888" s="10"/>
      <c r="S888" s="41">
        <f t="shared" ref="S888:S889" si="1433">SUM(Y888,T888:X888)</f>
        <v>0</v>
      </c>
      <c r="U888" s="173"/>
      <c r="W888" s="193"/>
      <c r="Y888" s="220"/>
      <c r="AA888" s="206">
        <f t="shared" ref="AA888:AA889" si="1434">IFERROR(H888*7.5/E888/7,"")</f>
        <v>1.6964285714285714</v>
      </c>
    </row>
    <row r="889" spans="1:27" ht="16.5" hidden="1" customHeight="1" ns3:dyDescent="0.3">
      <c r="A889" s="290" t="s">
        <v>570</v>
      </c>
      <c r="B889" s="11">
        <f>ROUNDUP(HLOOKUP(A889,'야채 계산기'!$2:$3,2,0),0)</f>
        <v>810</v>
      </c>
      <c r="C889" s="62">
        <v>0.5</v>
      </c>
      <c r="D889" s="166" t="str">
        <f t="shared" si="1427"/>
        <v/>
      </c>
      <c r="E889" s="4"/>
      <c r="F889" s="3" t="str">
        <f t="shared" si="1428"/>
        <v/>
      </c>
      <c r="G889" s="5"/>
      <c r="H889" s="6"/>
      <c r="I889" s="34">
        <f t="shared" si="1429"/>
        <v>0</v>
      </c>
      <c r="J889" s="78" t="str">
        <f>IFERROR(VLOOKUP(C889,[2]Sheet1!$D:$J,7,0),"")</f>
        <v/>
      </c>
      <c r="K889" s="80" t="str">
        <f t="shared" si="1430"/>
        <v/>
      </c>
      <c r="L889" s="7">
        <f t="shared" si="1431"/>
        <v>0</v>
      </c>
      <c r="M889" s="8" t="str">
        <f t="shared" si="1432"/>
        <v/>
      </c>
      <c r="N889" s="57" t="str">
        <f t="shared" si="1422"/>
        <v/>
      </c>
      <c r="O889" s="9"/>
      <c r="P889" s="10"/>
      <c r="Q889" s="10"/>
      <c r="R889" s="10"/>
      <c r="S889" s="41">
        <f t="shared" si="1433"/>
        <v>0</v>
      </c>
      <c r="W889" s="190"/>
      <c r="Y889" s="42"/>
      <c r="AA889" s="206" t="str">
        <f t="shared" si="1434"/>
        <v/>
      </c>
    </row>
    <row r="890" spans="1:27" ht="16.5" customHeight="1" ns3:dyDescent="0.3">
      <c r="A890" s="15"/>
      <c r="B890" s="273" t="s">
        <v>648</v>
      </c>
      <c r="C890" s="289" t="s">
        <v>662</v>
      </c>
      <c r="D890" s="166" t="str">
        <f t="shared" ref="D890:D891" si="1435">IFERROR((F890/E890),"")</f>
        <v/>
      </c>
      <c r="E890" s="4">
        <v>6</v>
      </c>
      <c r="F890" s="3" t="str">
        <f t="shared" ref="F890:F891" si="1436">IFERROR((L890-K890),"")</f>
        <v/>
      </c>
      <c r="G890" s="5">
        <f>G884</f>
        <v>7.5</v>
      </c>
      <c r="H890" s="6">
        <f>ROUNDUP((B891*C891)/47,1)</f>
        <v>24.900000000000002</v>
      </c>
      <c r="I890" s="34">
        <f t="shared" ref="I890:I891" si="1437">IFERROR((S890*E890),"")</f>
        <v>144</v>
      </c>
      <c r="J890" s="78" t="str">
        <f>IFERROR(VLOOKUP(C890,[2]Sheet1!$D:$J,7,0),"")</f>
        <v/>
      </c>
      <c r="K890" s="80" t="str">
        <f t="shared" ref="K890:K891" si="1438">IFERROR((I890+J890),"")</f>
        <v/>
      </c>
      <c r="L890" s="7">
        <f t="shared" ref="L890:L891" si="1439">IFERROR((G890*H890),"")</f>
        <v>186.75000000000003</v>
      </c>
      <c r="M890" s="8" t="str">
        <f t="shared" ref="M890:M891" si="1440">IFERROR(K890-L890,"")</f>
        <v/>
      </c>
      <c r="N890" s="57" t="str">
        <f t="shared" si="1422"/>
        <v/>
      </c>
      <c r="O890" s="9"/>
      <c r="P890" s="10"/>
      <c r="Q890" s="10">
        <v>8270</v>
      </c>
      <c r="R890" s="10"/>
      <c r="S890" s="41">
        <f t="shared" ref="S890:S891" si="1441">SUM(Y890,T890:X890)</f>
        <v>24</v>
      </c>
      <c r="U890" s="173">
        <v>10</v>
      </c>
      <c r="V890" s="1">
        <v>14</v>
      </c>
      <c r="W890" s="193"/>
      <c r="Y890" s="220"/>
      <c r="AA890" s="206">
        <f t="shared" ref="AA890:AA891" si="1442">IFERROR(H890*7.5/E890/7,"")</f>
        <v>4.4464285714285721</v>
      </c>
    </row>
    <row r="891" spans="1:27" ht="16.5" customHeight="1" ns3:dyDescent="0.3">
      <c r="A891" s="60" t="s">
        <v>624</v>
      </c>
      <c r="B891" s="11">
        <f>ROUNDUP(HLOOKUP(A891,'야채 계산기'!$2:$3,2,0),0)</f>
        <v>1170</v>
      </c>
      <c r="C891" s="62">
        <v>1</v>
      </c>
      <c r="D891" s="166" t="str">
        <f t="shared" si="1435"/>
        <v/>
      </c>
      <c r="E891" s="4"/>
      <c r="F891" s="3" t="str">
        <f t="shared" si="1436"/>
        <v/>
      </c>
      <c r="G891" s="5"/>
      <c r="H891" s="6"/>
      <c r="I891" s="34">
        <f t="shared" si="1437"/>
        <v>0</v>
      </c>
      <c r="J891" s="78" t="str">
        <f>IFERROR(VLOOKUP(C891,[2]Sheet1!$D:$J,7,0),"")</f>
        <v/>
      </c>
      <c r="K891" s="80" t="str">
        <f t="shared" si="1438"/>
        <v/>
      </c>
      <c r="L891" s="7">
        <f t="shared" si="1439"/>
        <v>0</v>
      </c>
      <c r="M891" s="8" t="str">
        <f t="shared" si="1440"/>
        <v/>
      </c>
      <c r="N891" s="57"/>
      <c r="O891" s="9"/>
      <c r="P891" s="10"/>
      <c r="Q891" s="10"/>
      <c r="R891" s="10"/>
      <c r="S891" s="41">
        <f t="shared" si="1441"/>
        <v>0</v>
      </c>
      <c r="W891" s="190"/>
      <c r="Y891" s="42"/>
      <c r="AA891" s="206" t="str">
        <f t="shared" si="1442"/>
        <v/>
      </c>
    </row>
    <row r="892" spans="1:27" hidden="1" ns3:dyDescent="0.3">
      <c r="A892" s="60"/>
      <c r="B892" s="11"/>
      <c r="C892" s="274" t="s">
        <v>640</v>
      </c>
      <c r="D892" s="166" t="str">
        <f t="shared" si="1408"/>
        <v/>
      </c>
      <c r="E892" s="4">
        <v>6</v>
      </c>
      <c r="F892" s="3" t="str">
        <f t="shared" si="1409"/>
        <v/>
      </c>
      <c r="G892" s="5">
        <v>5.5</v>
      </c>
      <c r="H892" s="6" t="e">
        <f>ROUNDUP((B893*C893)/1000,1)</f>
        <v>#N/A</v>
      </c>
      <c r="I892" s="34">
        <f>IFERROR((S892*E892),"")</f>
        <v>0</v>
      </c>
      <c r="J892" s="78" t="str">
        <f>IFERROR(VLOOKUP(C892,[2]Sheet1!$D:$J,7,0),"")</f>
        <v/>
      </c>
      <c r="K892" s="80" t="str">
        <f t="shared" si="1424"/>
        <v/>
      </c>
      <c r="L892" s="7" t="str">
        <f t="shared" ref="L892" si="1443">IFERROR((G892*H892),"")</f>
        <v/>
      </c>
      <c r="M892" s="8" t="str">
        <f>IFERROR(K892-L892,"")</f>
        <v/>
      </c>
      <c r="N892" s="57" t="str">
        <f>IFERROR((K892/H892),"")</f>
        <v/>
      </c>
      <c r="O892" s="9"/>
      <c r="P892" s="10">
        <v>4</v>
      </c>
      <c r="Q892" s="10">
        <f t="shared" ref="Q892" si="1444">44640/4</f>
        <v>11160</v>
      </c>
      <c r="R892" s="10">
        <f>O892*P892*Q892</f>
        <v>0</v>
      </c>
      <c r="S892" s="41">
        <f>SUM(Y892,T892:X892)</f>
        <v>0</v>
      </c>
      <c r="Y892" s="42"/>
    </row>
    <row r="893" spans="1:27" ht="15.75" hidden="1" customHeight="1" ns3:dyDescent="0.3">
      <c r="A893" s="273" t="s">
        <v>641</v>
      </c>
      <c r="B893" s="11" t="e">
        <f>ROUNDUP(HLOOKUP(A893,'야채 계산기'!$2:$3,2,0),0)</f>
        <v>#N/A</v>
      </c>
      <c r="C893" s="91">
        <v>17.91</v>
      </c>
      <c r="D893" s="166" t="str">
        <f t="shared" si="1408"/>
        <v/>
      </c>
      <c r="E893" s="4"/>
      <c r="F893" s="3" t="str">
        <f t="shared" si="1409"/>
        <v/>
      </c>
      <c r="G893" s="5"/>
      <c r="H893" s="6"/>
      <c r="I893" s="34">
        <f>IFERROR((S893*E893),"")</f>
        <v>0</v>
      </c>
      <c r="J893" s="78" t="str">
        <f>IFERROR(VLOOKUP(C893,[2]Sheet1!$D:$J,7,0),"")</f>
        <v/>
      </c>
      <c r="K893" s="80" t="str">
        <f t="shared" si="1424"/>
        <v/>
      </c>
      <c r="L893" s="7"/>
      <c r="M893" s="8"/>
      <c r="N893" s="57"/>
      <c r="O893" s="9"/>
      <c r="P893" s="10"/>
      <c r="Q893" s="10"/>
      <c r="R893" s="10"/>
      <c r="S893" s="41">
        <f>SUM(Y893,T893:X893)</f>
        <v>0</v>
      </c>
      <c r="Y893" s="42"/>
    </row>
    <row r="894" spans="1:27" ht="16.5" customHeight="1" ns3:dyDescent="0.3">
      <c r="A894" s="15"/>
      <c r="B894" s="11"/>
      <c r="C894" s="62"/>
      <c r="D894" s="166" t="str">
        <f t="shared" si="1408"/>
        <v/>
      </c>
      <c r="E894" s="4"/>
      <c r="F894" s="3" t="str">
        <f t="shared" si="1409"/>
        <v/>
      </c>
      <c r="G894" s="5"/>
      <c r="H894" s="6"/>
      <c r="I894" s="34">
        <f t="shared" si="1379"/>
        <v>0</v>
      </c>
      <c r="J894" s="78" t="str">
        <f>IFERROR(VLOOKUP(C894,[2]Sheet1!$D:$J,7,0),"")</f>
        <v/>
      </c>
      <c r="K894" s="80" t="str">
        <f t="shared" si="1424"/>
        <v/>
      </c>
      <c r="L894" s="7">
        <f t="shared" si="1381"/>
        <v>0</v>
      </c>
      <c r="M894" s="8" t="str">
        <f t="shared" si="1382"/>
        <v/>
      </c>
      <c r="N894" s="57"/>
      <c r="O894" s="9"/>
      <c r="P894" s="10"/>
      <c r="Q894" s="10"/>
      <c r="R894" s="10"/>
      <c r="S894" s="41">
        <f t="shared" si="1287"/>
        <v>0</v>
      </c>
      <c r="W894" s="190"/>
      <c r="Y894" s="42"/>
      <c r="AA894" s="206" t="str">
        <f t="shared" si="1407"/>
        <v/>
      </c>
    </row>
    <row r="895" spans="1:27" ht="16.5" customHeight="1" ns3:dyDescent="0.3">
      <c r="A895" s="151"/>
      <c r="B895" s="2"/>
      <c r="C895" s="62"/>
      <c r="D895" s="166" t="str">
        <f t="shared" si="1408"/>
        <v/>
      </c>
      <c r="E895" s="4"/>
      <c r="F895" s="3"/>
      <c r="G895" s="5"/>
      <c r="H895" s="6"/>
      <c r="I895" s="34">
        <f t="shared" si="1379"/>
        <v>0</v>
      </c>
      <c r="J895" s="78" t="str">
        <f>IFERROR(VLOOKUP(C895,[2]Sheet1!$D:$J,7,0),"")</f>
        <v/>
      </c>
      <c r="K895" s="80" t="str">
        <f t="shared" si="1424"/>
        <v/>
      </c>
      <c r="L895" s="7">
        <f t="shared" si="1381"/>
        <v>0</v>
      </c>
      <c r="M895" s="8" t="str">
        <f t="shared" si="1382"/>
        <v/>
      </c>
      <c r="N895" s="57"/>
      <c r="O895" s="9"/>
      <c r="P895" s="10"/>
      <c r="Q895" s="10"/>
      <c r="R895" s="10"/>
      <c r="S895" s="41">
        <f t="shared" si="1287"/>
        <v>0</v>
      </c>
      <c r="W895" s="190"/>
      <c r="Y895" s="42"/>
      <c r="AA895" s="206" t="str">
        <f t="shared" si="1407"/>
        <v/>
      </c>
    </row>
    <row r="896" spans="1:27" ns3:dyDescent="0.3">
      <c r="A896" s="212" t="s">
        <v>383</v>
      </c>
      <c r="B896" s="58" t="s">
        <v>384</v>
      </c>
      <c r="C896" s="152">
        <v>8</v>
      </c>
      <c r="D896" s="166"/>
      <c r="E896" s="4"/>
      <c r="F896" s="3"/>
      <c r="G896" s="5"/>
      <c r="H896" s="6"/>
      <c r="I896" s="34">
        <f>IFERROR((S896*E896),"")</f>
        <v>0</v>
      </c>
      <c r="J896" s="78" t="str">
        <f>IFERROR(VLOOKUP(C896,[2]Sheet1!$D:$J,7,0),"")</f>
        <v/>
      </c>
      <c r="K896" s="80" t="str">
        <f t="shared" ref="K896:K902" si="1445">IFERROR((I896+J896),"")</f>
        <v/>
      </c>
      <c r="L896" s="7">
        <f>IFERROR((G896*H896),"")</f>
        <v>0</v>
      </c>
      <c r="M896" s="8" t="str">
        <f>IFERROR(K896-L896,"")</f>
        <v/>
      </c>
      <c r="N896" s="57" t="str">
        <f>IFERROR((K896/H896),"")</f>
        <v/>
      </c>
      <c r="O896" s="9"/>
      <c r="P896" s="10"/>
      <c r="Q896" s="10"/>
      <c r="R896" s="10">
        <f>O896*P896*Q896</f>
        <v>0</v>
      </c>
      <c r="S896" s="41">
        <f t="shared" si="1287"/>
        <v>0</v>
      </c>
      <c r="W896" s="190"/>
      <c r="Y896" s="42"/>
      <c r="Z896" s="1"/>
      <c r="AA896" s="206" t="str">
        <f t="shared" si="1407"/>
        <v/>
      </c>
    </row>
    <row r="897" spans="1:27" hidden="1" ns3:dyDescent="0.3">
      <c r="A897" s="61"/>
      <c r="B897" s="59"/>
      <c r="C897" s="262" t="s">
        <v>245</v>
      </c>
      <c r="D897" s="166" t="str">
        <f>IFERROR((F897/E897),"")</f>
        <v/>
      </c>
      <c r="E897" s="4">
        <v>5</v>
      </c>
      <c r="F897" s="3" t="str">
        <f>IFERROR((L897-K897),"")</f>
        <v/>
      </c>
      <c r="G897" s="5">
        <v>7</v>
      </c>
      <c r="H897" s="6" t="e">
        <f>ROUNDUP(SUMPRODUCT(B898:B898,C898:C898)/3000,1)</f>
        <v>#N/A</v>
      </c>
      <c r="I897" s="34">
        <f>IFERROR((S897*E897),"")</f>
        <v>0</v>
      </c>
      <c r="J897" s="78">
        <f>IFERROR(VLOOKUP(C897,[2]Sheet1!$D:$J,7,0),"")</f>
        <v>14</v>
      </c>
      <c r="K897" s="80">
        <f t="shared" si="1445"/>
        <v>14</v>
      </c>
      <c r="L897" s="7" t="str">
        <f>IFERROR((G897*H897),"")</f>
        <v/>
      </c>
      <c r="M897" s="8" t="str">
        <f>IFERROR(K897-L897,"")</f>
        <v/>
      </c>
      <c r="N897" s="57" t="str">
        <f>IFERROR((K897/H897),"")</f>
        <v/>
      </c>
      <c r="O897" s="9"/>
      <c r="P897" s="10">
        <v>6</v>
      </c>
      <c r="Q897" s="10">
        <v>8400</v>
      </c>
      <c r="R897" s="10">
        <f>O897*P897*Q897</f>
        <v>0</v>
      </c>
      <c r="S897" s="41">
        <f t="shared" si="1287"/>
        <v>0</v>
      </c>
      <c r="U897" s="244"/>
      <c r="W897" s="193"/>
      <c r="Y897" s="193"/>
      <c r="Z897" s="1"/>
      <c r="AA897" s="206" t="str">
        <f t="shared" si="1407"/>
        <v/>
      </c>
    </row>
    <row r="898" spans="1:27" hidden="1" ns3:dyDescent="0.3">
      <c r="A898" s="281" t="s">
        <v>562</v>
      </c>
      <c r="B898" s="11" t="e">
        <f>ROUNDUP(HLOOKUP(A898,'야채 계산기'!$2:$3,2,0)*1.03,0)</f>
        <v>#N/A</v>
      </c>
      <c r="C898" s="162">
        <f>10.42/3</f>
        <v>3.4733333333333332</v>
      </c>
      <c r="D898" s="166"/>
      <c r="E898" s="4"/>
      <c r="F898" s="3"/>
      <c r="G898" s="5"/>
      <c r="H898" s="6" t="s">
        <v>75</v>
      </c>
      <c r="I898" s="34">
        <f>IFERROR((S898*E898),"")</f>
        <v>0</v>
      </c>
      <c r="J898" s="78" t="str">
        <f>IFERROR(VLOOKUP(C898,[2]Sheet1!$D:$J,7,0),"")</f>
        <v/>
      </c>
      <c r="K898" s="80" t="str">
        <f t="shared" si="1445"/>
        <v/>
      </c>
      <c r="L898" s="7" t="str">
        <f>IFERROR((G898*H898),"")</f>
        <v/>
      </c>
      <c r="M898" s="8" t="str">
        <f>IFERROR(K898-L898,"")</f>
        <v/>
      </c>
      <c r="N898" s="57"/>
      <c r="O898" s="9"/>
      <c r="P898" s="10"/>
      <c r="Q898" s="10"/>
      <c r="R898" s="10"/>
      <c r="S898" s="41">
        <f t="shared" si="1287"/>
        <v>135000</v>
      </c>
      <c r="U898" s="225">
        <v>67500</v>
      </c>
      <c r="W898" s="225">
        <v>67500</v>
      </c>
      <c r="Y898" s="225"/>
      <c r="Z898" s="1"/>
      <c r="AA898" s="206" t="str">
        <f t="shared" si="1407"/>
        <v/>
      </c>
    </row>
    <row r="899" spans="1:27" hidden="1" ns3:dyDescent="0.3">
      <c r="A899" s="61"/>
      <c r="B899" s="59"/>
      <c r="C899" s="182" t="s">
        <v>279</v>
      </c>
      <c r="D899" s="166">
        <f>IFERROR((F899/E899),"")</f>
        <v>-1.2</v>
      </c>
      <c r="E899" s="4">
        <v>5</v>
      </c>
      <c r="F899" s="3">
        <f>IFERROR((L899-K899),"")</f>
        <v>-6</v>
      </c>
      <c r="G899" s="5">
        <f>G897</f>
        <v>7</v>
      </c>
      <c r="H899" s="6">
        <f>ROUNDUP((B900*C900)/3000,1)</f>
        <v>0</v>
      </c>
      <c r="I899" s="34">
        <f t="shared" ref="I899:I900" si="1446">IFERROR((S899*E899),"")</f>
        <v>0</v>
      </c>
      <c r="J899" s="78">
        <f>IFERROR(VLOOKUP(C899,[2]Sheet1!$D:$J,7,0),"")</f>
        <v>6</v>
      </c>
      <c r="K899" s="80">
        <f t="shared" si="1445"/>
        <v>6</v>
      </c>
      <c r="L899" s="7">
        <f t="shared" ref="L899:L900" si="1447">IFERROR((G899*H899),"")</f>
        <v>0</v>
      </c>
      <c r="M899" s="8">
        <f t="shared" ref="M899:M900" si="1448">IFERROR(K899-L899,"")</f>
        <v>6</v>
      </c>
      <c r="N899" s="57" t="str">
        <f>IFERROR((K899/H899),"")</f>
        <v/>
      </c>
      <c r="O899" s="9"/>
      <c r="P899" s="10">
        <v>6</v>
      </c>
      <c r="Q899" s="10">
        <v>8400</v>
      </c>
      <c r="R899" s="10">
        <f>O899*P899*Q899</f>
        <v>0</v>
      </c>
      <c r="S899" s="41">
        <f t="shared" si="1287"/>
        <v>0</v>
      </c>
      <c r="U899" s="193"/>
      <c r="W899" s="193"/>
      <c r="Y899" s="193"/>
      <c r="Z899" s="1"/>
      <c r="AA899" s="206">
        <f t="shared" si="1407"/>
        <v>0</v>
      </c>
    </row>
    <row r="900" spans="1:27" hidden="1" ns3:dyDescent="0.3">
      <c r="A900" s="181" t="s">
        <v>277</v>
      </c>
      <c r="B900" s="11">
        <f>ROUNDUP(HLOOKUP(A900,'야채 계산기'!$2:$3,2,0)*1.03,0)</f>
        <v>0</v>
      </c>
      <c r="C900" s="62">
        <v>46.04</v>
      </c>
      <c r="D900" s="166"/>
      <c r="E900" s="4"/>
      <c r="F900" s="3"/>
      <c r="G900" s="5"/>
      <c r="H900" s="6" t="s">
        <v>75</v>
      </c>
      <c r="I900" s="34">
        <f t="shared" si="1446"/>
        <v>0</v>
      </c>
      <c r="J900" s="78" t="str">
        <f>IFERROR(VLOOKUP(C900,[2]Sheet1!$D:$J,7,0),"")</f>
        <v/>
      </c>
      <c r="K900" s="80" t="str">
        <f t="shared" si="1445"/>
        <v/>
      </c>
      <c r="L900" s="7" t="str">
        <f t="shared" si="1447"/>
        <v/>
      </c>
      <c r="M900" s="8" t="str">
        <f t="shared" si="1448"/>
        <v/>
      </c>
      <c r="N900" s="57"/>
      <c r="O900" s="9"/>
      <c r="P900" s="10"/>
      <c r="Q900" s="10"/>
      <c r="R900" s="10"/>
      <c r="S900" s="41">
        <f t="shared" si="1287"/>
        <v>145500</v>
      </c>
      <c r="U900" s="225">
        <v>72750</v>
      </c>
      <c r="W900" s="225">
        <v>72750</v>
      </c>
      <c r="Y900" s="225"/>
      <c r="Z900" s="1"/>
      <c r="AA900" s="206" t="str">
        <f t="shared" si="1407"/>
        <v/>
      </c>
    </row>
    <row r="901" spans="1:27" ns3:dyDescent="0.3">
      <c r="A901" s="61"/>
      <c r="B901" s="59"/>
      <c r="C901" s="62" t="s">
        <v>320</v>
      </c>
      <c r="D901" s="166">
        <f>IFERROR((F901/E901),"")</f>
        <v>1.4500000000000004</v>
      </c>
      <c r="E901" s="4">
        <v>5</v>
      </c>
      <c r="F901" s="3">
        <f>IFERROR((L901-K901),"")</f>
        <v>7.2500000000000018</v>
      </c>
      <c r="G901" s="5">
        <v>7.5</v>
      </c>
      <c r="H901" s="6">
        <f>ROUNDUP((B902*C902)/3000,1)</f>
        <v>1.9000000000000001</v>
      </c>
      <c r="I901" s="34">
        <f>IFERROR((S901*E901),"")</f>
        <v>0</v>
      </c>
      <c r="J901" s="78">
        <f>IFERROR(VLOOKUP(C901,[2]Sheet1!$D:$J,7,0),"")</f>
        <v>7</v>
      </c>
      <c r="K901" s="80">
        <f t="shared" si="1445"/>
        <v>7</v>
      </c>
      <c r="L901" s="7">
        <f>IFERROR((G901*H901),"")</f>
        <v>14.250000000000002</v>
      </c>
      <c r="M901" s="8">
        <f>IFERROR(K901-L901,"")</f>
        <v>-7.2500000000000018</v>
      </c>
      <c r="N901" s="57">
        <f>IFERROR((K901/H901),"")</f>
        <v>3.6842105263157894</v>
      </c>
      <c r="O901" s="9"/>
      <c r="P901" s="10">
        <v>6</v>
      </c>
      <c r="Q901" s="10">
        <v>14000</v>
      </c>
      <c r="R901" s="10">
        <f>O901*P901*Q901</f>
        <v>0</v>
      </c>
      <c r="S901" s="41">
        <f t="shared" si="1287"/>
        <v>0</v>
      </c>
      <c r="U901" s="244"/>
      <c r="W901" s="193"/>
      <c r="Y901" s="193"/>
      <c r="Z901" s="1"/>
      <c r="AA901" s="206">
        <f t="shared" si="1407"/>
        <v>0.4071428571428572</v>
      </c>
    </row>
    <row r="902" spans="1:27" ns3:dyDescent="0.3">
      <c r="A902" s="16" t="s">
        <v>325</v>
      </c>
      <c r="B902" s="11">
        <f>ROUNDUP(HLOOKUP(A902,'야채 계산기'!$2:$3,2,0)*1.03,0)</f>
        <v>1226</v>
      </c>
      <c r="C902" s="62">
        <f>9.16*0.5</f>
        <v>4.58</v>
      </c>
      <c r="D902" s="166"/>
      <c r="E902" s="4"/>
      <c r="F902" s="3"/>
      <c r="G902" s="5"/>
      <c r="H902" s="6" t="s">
        <v>75</v>
      </c>
      <c r="I902" s="34">
        <f>IFERROR((S902*E902),"")</f>
        <v>0</v>
      </c>
      <c r="J902" s="78" t="str">
        <f>IFERROR(VLOOKUP(C902,[2]Sheet1!$D:$J,7,0),"")</f>
        <v/>
      </c>
      <c r="K902" s="80" t="str">
        <f t="shared" si="1445"/>
        <v/>
      </c>
      <c r="L902" s="7" t="str">
        <f>IFERROR((G902*H902),"")</f>
        <v/>
      </c>
      <c r="M902" s="8" t="str">
        <f>IFERROR(K902-L902,"")</f>
        <v/>
      </c>
      <c r="N902" s="57"/>
      <c r="O902" s="9"/>
      <c r="P902" s="10"/>
      <c r="Q902" s="10"/>
      <c r="R902" s="10"/>
      <c r="S902" s="41">
        <f t="shared" si="1287"/>
        <v>147000</v>
      </c>
      <c r="U902" s="225">
        <v>73500</v>
      </c>
      <c r="W902" s="225">
        <v>73500</v>
      </c>
      <c r="Y902" s="225"/>
      <c r="Z902" s="1"/>
      <c r="AA902" s="206" t="str">
        <f t="shared" si="1407"/>
        <v/>
      </c>
    </row>
    <row r="903" spans="1:27" ns3:dyDescent="0.3">
      <c r="A903" s="16"/>
      <c r="B903" s="59"/>
      <c r="C903" s="62" t="s">
        <v>601</v>
      </c>
      <c r="D903" s="166">
        <f>IFERROR((F903/E903),"")</f>
        <v>0.8</v>
      </c>
      <c r="E903" s="4">
        <v>5</v>
      </c>
      <c r="F903" s="3">
        <f>IFERROR((L903-K903),"")</f>
        <v>4</v>
      </c>
      <c r="G903" s="5">
        <f>G901</f>
        <v>7.5</v>
      </c>
      <c r="H903" s="6">
        <f>ROUNDUP(SUMPRODUCT(B904:B904,C904:C904)/3000,1)</f>
        <v>2.4</v>
      </c>
      <c r="I903" s="34">
        <f t="shared" ref="I903:I904" si="1449">IFERROR((S903*E903),"")</f>
        <v>5</v>
      </c>
      <c r="J903" s="78">
        <f>IFERROR(VLOOKUP(C903,[2]Sheet1!$D:$J,7,0),"")</f>
        <v>9</v>
      </c>
      <c r="K903" s="80">
        <f t="shared" ref="K903:K904" si="1450">IFERROR((I903+J903),"")</f>
        <v>14</v>
      </c>
      <c r="L903" s="7">
        <f t="shared" ref="L903:L904" si="1451">IFERROR((G903*H903),"")</f>
        <v>18</v>
      </c>
      <c r="M903" s="8">
        <f t="shared" ref="M903:M904" si="1452">IFERROR(K903-L903,"")</f>
        <v>-4</v>
      </c>
      <c r="N903" s="57">
        <f>IFERROR((K903/H903),"")</f>
        <v>5.8333333333333339</v>
      </c>
      <c r="O903" s="9"/>
      <c r="P903" s="10">
        <v>6</v>
      </c>
      <c r="Q903" s="10">
        <v>11700</v>
      </c>
      <c r="R903" s="10">
        <f>O903*P903*Q903</f>
        <v>0</v>
      </c>
      <c r="S903" s="41">
        <f t="shared" si="1287"/>
        <v>1</v>
      </c>
      <c r="U903" s="193">
        <v>1</v>
      </c>
      <c r="W903" s="193"/>
      <c r="Y903" s="193"/>
      <c r="Z903" s="1"/>
      <c r="AA903" s="206">
        <f t="shared" si="1407"/>
        <v>0.51428571428571435</v>
      </c>
    </row>
    <row r="904" spans="1:27" ns3:dyDescent="0.3">
      <c r="A904" s="16" t="s">
        <v>778</v>
      </c>
      <c r="B904" s="11">
        <f>ROUNDUP(HLOOKUP(A904,'야채 계산기'!$2:$3,2,0)*1.03,0)</f>
        <v>567</v>
      </c>
      <c r="C904" s="164">
        <v>12.49</v>
      </c>
      <c r="D904" s="166"/>
      <c r="E904" s="4"/>
      <c r="F904" s="3"/>
      <c r="G904" s="5"/>
      <c r="H904" s="6" t="s">
        <v>75</v>
      </c>
      <c r="I904" s="34">
        <f t="shared" si="1449"/>
        <v>0</v>
      </c>
      <c r="J904" s="78" t="str">
        <f>IFERROR(VLOOKUP(C904,[2]Sheet1!$D:$J,7,0),"")</f>
        <v/>
      </c>
      <c r="K904" s="80" t="str">
        <f t="shared" si="1450"/>
        <v/>
      </c>
      <c r="L904" s="7" t="str">
        <f t="shared" si="1451"/>
        <v/>
      </c>
      <c r="M904" s="8" t="str">
        <f t="shared" si="1452"/>
        <v/>
      </c>
      <c r="N904" s="57"/>
      <c r="O904" s="9"/>
      <c r="P904" s="10"/>
      <c r="Q904" s="10"/>
      <c r="R904" s="10"/>
      <c r="S904" s="41">
        <f t="shared" si="1287"/>
        <v>0</v>
      </c>
      <c r="U904" s="225"/>
      <c r="W904" s="190"/>
      <c r="Y904" s="190"/>
      <c r="Z904" s="1"/>
      <c r="AA904" s="206" t="str">
        <f t="shared" si="1407"/>
        <v/>
      </c>
    </row>
    <row r="905" spans="1:27" ns3:dyDescent="0.3">
      <c r="A905" s="61"/>
      <c r="B905" s="59"/>
      <c r="C905" s="164" t="s">
        <v>263</v>
      </c>
      <c r="D905" s="166">
        <f>IFERROR((F905/E905),"")</f>
        <v>1.8999999999999986</v>
      </c>
      <c r="E905" s="4">
        <v>5</v>
      </c>
      <c r="F905" s="3">
        <f>IFERROR((L905-K905),"")</f>
        <v>9.4999999999999929</v>
      </c>
      <c r="G905" s="5">
        <f>G901</f>
        <v>7.5</v>
      </c>
      <c r="H905" s="6">
        <f>ROUNDUP((B906*C906)/3000,1)</f>
        <v>4.1999999999999993</v>
      </c>
      <c r="I905" s="34">
        <f>IFERROR((S905*E905),"")</f>
        <v>5</v>
      </c>
      <c r="J905" s="78">
        <f>IFERROR(VLOOKUP(C905,[2]Sheet1!$D:$J,7,0),"")</f>
        <v>17</v>
      </c>
      <c r="K905" s="80">
        <f>IFERROR((I905+J905),"")</f>
        <v>22</v>
      </c>
      <c r="L905" s="7">
        <f>IFERROR((G905*H905),"")</f>
        <v>31.499999999999993</v>
      </c>
      <c r="M905" s="8">
        <f>IFERROR(K905-L905,"")</f>
        <v>-9.4999999999999929</v>
      </c>
      <c r="N905" s="57">
        <f>IFERROR((K905/H905),"")</f>
        <v>5.238095238095239</v>
      </c>
      <c r="O905" s="9"/>
      <c r="P905" s="10">
        <v>6</v>
      </c>
      <c r="Q905" s="10">
        <v>11400</v>
      </c>
      <c r="R905" s="10">
        <f>O905*P905*Q905</f>
        <v>0</v>
      </c>
      <c r="S905" s="41">
        <f>SUM(Y905,T905:X905)</f>
        <v>1</v>
      </c>
      <c r="U905" s="244">
        <v>1</v>
      </c>
      <c r="W905" s="193"/>
      <c r="Y905" s="193"/>
      <c r="Z905" s="1"/>
      <c r="AA905" s="206">
        <f>IFERROR(H905*7.5/E905/7,"")</f>
        <v>0.8999999999999998</v>
      </c>
    </row>
    <row r="906" spans="1:27" ns3:dyDescent="0.3">
      <c r="A906" s="16" t="s">
        <v>267</v>
      </c>
      <c r="B906" s="11">
        <f>ROUNDUP(HLOOKUP(A906,'야채 계산기'!$2:$3,2,0)*1.03,0)</f>
        <v>1329</v>
      </c>
      <c r="C906" s="164">
        <f>18.76/2</f>
        <v>9.3800000000000008</v>
      </c>
      <c r="D906" s="166"/>
      <c r="E906" s="4"/>
      <c r="F906" s="3"/>
      <c r="G906" s="5"/>
      <c r="H906" s="6" t="s">
        <v>75</v>
      </c>
      <c r="I906" s="34">
        <f>IFERROR((S906*E906),"")</f>
        <v>0</v>
      </c>
      <c r="J906" s="78" t="str">
        <f>IFERROR(VLOOKUP(C906,[2]Sheet1!$D:$J,7,0),"")</f>
        <v/>
      </c>
      <c r="K906" s="80" t="str">
        <f>IFERROR((I906+J906),"")</f>
        <v/>
      </c>
      <c r="L906" s="7" t="str">
        <f>IFERROR((G906*H906),"")</f>
        <v/>
      </c>
      <c r="M906" s="8" t="str">
        <f>IFERROR(K906-L906,"")</f>
        <v/>
      </c>
      <c r="N906" s="57"/>
      <c r="O906" s="9"/>
      <c r="P906" s="10"/>
      <c r="Q906" s="10"/>
      <c r="R906" s="10"/>
      <c r="S906" s="41">
        <f>SUM(Y906,T906:X906)</f>
        <v>171000</v>
      </c>
      <c r="U906" s="225">
        <v>57000</v>
      </c>
      <c r="W906" s="225">
        <v>57000</v>
      </c>
      <c r="Y906" s="225">
        <v>57000</v>
      </c>
      <c r="Z906" s="1"/>
      <c r="AA906" s="206" t="str">
        <f>IFERROR(H906*7.5/E906/7,"")</f>
        <v/>
      </c>
    </row>
    <row r="907" spans="1:27" hidden="1" ns3:dyDescent="0.3">
      <c r="A907" s="61"/>
      <c r="B907" s="59"/>
      <c r="C907" s="262" t="s">
        <v>602</v>
      </c>
      <c r="D907" s="166" t="str">
        <f>IFERROR((F907/E907),"")</f>
        <v/>
      </c>
      <c r="E907" s="4">
        <v>5</v>
      </c>
      <c r="F907" s="3" t="str">
        <f>IFERROR((L907-K907),"")</f>
        <v/>
      </c>
      <c r="G907" s="5">
        <f>G901</f>
        <v>7.5</v>
      </c>
      <c r="H907" s="6" t="e">
        <f>ROUNDUP((B908*C908)/3000,1)</f>
        <v>#N/A</v>
      </c>
      <c r="I907" s="34">
        <f t="shared" ref="I907:I908" si="1453">IFERROR((S907*E907),"")</f>
        <v>0</v>
      </c>
      <c r="J907" s="78">
        <f>IFERROR(VLOOKUP(C907,[2]Sheet1!$D:$J,7,0),"")</f>
        <v>0</v>
      </c>
      <c r="K907" s="80">
        <f t="shared" ref="K907:K908" si="1454">IFERROR((I907+J907),"")</f>
        <v>0</v>
      </c>
      <c r="L907" s="7" t="str">
        <f t="shared" ref="L907:L908" si="1455">IFERROR((G907*H907),"")</f>
        <v/>
      </c>
      <c r="M907" s="8" t="str">
        <f t="shared" ref="M907:M908" si="1456">IFERROR(K907-L907,"")</f>
        <v/>
      </c>
      <c r="N907" s="57" t="str">
        <f>IFERROR((K907/H907),"")</f>
        <v/>
      </c>
      <c r="O907" s="9"/>
      <c r="P907" s="10">
        <v>6</v>
      </c>
      <c r="Q907" s="10">
        <v>7800</v>
      </c>
      <c r="R907" s="10">
        <f>O907*P907*Q907</f>
        <v>0</v>
      </c>
      <c r="S907" s="41">
        <f t="shared" ref="S907:S908" si="1457">SUM(Y907,T907:X907)</f>
        <v>0</v>
      </c>
      <c r="U907" s="193"/>
      <c r="W907" s="193"/>
      <c r="Y907" s="193"/>
      <c r="Z907" s="1"/>
      <c r="AA907" s="206" t="str">
        <f t="shared" ref="AA907:AA908" si="1458">IFERROR(H907*7.5/E907/7,"")</f>
        <v/>
      </c>
    </row>
    <row r="908" spans="1:27" hidden="1" ns3:dyDescent="0.3">
      <c r="A908" s="272" t="s">
        <v>597</v>
      </c>
      <c r="B908" s="11" t="e">
        <f>ROUNDUP(HLOOKUP(A908,'야채 계산기'!$2:$3,2,0)*1.03,0)</f>
        <v>#N/A</v>
      </c>
      <c r="C908" s="164">
        <v>1.96</v>
      </c>
      <c r="D908" s="166"/>
      <c r="E908" s="4"/>
      <c r="F908" s="3"/>
      <c r="G908" s="5"/>
      <c r="H908" s="6" t="s">
        <v>75</v>
      </c>
      <c r="I908" s="34">
        <f t="shared" si="1453"/>
        <v>0</v>
      </c>
      <c r="J908" s="78" t="str">
        <f>IFERROR(VLOOKUP(C908,[2]Sheet1!$D:$J,7,0),"")</f>
        <v/>
      </c>
      <c r="K908" s="80" t="str">
        <f t="shared" si="1454"/>
        <v/>
      </c>
      <c r="L908" s="7" t="str">
        <f t="shared" si="1455"/>
        <v/>
      </c>
      <c r="M908" s="8" t="str">
        <f t="shared" si="1456"/>
        <v/>
      </c>
      <c r="N908" s="57"/>
      <c r="O908" s="9"/>
      <c r="P908" s="10"/>
      <c r="Q908" s="10"/>
      <c r="R908" s="10"/>
      <c r="S908" s="41">
        <f t="shared" si="1457"/>
        <v>175500</v>
      </c>
      <c r="U908" s="225">
        <v>58500</v>
      </c>
      <c r="W908" s="190">
        <v>58500</v>
      </c>
      <c r="Y908" s="190">
        <v>58500</v>
      </c>
      <c r="Z908" s="1"/>
      <c r="AA908" s="206" t="str">
        <f t="shared" si="1458"/>
        <v/>
      </c>
    </row>
    <row r="909" spans="1:27" ns3:dyDescent="0.3">
      <c r="A909" s="61"/>
      <c r="B909" s="11"/>
      <c r="C909" s="62" t="s">
        <v>733</v>
      </c>
      <c r="D909" s="166">
        <f>IFERROR((F909/E909),"")</f>
        <v>5.05</v>
      </c>
      <c r="E909" s="4">
        <v>5</v>
      </c>
      <c r="F909" s="3">
        <f>IFERROR((L909-K909),"")</f>
        <v>25.25</v>
      </c>
      <c r="G909" s="5">
        <f>G901</f>
        <v>7.5</v>
      </c>
      <c r="H909" s="6">
        <f>ROUNDUP((B910*C910)/3000,1)</f>
        <v>10.7</v>
      </c>
      <c r="I909" s="34">
        <f t="shared" ref="I909:I913" si="1459">IFERROR((S909*E909),"")</f>
        <v>20</v>
      </c>
      <c r="J909" s="78">
        <f>IFERROR(VLOOKUP(C909,[2]Sheet1!$D:$J,7,0),"")</f>
        <v>35</v>
      </c>
      <c r="K909" s="80">
        <f t="shared" ref="K909:K913" si="1460">IFERROR((I909+J909),"")</f>
        <v>55</v>
      </c>
      <c r="L909" s="7">
        <f t="shared" ref="L909:L913" si="1461">IFERROR((G909*H909),"")</f>
        <v>80.25</v>
      </c>
      <c r="M909" s="8">
        <f t="shared" ref="M909:M913" si="1462">IFERROR(K909-L909,"")</f>
        <v>-25.25</v>
      </c>
      <c r="N909" s="57">
        <f>IFERROR((K909/H909),"")</f>
        <v>5.1401869158878508</v>
      </c>
      <c r="O909" s="9"/>
      <c r="P909" s="10">
        <v>6</v>
      </c>
      <c r="Q909" s="10">
        <v>3609</v>
      </c>
      <c r="R909" s="10">
        <f>O909*P909*Q909</f>
        <v>0</v>
      </c>
      <c r="S909" s="41">
        <f t="shared" si="1287"/>
        <v>4</v>
      </c>
      <c r="U909" s="193">
        <v>4</v>
      </c>
      <c r="W909" s="193"/>
      <c r="Y909" s="193"/>
      <c r="Z909" s="1"/>
      <c r="AA909" s="206">
        <f t="shared" si="1407"/>
        <v>2.2928571428571431</v>
      </c>
    </row>
    <row r="910" spans="1:27" ns3:dyDescent="0.3">
      <c r="A910" s="61" t="s">
        <v>734</v>
      </c>
      <c r="B910" s="11">
        <f>ROUNDUP(HLOOKUP(A910,'야채 계산기'!$2:$3,2,0)*1.03,0)</f>
        <v>2081</v>
      </c>
      <c r="C910" s="164">
        <v>15.3</v>
      </c>
      <c r="D910" s="166"/>
      <c r="E910" s="4"/>
      <c r="F910" s="3"/>
      <c r="G910" s="5"/>
      <c r="H910" s="6" t="s">
        <v>75</v>
      </c>
      <c r="I910" s="34">
        <f t="shared" si="1459"/>
        <v>0</v>
      </c>
      <c r="J910" s="78" t="str">
        <f>IFERROR(VLOOKUP(C910,[2]Sheet1!$D:$J,7,0),"")</f>
        <v/>
      </c>
      <c r="K910" s="80" t="str">
        <f t="shared" si="1460"/>
        <v/>
      </c>
      <c r="L910" s="7" t="str">
        <f t="shared" si="1461"/>
        <v/>
      </c>
      <c r="M910" s="8" t="str">
        <f t="shared" si="1462"/>
        <v/>
      </c>
      <c r="N910" s="57"/>
      <c r="O910" s="9"/>
      <c r="P910" s="10"/>
      <c r="Q910" s="10"/>
      <c r="R910" s="10"/>
      <c r="S910" s="41">
        <f t="shared" si="1287"/>
        <v>157500</v>
      </c>
      <c r="U910" s="225">
        <v>52500</v>
      </c>
      <c r="W910" s="190">
        <v>52500</v>
      </c>
      <c r="Y910" s="190">
        <v>52500</v>
      </c>
      <c r="Z910" s="1"/>
      <c r="AA910" s="206" t="str">
        <f t="shared" si="1407"/>
        <v/>
      </c>
    </row>
    <row r="911" spans="1:27" ns3:dyDescent="0.3">
      <c r="A911" s="291"/>
      <c r="B911" s="11"/>
      <c r="C911" s="164"/>
      <c r="D911" s="166"/>
      <c r="E911" s="4"/>
      <c r="F911" s="3"/>
      <c r="G911" s="5"/>
      <c r="H911" s="6"/>
      <c r="I911" s="34"/>
      <c r="J911" s="78" t="str">
        <f>IFERROR(VLOOKUP(C911,[2]Sheet1!$D:$J,7,0),"")</f>
        <v/>
      </c>
      <c r="K911" s="80"/>
      <c r="L911" s="7"/>
      <c r="M911" s="8"/>
      <c r="N911" s="57"/>
      <c r="O911" s="9"/>
      <c r="P911" s="10"/>
      <c r="Q911" s="10"/>
      <c r="R911" s="10"/>
      <c r="U911" s="225">
        <f>(U902+U906+U904+U910)*1.1</f>
        <v>201300.00000000003</v>
      </c>
      <c r="V911" s="225"/>
      <c r="W911" s="225">
        <f>(W902+W906+W904+W910)*1.1</f>
        <v>201300.00000000003</v>
      </c>
      <c r="Y911" s="190">
        <f>(Y902*Y901+Y906*Y905+Y903*Y904)*1.1</f>
        <v>0</v>
      </c>
      <c r="Z911" s="1"/>
      <c r="AA911" s="206"/>
    </row>
    <row r="912" spans="1:27" ns3:dyDescent="0.3">
      <c r="A912" s="141"/>
      <c r="B912" s="2"/>
      <c r="C912" s="164"/>
      <c r="D912" s="166" t="str">
        <f t="shared" ref="D912" si="1463">IFERROR((F912/E912),"")</f>
        <v/>
      </c>
      <c r="E912" s="4"/>
      <c r="F912" s="3"/>
      <c r="G912" s="5"/>
      <c r="H912" s="6"/>
      <c r="I912" s="34">
        <f t="shared" ref="I912" si="1464">IFERROR((S912*E912),"")</f>
        <v>0</v>
      </c>
      <c r="J912" s="78" t="str">
        <f>IFERROR(VLOOKUP(C912,[2]Sheet1!$D:$J,7,0),"")</f>
        <v/>
      </c>
      <c r="K912" s="80" t="str">
        <f t="shared" ref="K912" si="1465">IFERROR((I912+J912),"")</f>
        <v/>
      </c>
      <c r="L912" s="7">
        <f t="shared" ref="L912" si="1466">IFERROR((G912*H912),"")</f>
        <v>0</v>
      </c>
      <c r="M912" s="8" t="str">
        <f t="shared" ref="M912" si="1467">IFERROR(K912-L912,"")</f>
        <v/>
      </c>
      <c r="N912" s="57" t="str">
        <f t="shared" ref="N912" si="1468">IFERROR((K912/H912),"")</f>
        <v/>
      </c>
      <c r="O912" s="9"/>
      <c r="P912" s="10"/>
      <c r="Q912" s="10"/>
      <c r="R912" s="10">
        <f t="shared" ref="R912" si="1469">O912*P912*Q912</f>
        <v>0</v>
      </c>
      <c r="S912" s="41">
        <f t="shared" ref="S912" si="1470">SUM(Y912,T912:X912)</f>
        <v>0</v>
      </c>
      <c r="U912" s="227"/>
      <c r="W912" s="227"/>
      <c r="Y912" s="227"/>
      <c r="Z912" s="1"/>
      <c r="AA912" s="206" t="str">
        <f t="shared" ref="AA912" si="1471">IFERROR(H912*7.5/E912/7,"")</f>
        <v/>
      </c>
    </row>
    <row r="913" spans="1:27" ns3:dyDescent="0.3">
      <c r="A913" s="141"/>
      <c r="B913" s="2"/>
      <c r="C913" s="164"/>
      <c r="D913" s="166" t="str">
        <f t="shared" ref="D913" si="1472">IFERROR((F913/E913),"")</f>
        <v/>
      </c>
      <c r="E913" s="4"/>
      <c r="F913" s="3"/>
      <c r="G913" s="5"/>
      <c r="H913" s="6"/>
      <c r="I913" s="34">
        <f t="shared" si="1459"/>
        <v>0</v>
      </c>
      <c r="J913" s="78" t="str">
        <f>IFERROR(VLOOKUP(C913,[2]Sheet1!$D:$J,7,0),"")</f>
        <v/>
      </c>
      <c r="K913" s="80" t="str">
        <f t="shared" si="1460"/>
        <v/>
      </c>
      <c r="L913" s="7">
        <f t="shared" si="1461"/>
        <v>0</v>
      </c>
      <c r="M913" s="8" t="str">
        <f t="shared" si="1462"/>
        <v/>
      </c>
      <c r="N913" s="57" t="str">
        <f t="shared" ref="N913" si="1473">IFERROR((K913/H913),"")</f>
        <v/>
      </c>
      <c r="O913" s="9"/>
      <c r="P913" s="10"/>
      <c r="Q913" s="10"/>
      <c r="R913" s="10">
        <f t="shared" ref="R913" si="1474">O913*P913*Q913</f>
        <v>0</v>
      </c>
      <c r="S913" s="41">
        <f t="shared" ref="S913:S915" si="1475">SUM(Y913,T913:X913)</f>
        <v>0</v>
      </c>
      <c r="U913" s="227"/>
      <c r="W913" s="227"/>
      <c r="Y913" s="227"/>
      <c r="Z913" s="1"/>
      <c r="AA913" s="206" t="str">
        <f t="shared" ref="AA913:AA915" si="1476">IFERROR(H913*7.5/E913/7,"")</f>
        <v/>
      </c>
    </row>
    <row r="914" spans="1:27" hidden="1" ns3:dyDescent="0.3">
      <c r="A914" s="16"/>
      <c r="B914" s="59"/>
      <c r="C914" s="262" t="s">
        <v>338</v>
      </c>
      <c r="D914" s="166" t="str">
        <f>IFERROR((F914/E914),"")</f>
        <v/>
      </c>
      <c r="E914" s="4">
        <v>5</v>
      </c>
      <c r="F914" s="3" t="str">
        <f>IFERROR((L914-K914),"")</f>
        <v/>
      </c>
      <c r="G914" s="5">
        <v>7</v>
      </c>
      <c r="H914" s="6" t="e">
        <f>ROUNDUP((B915*C915)/3000,1)</f>
        <v>#N/A</v>
      </c>
      <c r="I914" s="34">
        <f>IFERROR((S914*E914),"")</f>
        <v>0</v>
      </c>
      <c r="J914" s="78">
        <f>IFERROR(VLOOKUP(C914,[2]Sheet1!$D:$J,7,0),"")</f>
        <v>5</v>
      </c>
      <c r="K914" s="80">
        <f>IFERROR((I914+J914),"")</f>
        <v>5</v>
      </c>
      <c r="L914" s="7" t="str">
        <f>IFERROR((G914*H914),"")</f>
        <v/>
      </c>
      <c r="M914" s="8" t="str">
        <f>IFERROR(K914-L914,"")</f>
        <v/>
      </c>
      <c r="N914" s="57" t="str">
        <f>IFERROR((K914/H914),"")</f>
        <v/>
      </c>
      <c r="O914" s="9"/>
      <c r="P914" s="10">
        <v>6</v>
      </c>
      <c r="Q914" s="10">
        <v>14700</v>
      </c>
      <c r="R914" s="10">
        <f>O914*P914*Q914</f>
        <v>0</v>
      </c>
      <c r="S914" s="41">
        <f t="shared" si="1475"/>
        <v>0</v>
      </c>
      <c r="U914" s="244"/>
      <c r="W914" s="193"/>
      <c r="Y914" s="193"/>
      <c r="Z914" s="1"/>
      <c r="AA914" s="206" t="str">
        <f t="shared" si="1476"/>
        <v/>
      </c>
    </row>
    <row r="915" spans="1:27" hidden="1" ns3:dyDescent="0.3">
      <c r="A915" s="272" t="s">
        <v>503</v>
      </c>
      <c r="B915" s="11" t="e">
        <f>ROUNDUP(HLOOKUP(A915,'야채 계산기'!$2:$3,2,0),0)</f>
        <v>#N/A</v>
      </c>
      <c r="C915" s="182">
        <f>3.74-0.078</f>
        <v>3.6620000000000004</v>
      </c>
      <c r="D915" s="166"/>
      <c r="E915" s="4"/>
      <c r="F915" s="3"/>
      <c r="G915" s="5"/>
      <c r="H915" s="6" t="s">
        <v>75</v>
      </c>
      <c r="I915" s="34">
        <f>IFERROR((S915*E915),"")</f>
        <v>0</v>
      </c>
      <c r="J915" s="78" t="str">
        <f>IFERROR(VLOOKUP(C915,[2]Sheet1!$D:$J,7,0),"")</f>
        <v/>
      </c>
      <c r="K915" s="80" t="str">
        <f>IFERROR((I915+J915),"")</f>
        <v/>
      </c>
      <c r="L915" s="7" t="str">
        <f>IFERROR((G915*H915),"")</f>
        <v/>
      </c>
      <c r="M915" s="8" t="str">
        <f>IFERROR(K915-L915,"")</f>
        <v/>
      </c>
      <c r="N915" s="57"/>
      <c r="O915" s="9"/>
      <c r="P915" s="10"/>
      <c r="Q915" s="10"/>
      <c r="R915" s="10"/>
      <c r="S915" s="41">
        <f t="shared" si="1475"/>
        <v>0</v>
      </c>
      <c r="U915" s="225"/>
      <c r="W915" s="225"/>
      <c r="Y915" s="225"/>
      <c r="Z915" s="1"/>
      <c r="AA915" s="206" t="str">
        <f t="shared" si="1476"/>
        <v/>
      </c>
    </row>
    <row r="916" spans="1:27" ns3:dyDescent="0.3">
      <c r="A916" s="141"/>
      <c r="B916" s="2"/>
      <c r="C916" s="164"/>
      <c r="D916" s="166" t="str">
        <f t="shared" ref="D916:D917" si="1477">IFERROR((F916/E916),"")</f>
        <v/>
      </c>
      <c r="E916" s="4"/>
      <c r="F916" s="3"/>
      <c r="G916" s="5"/>
      <c r="H916" s="6"/>
      <c r="I916" s="34">
        <f t="shared" ref="I916:I917" si="1478">IFERROR((S916*E916),"")</f>
        <v>0</v>
      </c>
      <c r="J916" s="78" t="str">
        <f>IFERROR(VLOOKUP(C916,[2]Sheet1!$D:$J,7,0),"")</f>
        <v/>
      </c>
      <c r="K916" s="80" t="str">
        <f t="shared" ref="K916" si="1479">IFERROR((I916+J916),"")</f>
        <v/>
      </c>
      <c r="L916" s="7">
        <f t="shared" ref="L916:L917" si="1480">IFERROR((G916*H916),"")</f>
        <v>0</v>
      </c>
      <c r="M916" s="8" t="str">
        <f t="shared" ref="M916:M917" si="1481">IFERROR(K916-L916,"")</f>
        <v/>
      </c>
      <c r="N916" s="57" t="str">
        <f t="shared" ref="N916:N917" si="1482">IFERROR((K916/H916),"")</f>
        <v/>
      </c>
      <c r="O916" s="9"/>
      <c r="P916" s="10"/>
      <c r="Q916" s="10"/>
      <c r="R916" s="10">
        <f t="shared" ref="R916:R917" si="1483">O916*P916*Q916</f>
        <v>0</v>
      </c>
      <c r="S916" s="41">
        <f t="shared" si="1287"/>
        <v>0</v>
      </c>
      <c r="U916" s="227"/>
      <c r="W916" s="227"/>
      <c r="Y916" s="227"/>
      <c r="Z916" s="1"/>
      <c r="AA916" s="206" t="str">
        <f t="shared" si="1407"/>
        <v/>
      </c>
    </row>
    <row r="917" spans="1:27" ns3:dyDescent="0.3">
      <c r="A917" s="141"/>
      <c r="B917" s="2"/>
      <c r="C917" s="164"/>
      <c r="D917" s="166" t="str">
        <f t="shared" si="1477"/>
        <v/>
      </c>
      <c r="E917" s="4"/>
      <c r="F917" s="3"/>
      <c r="G917" s="5"/>
      <c r="H917" s="6"/>
      <c r="I917" s="34">
        <f t="shared" si="1478"/>
        <v>0</v>
      </c>
      <c r="J917" s="78" t="str">
        <f>IFERROR(VLOOKUP(C917,[2]Sheet1!$D:$J,7,0),"")</f>
        <v/>
      </c>
      <c r="K917" s="80" t="str">
        <f>IFERROR((I917+J917),"")</f>
        <v/>
      </c>
      <c r="L917" s="7">
        <f t="shared" si="1480"/>
        <v>0</v>
      </c>
      <c r="M917" s="8" t="str">
        <f t="shared" si="1481"/>
        <v/>
      </c>
      <c r="N917" s="57" t="str">
        <f t="shared" si="1482"/>
        <v/>
      </c>
      <c r="O917" s="9"/>
      <c r="P917" s="10"/>
      <c r="Q917" s="10"/>
      <c r="R917" s="10">
        <f t="shared" si="1483"/>
        <v>0</v>
      </c>
      <c r="S917" s="41">
        <f t="shared" ref="S917:S931" si="1484">SUM(Y917,T917:X917)</f>
        <v>0</v>
      </c>
      <c r="U917" s="190"/>
      <c r="W917" s="190"/>
      <c r="Y917" s="42"/>
      <c r="Z917" s="1"/>
      <c r="AA917" s="206" t="str">
        <f t="shared" si="1407"/>
        <v/>
      </c>
    </row>
    <row r="918" spans="1:27" ns3:dyDescent="0.3">
      <c r="A918" s="209" t="s">
        <v>377</v>
      </c>
      <c r="B918" s="58" t="s">
        <v>313</v>
      </c>
      <c r="C918" s="196"/>
      <c r="D918" s="166" t="str">
        <f t="shared" ref="D918:D919" si="1485">IFERROR((F918/E918),"")</f>
        <v/>
      </c>
      <c r="E918" s="4"/>
      <c r="F918" s="17"/>
      <c r="G918" s="5"/>
      <c r="H918" s="6"/>
      <c r="I918" s="34">
        <f t="shared" ref="I918:I929" si="1486">IFERROR((S918*E918),"")</f>
        <v>0</v>
      </c>
      <c r="J918" s="78" t="str">
        <f>IFERROR(VLOOKUP(C918,[2]Sheet1!$D:$J,7,0),"")</f>
        <v/>
      </c>
      <c r="K918" s="80" t="str">
        <f t="shared" ref="K918:K929" si="1487">IFERROR((I918+J918),"")</f>
        <v/>
      </c>
      <c r="L918" s="7">
        <f t="shared" ref="L918:L929" si="1488">IFERROR((G918*H918),"")</f>
        <v>0</v>
      </c>
      <c r="M918" s="8" t="str">
        <f t="shared" ref="M918:M929" si="1489">IFERROR(K918-L918,"")</f>
        <v/>
      </c>
      <c r="N918" s="57" t="str">
        <f t="shared" ref="N918:N926" si="1490">IFERROR((K918/H918),"")</f>
        <v/>
      </c>
      <c r="O918" s="9"/>
      <c r="P918" s="10"/>
      <c r="Q918" s="10"/>
      <c r="R918" s="10">
        <f t="shared" ref="R918:R929" si="1491">O918*P918*Q918</f>
        <v>0</v>
      </c>
      <c r="S918" s="41">
        <f t="shared" si="1484"/>
        <v>0</v>
      </c>
      <c r="W918" s="190"/>
      <c r="Y918" s="42"/>
      <c r="Z918" s="1"/>
      <c r="AA918" s="206" t="str">
        <f t="shared" si="1407"/>
        <v/>
      </c>
    </row>
    <row r="919" spans="1:27" ht="15.75" customHeight="1" ns3:dyDescent="0.3">
      <c r="A919" s="59"/>
      <c r="B919" s="11"/>
      <c r="C919" s="164" t="s">
        <v>231</v>
      </c>
      <c r="D919" s="166">
        <f t="shared" si="1485"/>
        <v>-0.7</v>
      </c>
      <c r="E919" s="4">
        <v>10</v>
      </c>
      <c r="F919" s="3">
        <f>IFERROR((L919-K919),"")</f>
        <v>-7</v>
      </c>
      <c r="G919" s="5">
        <v>7.5</v>
      </c>
      <c r="H919" s="6">
        <f>ROUNDUP((SUMPRODUCT(B921*C921))/1000,1)</f>
        <v>0</v>
      </c>
      <c r="I919" s="34">
        <f t="shared" si="1486"/>
        <v>0</v>
      </c>
      <c r="J919" s="78">
        <f>IFERROR(VLOOKUP(C919,[2]Sheet1!$D:$J,7,0),"")</f>
        <v>7</v>
      </c>
      <c r="K919" s="80">
        <f t="shared" si="1487"/>
        <v>7</v>
      </c>
      <c r="L919" s="7">
        <f t="shared" si="1488"/>
        <v>0</v>
      </c>
      <c r="M919" s="8">
        <f t="shared" si="1489"/>
        <v>7</v>
      </c>
      <c r="N919" s="57" t="str">
        <f t="shared" si="1490"/>
        <v/>
      </c>
      <c r="O919" s="9"/>
      <c r="P919" s="10"/>
      <c r="Q919" s="10">
        <v>10000</v>
      </c>
      <c r="R919" s="10">
        <f t="shared" si="1491"/>
        <v>0</v>
      </c>
      <c r="S919" s="41">
        <f t="shared" si="1484"/>
        <v>0</v>
      </c>
      <c r="U919" s="183"/>
      <c r="W919" s="173"/>
      <c r="Y919" s="173"/>
      <c r="AA919" s="206">
        <f t="shared" si="1407"/>
        <v>0</v>
      </c>
    </row>
    <row r="920" spans="1:27" ns3:dyDescent="0.3">
      <c r="A920" s="63" t="s">
        <v>494</v>
      </c>
      <c r="B920" s="11">
        <f>ROUNDUP(HLOOKUP(A920,'야채 계산기'!$2:$3,2,0)*1.03,0)</f>
        <v>660</v>
      </c>
      <c r="C920" s="164">
        <v>0.1</v>
      </c>
      <c r="D920" s="166"/>
      <c r="E920" s="4"/>
      <c r="F920" s="3"/>
      <c r="G920" s="5"/>
      <c r="H920" s="6"/>
      <c r="I920" s="34">
        <f t="shared" si="1486"/>
        <v>0</v>
      </c>
      <c r="J920" s="78" t="str">
        <f>IFERROR(VLOOKUP(C920,[2]Sheet1!$D:$J,7,0),"")</f>
        <v/>
      </c>
      <c r="K920" s="80" t="str">
        <f t="shared" si="1487"/>
        <v/>
      </c>
      <c r="L920" s="7">
        <f t="shared" si="1488"/>
        <v>0</v>
      </c>
      <c r="M920" s="8" t="str">
        <f t="shared" si="1489"/>
        <v/>
      </c>
      <c r="N920" s="57" t="str">
        <f t="shared" si="1490"/>
        <v/>
      </c>
      <c r="O920" s="9"/>
      <c r="P920" s="10"/>
      <c r="Q920" s="10"/>
      <c r="R920" s="10">
        <f t="shared" si="1491"/>
        <v>0</v>
      </c>
      <c r="S920" s="41">
        <f t="shared" ref="S920" si="1492">SUM(Y920,T920:X920)</f>
        <v>0</v>
      </c>
      <c r="Y920" s="1"/>
      <c r="AA920" s="206" t="str">
        <f t="shared" ref="AA920" si="1493">IFERROR(H920*7.5/E920/7,"")</f>
        <v/>
      </c>
    </row>
    <row r="921" spans="1:27" ns3:dyDescent="0.3">
      <c r="A921" s="272" t="s">
        <v>667</v>
      </c>
      <c r="B921" s="11">
        <f>ROUNDUP(HLOOKUP(A921,'야채 계산기'!$2:$3,2,0)*1.03,0)</f>
        <v>0</v>
      </c>
      <c r="C921" s="164">
        <v>0.1</v>
      </c>
      <c r="D921" s="166"/>
      <c r="E921" s="4"/>
      <c r="F921" s="3"/>
      <c r="G921" s="5"/>
      <c r="H921" s="6"/>
      <c r="I921" s="34">
        <f t="shared" ref="I921" si="1494">IFERROR((S921*E921),"")</f>
        <v>0</v>
      </c>
      <c r="J921" s="78" t="str">
        <f>IFERROR(VLOOKUP(C921,[2]Sheet1!$D:$J,7,0),"")</f>
        <v/>
      </c>
      <c r="K921" s="80" t="str">
        <f t="shared" ref="K921" si="1495">IFERROR((I921+J921),"")</f>
        <v/>
      </c>
      <c r="L921" s="7">
        <f t="shared" ref="L921" si="1496">IFERROR((G921*H921),"")</f>
        <v>0</v>
      </c>
      <c r="M921" s="8" t="str">
        <f t="shared" ref="M921" si="1497">IFERROR(K921-L921,"")</f>
        <v/>
      </c>
      <c r="N921" s="57" t="str">
        <f t="shared" ref="N921" si="1498">IFERROR((K921/H921),"")</f>
        <v/>
      </c>
      <c r="O921" s="9"/>
      <c r="P921" s="10"/>
      <c r="Q921" s="10"/>
      <c r="R921" s="10">
        <f t="shared" ref="R921" si="1499">O921*P921*Q921</f>
        <v>0</v>
      </c>
      <c r="S921" s="41">
        <f t="shared" si="1484"/>
        <v>0</v>
      </c>
      <c r="Y921" s="1"/>
      <c r="AA921" s="206" t="str">
        <f t="shared" si="1407"/>
        <v/>
      </c>
    </row>
    <row r="922" spans="1:27" ht="15.75" hidden="1" customHeight="1" ns3:dyDescent="0.3">
      <c r="A922" s="59"/>
      <c r="B922" s="11"/>
      <c r="C922" s="262" t="s">
        <v>217</v>
      </c>
      <c r="D922" s="166">
        <f>IFERROR((F922/E922),"")</f>
        <v>2.25</v>
      </c>
      <c r="E922" s="4">
        <v>6</v>
      </c>
      <c r="F922" s="3">
        <f>IFERROR((L922-K922),"")</f>
        <v>13.5</v>
      </c>
      <c r="G922" s="5">
        <f>G919</f>
        <v>7.5</v>
      </c>
      <c r="H922" s="6">
        <f>ROUNDUP(SUMPRODUCT(B923:B923,C923:C923)/1650,1)</f>
        <v>1.8</v>
      </c>
      <c r="I922" s="34">
        <f t="shared" si="1486"/>
        <v>0</v>
      </c>
      <c r="J922" s="78">
        <f>IFERROR(VLOOKUP(C922,[2]Sheet1!$D:$J,7,0),"")</f>
        <v>0</v>
      </c>
      <c r="K922" s="80">
        <f t="shared" si="1487"/>
        <v>0</v>
      </c>
      <c r="L922" s="7">
        <f t="shared" si="1488"/>
        <v>13.5</v>
      </c>
      <c r="M922" s="8">
        <f t="shared" si="1489"/>
        <v>-13.5</v>
      </c>
      <c r="N922" s="57">
        <f t="shared" si="1490"/>
        <v>0</v>
      </c>
      <c r="O922" s="9"/>
      <c r="P922" s="10"/>
      <c r="Q922" s="10">
        <v>22000</v>
      </c>
      <c r="R922" s="10">
        <f t="shared" si="1491"/>
        <v>0</v>
      </c>
      <c r="S922" s="41">
        <f t="shared" si="1484"/>
        <v>0</v>
      </c>
      <c r="U922" s="183"/>
      <c r="W922" s="173"/>
      <c r="Y922" s="173"/>
      <c r="AA922" s="206">
        <f t="shared" si="1407"/>
        <v>0.32142857142857145</v>
      </c>
    </row>
    <row r="923" spans="1:27" hidden="1" ns3:dyDescent="0.3">
      <c r="A923" s="308" t="s">
        <v>491</v>
      </c>
      <c r="B923" s="11">
        <f>ROUNDUP(HLOOKUP(A923,'야채 계산기'!$2:$3,2,0)*1.03,0)</f>
        <v>4553</v>
      </c>
      <c r="C923" s="164">
        <f>'[1]풀)들기름묵은지참치마요(25.10.14)'!$B$14</f>
        <v>0.62</v>
      </c>
      <c r="D923" s="166"/>
      <c r="E923" s="4"/>
      <c r="F923" s="3"/>
      <c r="G923" s="5"/>
      <c r="H923" s="6"/>
      <c r="I923" s="34">
        <f t="shared" si="1486"/>
        <v>0</v>
      </c>
      <c r="J923" s="78" t="str">
        <f>IFERROR(VLOOKUP(C923,[2]Sheet1!$D:$J,7,0),"")</f>
        <v/>
      </c>
      <c r="K923" s="80" t="str">
        <f t="shared" si="1487"/>
        <v/>
      </c>
      <c r="L923" s="7">
        <f t="shared" si="1488"/>
        <v>0</v>
      </c>
      <c r="M923" s="8" t="str">
        <f t="shared" si="1489"/>
        <v/>
      </c>
      <c r="N923" s="57" t="str">
        <f t="shared" si="1490"/>
        <v/>
      </c>
      <c r="O923" s="9"/>
      <c r="P923" s="10"/>
      <c r="Q923" s="10"/>
      <c r="R923" s="10">
        <f t="shared" si="1491"/>
        <v>0</v>
      </c>
      <c r="S923" s="41">
        <f t="shared" si="1484"/>
        <v>0</v>
      </c>
      <c r="Y923" s="1"/>
      <c r="AA923" s="206" t="str">
        <f t="shared" si="1407"/>
        <v/>
      </c>
    </row>
    <row r="924" spans="1:27" ns3:dyDescent="0.3">
      <c r="A924" s="15"/>
      <c r="B924" s="92"/>
      <c r="C924" s="62" t="s">
        <v>118</v>
      </c>
      <c r="D924" s="166">
        <f t="shared" ref="D924:D929" si="1500">IFERROR((F924/E924),"")</f>
        <v>5.9600000000000026</v>
      </c>
      <c r="E924" s="4">
        <v>10</v>
      </c>
      <c r="F924" s="3">
        <f>IFERROR((L924-K924),"")</f>
        <v>59.600000000000023</v>
      </c>
      <c r="G924" s="5">
        <f>G919</f>
        <v>7.5</v>
      </c>
      <c r="H924" s="45">
        <f>ROUNDUP(B925/1,1)*0.8</f>
        <v>26.080000000000002</v>
      </c>
      <c r="I924" s="34">
        <f t="shared" si="1486"/>
        <v>80</v>
      </c>
      <c r="J924" s="78">
        <f>IFERROR(VLOOKUP(C924,[2]Sheet1!$D:$J,7,0),"")</f>
        <v>56</v>
      </c>
      <c r="K924" s="80">
        <f t="shared" si="1487"/>
        <v>136</v>
      </c>
      <c r="L924" s="7">
        <f t="shared" si="1488"/>
        <v>195.60000000000002</v>
      </c>
      <c r="M924" s="8">
        <f t="shared" si="1489"/>
        <v>-59.600000000000023</v>
      </c>
      <c r="N924" s="294">
        <f t="shared" si="1490"/>
        <v>5.2147239263803673</v>
      </c>
      <c r="O924" s="9"/>
      <c r="P924" s="10"/>
      <c r="Q924" s="10">
        <v>6800</v>
      </c>
      <c r="R924" s="10">
        <f t="shared" si="1491"/>
        <v>0</v>
      </c>
      <c r="S924" s="41">
        <f t="shared" si="1484"/>
        <v>8</v>
      </c>
      <c r="U924" s="183">
        <v>8</v>
      </c>
      <c r="W924" s="173"/>
      <c r="Y924" s="173"/>
      <c r="Z924" s="1"/>
      <c r="AA924" s="206">
        <f t="shared" si="1407"/>
        <v>2.7942857142857145</v>
      </c>
    </row>
    <row r="925" spans="1:27" ns3:dyDescent="0.3">
      <c r="A925" s="15" t="s">
        <v>117</v>
      </c>
      <c r="B925" s="92">
        <f>ROUNDUP('볶음참깨, 참기름'!E2/1000,0)*1.05</f>
        <v>32.550000000000004</v>
      </c>
      <c r="C925" s="164"/>
      <c r="D925" s="166" t="str">
        <f t="shared" si="1500"/>
        <v/>
      </c>
      <c r="E925" s="4"/>
      <c r="F925" s="3"/>
      <c r="G925" s="5"/>
      <c r="H925" s="45"/>
      <c r="I925" s="34">
        <f t="shared" si="1486"/>
        <v>0</v>
      </c>
      <c r="J925" s="78" t="str">
        <f>IFERROR(VLOOKUP(C925,[2]Sheet1!$D:$J,7,0),"")</f>
        <v/>
      </c>
      <c r="K925" s="80" t="str">
        <f t="shared" si="1487"/>
        <v/>
      </c>
      <c r="L925" s="7">
        <f t="shared" si="1488"/>
        <v>0</v>
      </c>
      <c r="M925" s="8" t="str">
        <f t="shared" si="1489"/>
        <v/>
      </c>
      <c r="N925" s="57" t="str">
        <f t="shared" si="1490"/>
        <v/>
      </c>
      <c r="O925" s="9"/>
      <c r="P925" s="10"/>
      <c r="Q925" s="10"/>
      <c r="R925" s="10">
        <f t="shared" si="1491"/>
        <v>0</v>
      </c>
      <c r="S925" s="41">
        <f t="shared" si="1484"/>
        <v>0</v>
      </c>
      <c r="Y925" s="1"/>
      <c r="Z925" s="1"/>
      <c r="AA925" s="206" t="str">
        <f t="shared" si="1407"/>
        <v/>
      </c>
    </row>
    <row r="926" spans="1:27" ns3:dyDescent="0.3">
      <c r="A926" s="15"/>
      <c r="B926" s="92"/>
      <c r="C926" s="62" t="s">
        <v>120</v>
      </c>
      <c r="D926" s="166">
        <f t="shared" si="1500"/>
        <v>3.3000000000000065</v>
      </c>
      <c r="E926" s="4">
        <v>6</v>
      </c>
      <c r="F926" s="3">
        <f>IFERROR((L926-K926),"")</f>
        <v>19.80000000000004</v>
      </c>
      <c r="G926" s="5">
        <f>G924</f>
        <v>7.5</v>
      </c>
      <c r="H926" s="45">
        <f>ROUNDUP(B927/1.65,1)*0.8</f>
        <v>26.640000000000004</v>
      </c>
      <c r="I926" s="34">
        <f t="shared" si="1486"/>
        <v>90</v>
      </c>
      <c r="J926" s="78">
        <f>IFERROR(VLOOKUP(C926,[2]Sheet1!$D:$J,7,0),"")</f>
        <v>90</v>
      </c>
      <c r="K926" s="80">
        <f t="shared" si="1487"/>
        <v>180</v>
      </c>
      <c r="L926" s="7">
        <f t="shared" si="1488"/>
        <v>199.80000000000004</v>
      </c>
      <c r="M926" s="8">
        <f t="shared" si="1489"/>
        <v>-19.80000000000004</v>
      </c>
      <c r="N926" s="294">
        <f t="shared" si="1490"/>
        <v>6.7567567567567561</v>
      </c>
      <c r="O926" s="9"/>
      <c r="P926" s="10"/>
      <c r="Q926" s="10">
        <v>13600</v>
      </c>
      <c r="R926" s="10">
        <f t="shared" si="1491"/>
        <v>0</v>
      </c>
      <c r="S926" s="41">
        <f t="shared" si="1484"/>
        <v>15</v>
      </c>
      <c r="U926" s="183">
        <v>15</v>
      </c>
      <c r="W926" s="173"/>
      <c r="Y926" s="173"/>
      <c r="AA926" s="206">
        <f t="shared" ref="AA926:AA954" si="1501">IFERROR(H926*7.5/E926/7,"")</f>
        <v>4.757142857142858</v>
      </c>
    </row>
    <row r="927" spans="1:27" ns3:dyDescent="0.3">
      <c r="A927" s="15" t="s">
        <v>119</v>
      </c>
      <c r="B927" s="92">
        <f>ROUNDUP('볶음참깨, 참기름'!K2/1000,1)*1.05</f>
        <v>54.915000000000006</v>
      </c>
      <c r="C927" s="164"/>
      <c r="D927" s="166" t="str">
        <f t="shared" si="1500"/>
        <v/>
      </c>
      <c r="E927" s="4"/>
      <c r="F927" s="3"/>
      <c r="G927" s="5"/>
      <c r="H927" s="45"/>
      <c r="I927" s="34">
        <f t="shared" si="1486"/>
        <v>0</v>
      </c>
      <c r="J927" s="78" t="str">
        <f>IFERROR(VLOOKUP(C927,[2]Sheet1!$D:$J,7,0),"")</f>
        <v/>
      </c>
      <c r="K927" s="80" t="str">
        <f t="shared" si="1487"/>
        <v/>
      </c>
      <c r="L927" s="7">
        <f t="shared" si="1488"/>
        <v>0</v>
      </c>
      <c r="M927" s="8" t="str">
        <f t="shared" si="1489"/>
        <v/>
      </c>
      <c r="N927" s="57" t="str">
        <f>IFERROR((K927*1.5/H927),"")</f>
        <v/>
      </c>
      <c r="O927" s="9"/>
      <c r="P927" s="10"/>
      <c r="Q927" s="10"/>
      <c r="R927" s="10">
        <f t="shared" si="1491"/>
        <v>0</v>
      </c>
      <c r="S927" s="41">
        <f t="shared" si="1484"/>
        <v>0</v>
      </c>
      <c r="Y927" s="1"/>
      <c r="AA927" s="206" t="str">
        <f t="shared" si="1501"/>
        <v/>
      </c>
    </row>
    <row r="928" spans="1:27" ns3:dyDescent="0.3">
      <c r="A928" s="15"/>
      <c r="B928" s="15"/>
      <c r="C928" s="164" t="s">
        <v>230</v>
      </c>
      <c r="D928" s="166">
        <f t="shared" si="1500"/>
        <v>4.6290909090909089</v>
      </c>
      <c r="E928" s="4">
        <v>1</v>
      </c>
      <c r="F928" s="3">
        <f>IFERROR((L928-K928),"")</f>
        <v>4.6290909090909089</v>
      </c>
      <c r="G928" s="5">
        <f>G926</f>
        <v>7.5</v>
      </c>
      <c r="H928" s="38">
        <f>10.184/16.5</f>
        <v>0.61721212121212121</v>
      </c>
      <c r="I928" s="34">
        <f t="shared" si="1486"/>
        <v>0</v>
      </c>
      <c r="J928" s="78">
        <f>IFERROR(VLOOKUP(C928,[2]Sheet1!$D:$J,7,0),"")</f>
        <v>0</v>
      </c>
      <c r="K928" s="80">
        <f t="shared" si="1487"/>
        <v>0</v>
      </c>
      <c r="L928" s="7">
        <f t="shared" si="1488"/>
        <v>4.6290909090909089</v>
      </c>
      <c r="M928" s="8">
        <f t="shared" si="1489"/>
        <v>-4.6290909090909089</v>
      </c>
      <c r="N928" s="57">
        <f>IFERROR((K928/H928),"")</f>
        <v>0</v>
      </c>
      <c r="O928" s="9"/>
      <c r="P928" s="10"/>
      <c r="Q928" s="10">
        <v>81600</v>
      </c>
      <c r="R928" s="10">
        <f t="shared" si="1491"/>
        <v>0</v>
      </c>
      <c r="S928" s="41">
        <f t="shared" si="1484"/>
        <v>0</v>
      </c>
      <c r="U928" s="183"/>
      <c r="W928" s="173"/>
      <c r="Y928" s="173"/>
      <c r="Z928" s="1"/>
      <c r="AA928" s="206">
        <f t="shared" si="1501"/>
        <v>0.66129870129870127</v>
      </c>
    </row>
    <row r="929" spans="1:28" ns3:dyDescent="0.3">
      <c r="A929" s="15" t="s">
        <v>36</v>
      </c>
      <c r="B929" s="92">
        <v>10.183999999999999</v>
      </c>
      <c r="C929" s="62"/>
      <c r="D929" s="166" t="str">
        <f t="shared" si="1500"/>
        <v/>
      </c>
      <c r="E929" s="4"/>
      <c r="F929" s="3"/>
      <c r="G929" s="5"/>
      <c r="H929" s="6"/>
      <c r="I929" s="34">
        <f t="shared" si="1486"/>
        <v>0</v>
      </c>
      <c r="J929" s="78" t="str">
        <f>IFERROR(VLOOKUP(C929,[2]Sheet1!$D:$J,7,0),"")</f>
        <v/>
      </c>
      <c r="K929" s="80" t="str">
        <f t="shared" si="1487"/>
        <v/>
      </c>
      <c r="L929" s="7">
        <f t="shared" si="1488"/>
        <v>0</v>
      </c>
      <c r="M929" s="8" t="str">
        <f t="shared" si="1489"/>
        <v/>
      </c>
      <c r="N929" s="57" t="str">
        <f>IFERROR((K929/H929),"")</f>
        <v/>
      </c>
      <c r="O929" s="9"/>
      <c r="P929" s="10"/>
      <c r="Q929" s="10"/>
      <c r="R929" s="10">
        <f t="shared" si="1491"/>
        <v>0</v>
      </c>
      <c r="S929" s="41">
        <f t="shared" si="1484"/>
        <v>0</v>
      </c>
      <c r="Y929" s="1"/>
      <c r="Z929" s="1"/>
      <c r="AA929" s="206" t="str">
        <f t="shared" si="1501"/>
        <v/>
      </c>
    </row>
    <row r="930" spans="1:28" ht="15.75" hidden="1" customHeight="1" ns3:dyDescent="0.3">
      <c r="A930" s="59"/>
      <c r="B930" s="11"/>
      <c r="C930" s="262" t="s">
        <v>518</v>
      </c>
      <c r="D930" s="166" t="str">
        <f t="shared" ref="D930" si="1502">IFERROR((F930/E930),"")</f>
        <v/>
      </c>
      <c r="E930" s="4">
        <v>10</v>
      </c>
      <c r="F930" s="3" t="str">
        <f>IFERROR((L930-K930),"")</f>
        <v/>
      </c>
      <c r="G930" s="5">
        <f>G928</f>
        <v>7.5</v>
      </c>
      <c r="H930" s="6" t="e">
        <f>ROUNDUP((SUMPRODUCT(B931*C931))/1000,1)</f>
        <v>#N/A</v>
      </c>
      <c r="I930" s="34">
        <f t="shared" ref="I930:I931" si="1503">IFERROR((S930*E930),"")</f>
        <v>0</v>
      </c>
      <c r="J930" s="78" t="str">
        <f>IFERROR(VLOOKUP(C930,[2]Sheet1!$D:$J,7,0),"")</f>
        <v/>
      </c>
      <c r="K930" s="80" t="str">
        <f t="shared" ref="K930:K931" si="1504">IFERROR((I930+J930),"")</f>
        <v/>
      </c>
      <c r="L930" s="7" t="str">
        <f t="shared" ref="L930:L931" si="1505">IFERROR((G930*H930),"")</f>
        <v/>
      </c>
      <c r="M930" s="8" t="str">
        <f t="shared" ref="M930:M931" si="1506">IFERROR(K930-L930,"")</f>
        <v/>
      </c>
      <c r="N930" s="57" t="str">
        <f t="shared" ref="N930:N931" si="1507">IFERROR((K930/H930),"")</f>
        <v/>
      </c>
      <c r="O930" s="9"/>
      <c r="P930" s="10"/>
      <c r="Q930" s="10"/>
      <c r="R930" s="10">
        <f t="shared" ref="R930:R931" si="1508">O930*P930*Q930</f>
        <v>0</v>
      </c>
      <c r="S930" s="41">
        <f t="shared" si="1484"/>
        <v>0</v>
      </c>
      <c r="Y930" s="42"/>
      <c r="AA930" s="206" t="str">
        <f t="shared" si="1501"/>
        <v/>
      </c>
    </row>
    <row r="931" spans="1:28" hidden="1" ns3:dyDescent="0.3">
      <c r="A931" s="272" t="s">
        <v>503</v>
      </c>
      <c r="B931" s="11" t="e">
        <f>ROUNDUP(HLOOKUP(A931,'야채 계산기'!$2:$3,2,0)*1.03,0)</f>
        <v>#N/A</v>
      </c>
      <c r="C931" s="164">
        <v>2.52</v>
      </c>
      <c r="D931" s="166"/>
      <c r="E931" s="4"/>
      <c r="F931" s="3"/>
      <c r="G931" s="5"/>
      <c r="H931" s="6"/>
      <c r="I931" s="34">
        <f t="shared" si="1503"/>
        <v>0</v>
      </c>
      <c r="J931" s="78" t="str">
        <f>IFERROR(VLOOKUP(C931,[2]Sheet1!$D:$J,7,0),"")</f>
        <v/>
      </c>
      <c r="K931" s="80" t="str">
        <f t="shared" si="1504"/>
        <v/>
      </c>
      <c r="L931" s="7">
        <f t="shared" si="1505"/>
        <v>0</v>
      </c>
      <c r="M931" s="8" t="str">
        <f t="shared" si="1506"/>
        <v/>
      </c>
      <c r="N931" s="57" t="str">
        <f t="shared" si="1507"/>
        <v/>
      </c>
      <c r="O931" s="9"/>
      <c r="P931" s="10"/>
      <c r="Q931" s="10"/>
      <c r="R931" s="10">
        <f t="shared" si="1508"/>
        <v>0</v>
      </c>
      <c r="S931" s="41">
        <f t="shared" si="1484"/>
        <v>0</v>
      </c>
      <c r="Y931" s="42"/>
      <c r="AA931" s="206" t="str">
        <f t="shared" si="1501"/>
        <v/>
      </c>
    </row>
    <row r="932" spans="1:28" ht="16.5" customHeight="1" ns3:dyDescent="0.3">
      <c r="A932" s="15"/>
      <c r="B932" s="11"/>
      <c r="C932" s="62"/>
      <c r="D932" s="166"/>
      <c r="E932" s="4"/>
      <c r="F932" s="3"/>
      <c r="G932" s="5"/>
      <c r="H932" s="6"/>
      <c r="I932" s="34">
        <f t="shared" ref="I932:I941" si="1509">IFERROR((S932*E932),"")</f>
        <v>0</v>
      </c>
      <c r="J932" s="78" t="str">
        <f>IFERROR(VLOOKUP(C932,[2]Sheet1!$D:$J,7,0),"")</f>
        <v/>
      </c>
      <c r="K932" s="80"/>
      <c r="L932" s="7">
        <f t="shared" ref="L932:L941" si="1510">IFERROR((G932*H932),"")</f>
        <v>0</v>
      </c>
      <c r="M932" s="8"/>
      <c r="N932" s="57"/>
      <c r="O932" s="9"/>
      <c r="P932" s="10"/>
      <c r="Q932" s="10"/>
      <c r="R932" s="10"/>
      <c r="Y932" s="42"/>
      <c r="AA932" s="206" t="str">
        <f t="shared" si="1501"/>
        <v/>
      </c>
    </row>
    <row r="933" spans="1:28" ns3:dyDescent="0.3">
      <c r="A933" s="2"/>
      <c r="B933" s="2"/>
      <c r="C933" s="62"/>
      <c r="D933" s="166"/>
      <c r="E933" s="4"/>
      <c r="F933" s="3"/>
      <c r="G933" s="5"/>
      <c r="H933" s="6"/>
      <c r="I933" s="34">
        <f t="shared" si="1509"/>
        <v>0</v>
      </c>
      <c r="J933" s="78" t="str">
        <f>IFERROR(VLOOKUP(C933,[2]Sheet1!$D:$J,7,0),"")</f>
        <v/>
      </c>
      <c r="K933" s="80" t="str">
        <f t="shared" ref="K933:K962" si="1511">IFERROR((I933+J933),"")</f>
        <v/>
      </c>
      <c r="L933" s="7">
        <f t="shared" si="1510"/>
        <v>0</v>
      </c>
      <c r="M933" s="8" t="str">
        <f t="shared" ref="M933:M941" si="1512">IFERROR(K933-L933,"")</f>
        <v/>
      </c>
      <c r="N933" s="57"/>
      <c r="O933" s="9"/>
      <c r="P933" s="10"/>
      <c r="Q933" s="10"/>
      <c r="R933" s="10"/>
      <c r="S933" s="41">
        <f t="shared" ref="S933:S961" si="1513">SUM(Y933,T933:X933)</f>
        <v>0</v>
      </c>
      <c r="Y933" s="42"/>
      <c r="Z933" s="1"/>
      <c r="AA933" s="206" t="str">
        <f t="shared" si="1501"/>
        <v/>
      </c>
    </row>
    <row r="934" spans="1:28" ns3:dyDescent="0.3">
      <c r="A934" s="209" t="s">
        <v>378</v>
      </c>
      <c r="B934" s="58" t="s">
        <v>313</v>
      </c>
      <c r="C934" s="152"/>
      <c r="D934" s="166" t="str">
        <f t="shared" ref="D934:D935" si="1514">IFERROR((F934/E934),"")</f>
        <v/>
      </c>
      <c r="E934" s="4"/>
      <c r="F934" s="3"/>
      <c r="G934" s="5"/>
      <c r="H934" s="6"/>
      <c r="I934" s="34">
        <f t="shared" si="1509"/>
        <v>0</v>
      </c>
      <c r="J934" s="78" t="str">
        <f>IFERROR(VLOOKUP(C934,[2]Sheet1!$D:$J,7,0),"")</f>
        <v/>
      </c>
      <c r="K934" s="80" t="str">
        <f t="shared" si="1511"/>
        <v/>
      </c>
      <c r="L934" s="7">
        <f t="shared" si="1510"/>
        <v>0</v>
      </c>
      <c r="M934" s="8" t="str">
        <f t="shared" si="1512"/>
        <v/>
      </c>
      <c r="N934" s="57" t="str">
        <f t="shared" ref="N934:N937" si="1515">IFERROR((K934/H934),"")</f>
        <v/>
      </c>
      <c r="O934" s="9"/>
      <c r="P934" s="10"/>
      <c r="Q934" s="10"/>
      <c r="R934" s="10">
        <f t="shared" ref="R934:R937" si="1516">O934*P934*Q934</f>
        <v>0</v>
      </c>
      <c r="S934" s="41">
        <f t="shared" si="1513"/>
        <v>0</v>
      </c>
      <c r="Y934" s="42"/>
      <c r="Z934" s="1"/>
      <c r="AA934" s="206" t="str">
        <f t="shared" si="1501"/>
        <v/>
      </c>
    </row>
    <row r="935" spans="1:28" ns3:dyDescent="0.3">
      <c r="A935" s="61"/>
      <c r="B935" s="11"/>
      <c r="C935" s="164" t="s">
        <v>239</v>
      </c>
      <c r="D935" s="166">
        <f t="shared" si="1514"/>
        <v>0.7</v>
      </c>
      <c r="E935" s="4">
        <v>10</v>
      </c>
      <c r="F935" s="3">
        <f>IFERROR((L935-K935),"")</f>
        <v>7</v>
      </c>
      <c r="G935" s="5">
        <v>7.5</v>
      </c>
      <c r="H935" s="39">
        <f>ROUNDUP(SUMPRODUCT(B936:B936,C936:C936)/1000,0)</f>
        <v>4</v>
      </c>
      <c r="I935" s="34">
        <f t="shared" si="1509"/>
        <v>10</v>
      </c>
      <c r="J935" s="78">
        <f>IFERROR(VLOOKUP(C935,[2]Sheet1!$D:$J,7,0),"")</f>
        <v>13</v>
      </c>
      <c r="K935" s="80">
        <f t="shared" si="1511"/>
        <v>23</v>
      </c>
      <c r="L935" s="7">
        <f t="shared" si="1510"/>
        <v>30</v>
      </c>
      <c r="M935" s="8">
        <f t="shared" si="1512"/>
        <v>-7</v>
      </c>
      <c r="N935" s="57">
        <f>IFERROR((K935/H935),"")</f>
        <v>5.75</v>
      </c>
      <c r="O935" s="9"/>
      <c r="P935" s="10"/>
      <c r="Q935" s="10">
        <v>2000</v>
      </c>
      <c r="R935" s="10">
        <f>O935*P935*Q935</f>
        <v>0</v>
      </c>
      <c r="S935" s="41">
        <f t="shared" si="1513"/>
        <v>1</v>
      </c>
      <c r="U935" s="183">
        <v>1</v>
      </c>
      <c r="V935" s="1" t="s">
        <v>754</v>
      </c>
      <c r="W935" s="173"/>
      <c r="Y935" s="173"/>
      <c r="Z935" s="1"/>
      <c r="AA935" s="206">
        <f t="shared" si="1501"/>
        <v>0.42857142857142855</v>
      </c>
    </row>
    <row r="936" spans="1:28" ns3:dyDescent="0.3">
      <c r="A936" s="264" t="s">
        <v>496</v>
      </c>
      <c r="B936" s="11">
        <f>ROUNDUP(HLOOKUP(A936,'야채 계산기'!$2:$3,2,0)*1.03,0)</f>
        <v>1113</v>
      </c>
      <c r="C936" s="62">
        <f>'[1]뭘좋아할지몰라다넣어봤어(26.08.11)'!$B$18</f>
        <v>3.4</v>
      </c>
      <c r="D936" s="166"/>
      <c r="E936" s="4"/>
      <c r="F936" s="3"/>
      <c r="G936" s="5"/>
      <c r="H936" s="6"/>
      <c r="I936" s="34">
        <f t="shared" si="1509"/>
        <v>0</v>
      </c>
      <c r="J936" s="78" t="str">
        <f>IFERROR(VLOOKUP(C936,[2]Sheet1!$D:$J,7,0),"")</f>
        <v/>
      </c>
      <c r="K936" s="80" t="str">
        <f t="shared" si="1511"/>
        <v/>
      </c>
      <c r="L936" s="7">
        <f t="shared" si="1510"/>
        <v>0</v>
      </c>
      <c r="M936" s="8" t="str">
        <f t="shared" si="1512"/>
        <v/>
      </c>
      <c r="N936" s="57"/>
      <c r="O936" s="9"/>
      <c r="P936" s="10"/>
      <c r="Q936" s="10"/>
      <c r="R936" s="10"/>
      <c r="S936" s="41">
        <f t="shared" si="1513"/>
        <v>0</v>
      </c>
      <c r="Y936" s="1"/>
      <c r="Z936" s="1"/>
      <c r="AA936" s="206" t="str">
        <f t="shared" si="1501"/>
        <v/>
      </c>
    </row>
    <row r="937" spans="1:28" ns3:dyDescent="0.3">
      <c r="A937" s="16"/>
      <c r="B937" s="11"/>
      <c r="C937" s="164" t="s">
        <v>122</v>
      </c>
      <c r="D937" s="166">
        <f>IFERROR((F937/E937),"")</f>
        <v>1.825</v>
      </c>
      <c r="E937" s="4">
        <v>10</v>
      </c>
      <c r="F937" s="3">
        <f>IFERROR((L937-K937),"")</f>
        <v>18.25</v>
      </c>
      <c r="G937" s="5">
        <f>G935</f>
        <v>7.5</v>
      </c>
      <c r="H937" s="6">
        <f>ROUNDUP(SUMPRODUCT(B938:B941,C938:C941)/1000,1)</f>
        <v>7.1</v>
      </c>
      <c r="I937" s="34">
        <f t="shared" si="1509"/>
        <v>0</v>
      </c>
      <c r="J937" s="78">
        <f>IFERROR(VLOOKUP(C937,[2]Sheet1!$D:$J,7,0),"")</f>
        <v>35</v>
      </c>
      <c r="K937" s="80">
        <f t="shared" si="1511"/>
        <v>35</v>
      </c>
      <c r="L937" s="7">
        <f t="shared" si="1510"/>
        <v>53.25</v>
      </c>
      <c r="M937" s="8">
        <f t="shared" si="1512"/>
        <v>-18.25</v>
      </c>
      <c r="N937" s="57">
        <f t="shared" si="1515"/>
        <v>4.9295774647887329</v>
      </c>
      <c r="O937" s="9"/>
      <c r="P937" s="10"/>
      <c r="Q937" s="10">
        <v>1850</v>
      </c>
      <c r="R937" s="10">
        <f t="shared" si="1516"/>
        <v>0</v>
      </c>
      <c r="S937" s="41">
        <f t="shared" si="1513"/>
        <v>0</v>
      </c>
      <c r="U937" s="183"/>
      <c r="W937" s="173"/>
      <c r="Y937" s="173"/>
      <c r="Z937" s="1"/>
      <c r="AA937" s="206">
        <f t="shared" si="1501"/>
        <v>0.76071428571428579</v>
      </c>
    </row>
    <row r="938" spans="1:28" ht="15.75" customHeight="1" ns3:dyDescent="0.3">
      <c r="A938" s="61" t="s">
        <v>761</v>
      </c>
      <c r="B938" s="11">
        <f>ROUNDUP(HLOOKUP(A938,'야채 계산기'!$2:$3,2,0)*1.03,0)</f>
        <v>2266</v>
      </c>
      <c r="C938" s="62">
        <f>'[1]혜자)돌아온 명불허전(25.9.18)리뉴얼'!$B$15</f>
        <v>1.9100000000000001</v>
      </c>
      <c r="D938" s="166" t="str">
        <f>IFERROR((F938/E938),"")</f>
        <v/>
      </c>
      <c r="E938" s="4"/>
      <c r="F938" s="3"/>
      <c r="G938" s="5"/>
      <c r="H938" s="6"/>
      <c r="I938" s="34">
        <f t="shared" si="1509"/>
        <v>0</v>
      </c>
      <c r="J938" s="78" t="str">
        <f>IFERROR(VLOOKUP(C938,[2]Sheet1!$D:$J,7,0),"")</f>
        <v/>
      </c>
      <c r="K938" s="80" t="str">
        <f t="shared" si="1511"/>
        <v/>
      </c>
      <c r="L938" s="7">
        <f t="shared" si="1510"/>
        <v>0</v>
      </c>
      <c r="M938" s="8" t="str">
        <f t="shared" si="1512"/>
        <v/>
      </c>
      <c r="N938" s="57" t="str">
        <f t="shared" ref="N938:N947" si="1517">IFERROR((K938/H938),"")</f>
        <v/>
      </c>
      <c r="O938" s="9"/>
      <c r="P938" s="10"/>
      <c r="Q938" s="10"/>
      <c r="R938" s="10">
        <f t="shared" ref="R938:R947" si="1518">O938*P938*Q938</f>
        <v>0</v>
      </c>
      <c r="S938" s="41">
        <f t="shared" si="1513"/>
        <v>0</v>
      </c>
      <c r="Y938" s="1"/>
      <c r="Z938" s="1"/>
      <c r="AA938" s="206" t="str">
        <f t="shared" si="1501"/>
        <v/>
      </c>
    </row>
    <row r="939" spans="1:28" ns3:dyDescent="0.3">
      <c r="A939" s="61" t="s">
        <v>299</v>
      </c>
      <c r="B939" s="11">
        <f>ROUNDUP(HLOOKUP(A939,'야채 계산기'!$2:$3,2,0)*1.03,0)</f>
        <v>31</v>
      </c>
      <c r="C939" s="62">
        <v>11.51</v>
      </c>
      <c r="D939" s="166"/>
      <c r="E939" s="4"/>
      <c r="F939" s="3"/>
      <c r="G939" s="5"/>
      <c r="H939" s="6"/>
      <c r="I939" s="34">
        <f t="shared" ref="I939:I940" si="1519">IFERROR((S939*E939),"")</f>
        <v>0</v>
      </c>
      <c r="J939" s="78" t="str">
        <f>IFERROR(VLOOKUP(C939,[2]Sheet1!$D:$J,7,0),"")</f>
        <v/>
      </c>
      <c r="K939" s="80" t="str">
        <f t="shared" ref="K939:K940" si="1520">IFERROR((I939+J939),"")</f>
        <v/>
      </c>
      <c r="L939" s="7">
        <f t="shared" ref="L939:L940" si="1521">IFERROR((G939*H939),"")</f>
        <v>0</v>
      </c>
      <c r="M939" s="8" t="str">
        <f t="shared" ref="M939:M940" si="1522">IFERROR(K939-L939,"")</f>
        <v/>
      </c>
      <c r="N939" s="57" t="str">
        <f t="shared" ref="N939:N940" si="1523">IFERROR((K939/H939),"")</f>
        <v/>
      </c>
      <c r="O939" s="9"/>
      <c r="P939" s="10"/>
      <c r="Q939" s="10"/>
      <c r="R939" s="10">
        <f t="shared" ref="R939:R940" si="1524">O939*P939*Q939</f>
        <v>0</v>
      </c>
      <c r="S939" s="41">
        <f t="shared" si="1513"/>
        <v>0</v>
      </c>
      <c r="Y939" s="1"/>
      <c r="Z939" s="1"/>
      <c r="AA939" s="206" t="str">
        <f t="shared" si="1501"/>
        <v/>
      </c>
    </row>
    <row r="940" spans="1:28" ns3:dyDescent="0.3">
      <c r="A940" s="61" t="s">
        <v>624</v>
      </c>
      <c r="B940" s="11">
        <f>ROUNDUP(HLOOKUP(A940,'야채 계산기'!$2:$3,2,0)*1.03,0)</f>
        <v>1206</v>
      </c>
      <c r="C940" s="62">
        <v>0.96</v>
      </c>
      <c r="D940" s="166"/>
      <c r="E940" s="4"/>
      <c r="F940" s="3"/>
      <c r="G940" s="5"/>
      <c r="H940" s="6"/>
      <c r="I940" s="34">
        <f t="shared" si="1519"/>
        <v>0</v>
      </c>
      <c r="J940" s="78" t="str">
        <f>IFERROR(VLOOKUP(C940,[2]Sheet1!$D:$J,7,0),"")</f>
        <v/>
      </c>
      <c r="K940" s="80" t="str">
        <f t="shared" si="1520"/>
        <v/>
      </c>
      <c r="L940" s="7">
        <f t="shared" si="1521"/>
        <v>0</v>
      </c>
      <c r="M940" s="8" t="str">
        <f t="shared" si="1522"/>
        <v/>
      </c>
      <c r="N940" s="57" t="str">
        <f t="shared" si="1523"/>
        <v/>
      </c>
      <c r="O940" s="9"/>
      <c r="P940" s="10"/>
      <c r="Q940" s="10"/>
      <c r="R940" s="10">
        <f t="shared" si="1524"/>
        <v>0</v>
      </c>
      <c r="S940" s="41">
        <f t="shared" ref="S940" si="1525">SUM(Y940,T940:X940)</f>
        <v>0</v>
      </c>
      <c r="Y940" s="1"/>
      <c r="Z940" s="1"/>
      <c r="AA940" s="206" t="str">
        <f t="shared" ref="AA940" si="1526">IFERROR(H940*7.5/E940/7,"")</f>
        <v/>
      </c>
    </row>
    <row r="941" spans="1:28" ns3:dyDescent="0.3">
      <c r="A941" s="61" t="s">
        <v>711</v>
      </c>
      <c r="B941" s="11">
        <f>ROUNDUP(HLOOKUP(A941,'야채 계산기'!$2:$3,2,0)*1.03,0)</f>
        <v>1731</v>
      </c>
      <c r="C941" s="62">
        <v>0.71</v>
      </c>
      <c r="D941" s="166"/>
      <c r="E941" s="4"/>
      <c r="F941" s="3"/>
      <c r="G941" s="5"/>
      <c r="H941" s="6"/>
      <c r="I941" s="34">
        <f t="shared" si="1509"/>
        <v>0</v>
      </c>
      <c r="J941" s="78" t="str">
        <f>IFERROR(VLOOKUP(C941,[2]Sheet1!$D:$J,7,0),"")</f>
        <v/>
      </c>
      <c r="K941" s="80" t="str">
        <f t="shared" si="1511"/>
        <v/>
      </c>
      <c r="L941" s="7">
        <f t="shared" si="1510"/>
        <v>0</v>
      </c>
      <c r="M941" s="8" t="str">
        <f t="shared" si="1512"/>
        <v/>
      </c>
      <c r="N941" s="57" t="str">
        <f t="shared" si="1517"/>
        <v/>
      </c>
      <c r="O941" s="9"/>
      <c r="P941" s="10"/>
      <c r="Q941" s="10"/>
      <c r="R941" s="10">
        <f t="shared" si="1518"/>
        <v>0</v>
      </c>
      <c r="S941" s="41">
        <f t="shared" si="1513"/>
        <v>0</v>
      </c>
      <c r="Y941" s="1"/>
      <c r="Z941" s="1"/>
      <c r="AA941" s="206" t="str">
        <f t="shared" si="1501"/>
        <v/>
      </c>
    </row>
    <row r="942" spans="1:28" ns3:dyDescent="0.3">
      <c r="A942" s="61"/>
      <c r="B942" s="11"/>
      <c r="C942" s="164" t="s">
        <v>121</v>
      </c>
      <c r="D942" s="166">
        <f>IFERROR((F942/E942),"")</f>
        <v>39.17499999999999</v>
      </c>
      <c r="E942" s="4">
        <v>10</v>
      </c>
      <c r="F942" s="3">
        <f>IFERROR((L942-K942),"")</f>
        <v>391.74999999999989</v>
      </c>
      <c r="G942" s="5">
        <f>G935</f>
        <v>7.5</v>
      </c>
      <c r="H942" s="6">
        <f>ROUNDUP(SUMPRODUCT(B943:B946,C943:C946)/1000,0)*0.85</f>
        <v>96.899999999999991</v>
      </c>
      <c r="I942" s="34">
        <f t="shared" ref="I942:I948" si="1527">IFERROR((S942*E942),"")</f>
        <v>160</v>
      </c>
      <c r="J942" s="78">
        <f>IFERROR(VLOOKUP(C942,[2]Sheet1!$D:$J,7,0),"")</f>
        <v>175</v>
      </c>
      <c r="K942" s="80">
        <f t="shared" si="1511"/>
        <v>335</v>
      </c>
      <c r="L942" s="7">
        <f t="shared" ref="L942:L948" si="1528">IFERROR((G942*H942),"")</f>
        <v>726.74999999999989</v>
      </c>
      <c r="M942" s="8">
        <f t="shared" ref="M942:M948" si="1529">IFERROR(K942-L942,"")</f>
        <v>-391.74999999999989</v>
      </c>
      <c r="N942" s="57">
        <f t="shared" si="1517"/>
        <v>3.4571723426212593</v>
      </c>
      <c r="O942" s="9"/>
      <c r="P942" s="10"/>
      <c r="Q942" s="10">
        <v>1900</v>
      </c>
      <c r="R942" s="10">
        <f t="shared" si="1518"/>
        <v>0</v>
      </c>
      <c r="S942" s="41">
        <f t="shared" si="1513"/>
        <v>16</v>
      </c>
      <c r="U942" s="183">
        <v>16</v>
      </c>
      <c r="W942" s="173"/>
      <c r="Y942" s="173"/>
      <c r="Z942" s="1"/>
      <c r="AA942" s="206">
        <f t="shared" si="1501"/>
        <v>10.382142857142854</v>
      </c>
      <c r="AB942" s="1">
        <v>14</v>
      </c>
    </row>
    <row r="943" spans="1:28" ns3:dyDescent="0.3">
      <c r="A943" s="61" t="s">
        <v>16</v>
      </c>
      <c r="B943" s="11">
        <f>ROUNDUP(HLOOKUP(A943,'야채 계산기'!$2:$3,2,0)*1.03,0)</f>
        <v>3245</v>
      </c>
      <c r="C943" s="164">
        <v>1.74</v>
      </c>
      <c r="D943" s="166"/>
      <c r="E943" s="4"/>
      <c r="F943" s="3"/>
      <c r="G943" s="5"/>
      <c r="H943" s="6"/>
      <c r="I943" s="34">
        <f t="shared" si="1527"/>
        <v>0</v>
      </c>
      <c r="J943" s="78" t="str">
        <f>IFERROR(VLOOKUP(C943,[2]Sheet1!$D:$J,7,0),"")</f>
        <v/>
      </c>
      <c r="K943" s="80" t="str">
        <f t="shared" si="1511"/>
        <v/>
      </c>
      <c r="L943" s="7">
        <f t="shared" si="1528"/>
        <v>0</v>
      </c>
      <c r="M943" s="8" t="str">
        <f t="shared" si="1529"/>
        <v/>
      </c>
      <c r="N943" s="57" t="str">
        <f t="shared" si="1517"/>
        <v/>
      </c>
      <c r="O943" s="9"/>
      <c r="P943" s="10"/>
      <c r="Q943" s="10"/>
      <c r="R943" s="10">
        <f t="shared" si="1518"/>
        <v>0</v>
      </c>
      <c r="S943" s="41">
        <f t="shared" si="1513"/>
        <v>0</v>
      </c>
      <c r="Y943" s="1"/>
      <c r="Z943" s="1"/>
      <c r="AA943" s="206" t="str">
        <f t="shared" si="1501"/>
        <v/>
      </c>
    </row>
    <row r="944" spans="1:28" ns3:dyDescent="0.3">
      <c r="A944" s="63" t="s">
        <v>492</v>
      </c>
      <c r="B944" s="11">
        <f>ROUNDUP(HLOOKUP(A944,'야채 계산기'!$2:$3,2,0)*1.03,0)</f>
        <v>57</v>
      </c>
      <c r="C944" s="164">
        <f>'[1]착한비빔밥(25.10.23)'!$B$12</f>
        <v>25.6</v>
      </c>
      <c r="D944" s="166"/>
      <c r="E944" s="4"/>
      <c r="F944" s="3"/>
      <c r="G944" s="5"/>
      <c r="H944" s="6"/>
      <c r="I944" s="34">
        <f t="shared" si="1527"/>
        <v>0</v>
      </c>
      <c r="J944" s="78" t="str">
        <f>IFERROR(VLOOKUP(C944,[2]Sheet1!$D:$J,7,0),"")</f>
        <v/>
      </c>
      <c r="K944" s="80" t="str">
        <f t="shared" si="1511"/>
        <v/>
      </c>
      <c r="L944" s="7">
        <f t="shared" si="1528"/>
        <v>0</v>
      </c>
      <c r="M944" s="8" t="str">
        <f t="shared" si="1529"/>
        <v/>
      </c>
      <c r="N944" s="57" t="str">
        <f t="shared" si="1517"/>
        <v/>
      </c>
      <c r="O944" s="9"/>
      <c r="P944" s="10"/>
      <c r="Q944" s="10"/>
      <c r="R944" s="10">
        <f t="shared" si="1518"/>
        <v>0</v>
      </c>
      <c r="S944" s="41">
        <f t="shared" si="1513"/>
        <v>0</v>
      </c>
      <c r="Y944" s="1"/>
      <c r="Z944" s="1"/>
      <c r="AA944" s="206" t="str">
        <f t="shared" si="1501"/>
        <v/>
      </c>
    </row>
    <row r="945" spans="1:27" ns3:dyDescent="0.3">
      <c r="A945" s="15" t="s">
        <v>256</v>
      </c>
      <c r="B945" s="11">
        <f>ROUNDUP(HLOOKUP(A945,'야채 계산기'!$2:$3,2,0)*1.03,0)</f>
        <v>2926</v>
      </c>
      <c r="C945" s="164">
        <v>26.52</v>
      </c>
      <c r="D945" s="166" t="str">
        <f>IFERROR((F945/E945),"")</f>
        <v/>
      </c>
      <c r="E945" s="4"/>
      <c r="F945" s="3"/>
      <c r="G945" s="5"/>
      <c r="H945" s="6"/>
      <c r="I945" s="34">
        <f t="shared" si="1527"/>
        <v>0</v>
      </c>
      <c r="J945" s="78" t="str">
        <f>IFERROR(VLOOKUP(C945,[2]Sheet1!$D:$J,7,0),"")</f>
        <v/>
      </c>
      <c r="K945" s="80" t="str">
        <f t="shared" si="1511"/>
        <v/>
      </c>
      <c r="L945" s="7">
        <f t="shared" si="1528"/>
        <v>0</v>
      </c>
      <c r="M945" s="8" t="str">
        <f t="shared" si="1529"/>
        <v/>
      </c>
      <c r="N945" s="57" t="str">
        <f t="shared" si="1517"/>
        <v/>
      </c>
      <c r="O945" s="9"/>
      <c r="P945" s="10"/>
      <c r="Q945" s="10"/>
      <c r="R945" s="10">
        <f t="shared" si="1518"/>
        <v>0</v>
      </c>
      <c r="S945" s="41">
        <f t="shared" si="1513"/>
        <v>0</v>
      </c>
      <c r="Y945" s="1"/>
      <c r="Z945" s="1"/>
      <c r="AA945" s="206" t="str">
        <f t="shared" si="1501"/>
        <v/>
      </c>
    </row>
    <row r="946" spans="1:27" ns3:dyDescent="0.3">
      <c r="A946" s="15" t="s">
        <v>269</v>
      </c>
      <c r="B946" s="11">
        <f>ROUNDUP(HLOOKUP(A946,'야채 계산기'!$2:$3,2,0)*1.03,0)</f>
        <v>1082</v>
      </c>
      <c r="C946" s="164">
        <v>26.52</v>
      </c>
      <c r="D946" s="166" t="str">
        <f>IFERROR((F946/E946),"")</f>
        <v/>
      </c>
      <c r="E946" s="4"/>
      <c r="F946" s="3"/>
      <c r="G946" s="5"/>
      <c r="H946" s="6"/>
      <c r="I946" s="34">
        <f t="shared" si="1527"/>
        <v>0</v>
      </c>
      <c r="J946" s="78" t="str">
        <f>IFERROR(VLOOKUP(C946,[2]Sheet1!$D:$J,7,0),"")</f>
        <v/>
      </c>
      <c r="K946" s="80" t="str">
        <f t="shared" si="1511"/>
        <v/>
      </c>
      <c r="L946" s="7">
        <f t="shared" si="1528"/>
        <v>0</v>
      </c>
      <c r="M946" s="8" t="str">
        <f t="shared" si="1529"/>
        <v/>
      </c>
      <c r="N946" s="57" t="str">
        <f t="shared" si="1517"/>
        <v/>
      </c>
      <c r="O946" s="9"/>
      <c r="P946" s="10"/>
      <c r="Q946" s="10"/>
      <c r="R946" s="10">
        <f t="shared" si="1518"/>
        <v>0</v>
      </c>
      <c r="S946" s="41">
        <f t="shared" si="1513"/>
        <v>0</v>
      </c>
      <c r="Y946" s="1"/>
      <c r="Z946" s="1"/>
      <c r="AA946" s="206" t="str">
        <f t="shared" si="1501"/>
        <v/>
      </c>
    </row>
    <row r="947" spans="1:27" ns3:dyDescent="0.3">
      <c r="A947" s="61"/>
      <c r="B947" s="11"/>
      <c r="C947" s="62" t="s">
        <v>55</v>
      </c>
      <c r="D947" s="166">
        <f>IFERROR((F947/E947),"")</f>
        <v>3.1</v>
      </c>
      <c r="E947" s="4">
        <v>10</v>
      </c>
      <c r="F947" s="3">
        <f>IFERROR((L947-K947),"")</f>
        <v>31</v>
      </c>
      <c r="G947" s="5">
        <f>G935</f>
        <v>7.5</v>
      </c>
      <c r="H947" s="6">
        <f>ROUNDUP((B948*C948)/1000,1)</f>
        <v>12.4</v>
      </c>
      <c r="I947" s="34">
        <f t="shared" si="1527"/>
        <v>20</v>
      </c>
      <c r="J947" s="78">
        <f>IFERROR(VLOOKUP(C947,[2]Sheet1!$D:$J,7,0),"")</f>
        <v>42</v>
      </c>
      <c r="K947" s="80">
        <f t="shared" si="1511"/>
        <v>62</v>
      </c>
      <c r="L947" s="7">
        <f t="shared" si="1528"/>
        <v>93</v>
      </c>
      <c r="M947" s="8">
        <f t="shared" si="1529"/>
        <v>-31</v>
      </c>
      <c r="N947" s="57">
        <f t="shared" si="1517"/>
        <v>5</v>
      </c>
      <c r="O947" s="9"/>
      <c r="P947" s="10"/>
      <c r="Q947" s="10">
        <v>2500</v>
      </c>
      <c r="R947" s="10">
        <f t="shared" si="1518"/>
        <v>0</v>
      </c>
      <c r="S947" s="41">
        <f t="shared" si="1513"/>
        <v>2</v>
      </c>
      <c r="U947" s="183">
        <v>2</v>
      </c>
      <c r="W947" s="173"/>
      <c r="Y947" s="173"/>
      <c r="Z947" s="1"/>
      <c r="AA947" s="206">
        <f t="shared" si="1501"/>
        <v>1.3285714285714287</v>
      </c>
    </row>
    <row r="948" spans="1:27" ns3:dyDescent="0.3">
      <c r="A948" s="272" t="s">
        <v>570</v>
      </c>
      <c r="B948" s="11">
        <f>ROUNDUP(HLOOKUP(A948,'야채 계산기'!$2:$3,2,0)*1.03,0)</f>
        <v>835</v>
      </c>
      <c r="C948" s="62">
        <v>14.76</v>
      </c>
      <c r="D948" s="166"/>
      <c r="E948" s="4"/>
      <c r="F948" s="3"/>
      <c r="G948" s="5"/>
      <c r="H948" s="6"/>
      <c r="I948" s="34">
        <f t="shared" si="1527"/>
        <v>0</v>
      </c>
      <c r="J948" s="78" t="str">
        <f>IFERROR(VLOOKUP(C948,[2]Sheet1!$D:$J,7,0),"")</f>
        <v/>
      </c>
      <c r="K948" s="80" t="str">
        <f t="shared" si="1511"/>
        <v/>
      </c>
      <c r="L948" s="7">
        <f t="shared" si="1528"/>
        <v>0</v>
      </c>
      <c r="M948" s="8" t="str">
        <f t="shared" si="1529"/>
        <v/>
      </c>
      <c r="N948" s="57"/>
      <c r="O948" s="9"/>
      <c r="P948" s="10"/>
      <c r="Q948" s="10"/>
      <c r="R948" s="10"/>
      <c r="S948" s="41">
        <f t="shared" si="1513"/>
        <v>0</v>
      </c>
      <c r="Y948" s="1"/>
      <c r="Z948" s="1"/>
      <c r="AA948" s="206" t="str">
        <f t="shared" si="1501"/>
        <v/>
      </c>
    </row>
    <row r="949" spans="1:27" ns3:dyDescent="0.3">
      <c r="A949" s="16"/>
      <c r="B949" s="11"/>
      <c r="C949" s="164" t="s">
        <v>323</v>
      </c>
      <c r="D949" s="166">
        <f>IFERROR((F949/E949),"")</f>
        <v>8.5499999999999972</v>
      </c>
      <c r="E949" s="4">
        <v>5</v>
      </c>
      <c r="F949" s="3">
        <f>IFERROR((L949-K949),"")</f>
        <v>42.749999999999986</v>
      </c>
      <c r="G949" s="5">
        <f>G935</f>
        <v>7.5</v>
      </c>
      <c r="H949" s="39">
        <f>ROUNDUP(SUMPRODUCT(B950:B950,C950:C950)/2000,1)</f>
        <v>13.299999999999999</v>
      </c>
      <c r="I949" s="34">
        <f>IFERROR((S949*E949),"")</f>
        <v>20</v>
      </c>
      <c r="J949" s="78">
        <f>IFERROR(VLOOKUP(C949,[2]Sheet1!$D:$J,7,0),"")</f>
        <v>37</v>
      </c>
      <c r="K949" s="80">
        <f>IFERROR((I949+J949),"")</f>
        <v>57</v>
      </c>
      <c r="L949" s="7">
        <f>IFERROR((G949*H949),"")</f>
        <v>99.749999999999986</v>
      </c>
      <c r="M949" s="8">
        <f>IFERROR(K949-L949,"")</f>
        <v>-42.749999999999986</v>
      </c>
      <c r="N949" s="57">
        <f>IFERROR((K949/H949),"")</f>
        <v>4.2857142857142865</v>
      </c>
      <c r="O949" s="9"/>
      <c r="P949" s="10"/>
      <c r="Q949" s="10">
        <v>4400</v>
      </c>
      <c r="R949" s="10">
        <f>O949*P949*Q949</f>
        <v>0</v>
      </c>
      <c r="S949" s="41">
        <f t="shared" si="1513"/>
        <v>4</v>
      </c>
      <c r="U949" s="244">
        <v>4</v>
      </c>
      <c r="W949" s="193"/>
      <c r="Y949" s="193"/>
      <c r="Z949" s="1"/>
      <c r="AA949" s="206">
        <f t="shared" si="1501"/>
        <v>2.8499999999999992</v>
      </c>
    </row>
    <row r="950" spans="1:27" ns3:dyDescent="0.3">
      <c r="A950" s="16" t="s">
        <v>326</v>
      </c>
      <c r="B950" s="11">
        <f>ROUNDUP(HLOOKUP(A950,'야채 계산기'!$2:$3,2,0),0)</f>
        <v>1190</v>
      </c>
      <c r="C950" s="162">
        <f>32.53-10.331</f>
        <v>22.199000000000002</v>
      </c>
      <c r="D950" s="166"/>
      <c r="E950" s="4"/>
      <c r="F950" s="3"/>
      <c r="G950" s="5"/>
      <c r="H950" s="6"/>
      <c r="I950" s="34">
        <f>IFERROR((S950*E950),"")</f>
        <v>0</v>
      </c>
      <c r="J950" s="78" t="str">
        <f>IFERROR(VLOOKUP(C950,[2]Sheet1!$D:$J,7,0),"")</f>
        <v/>
      </c>
      <c r="K950" s="80" t="str">
        <f>IFERROR((I950+J950),"")</f>
        <v/>
      </c>
      <c r="L950" s="7">
        <f>IFERROR((G950*H950),"")</f>
        <v>0</v>
      </c>
      <c r="M950" s="8" t="str">
        <f>IFERROR(K950-L950,"")</f>
        <v/>
      </c>
      <c r="N950" s="57"/>
      <c r="O950" s="9"/>
      <c r="P950" s="10"/>
      <c r="Q950" s="10"/>
      <c r="R950" s="10"/>
      <c r="S950" s="41">
        <f t="shared" si="1513"/>
        <v>0</v>
      </c>
      <c r="W950" s="190"/>
      <c r="Y950" s="190"/>
      <c r="Z950" s="1"/>
      <c r="AA950" s="206" t="str">
        <f t="shared" si="1501"/>
        <v/>
      </c>
    </row>
    <row r="951" spans="1:27" ns3:dyDescent="0.3">
      <c r="A951" s="61"/>
      <c r="B951" s="11"/>
      <c r="C951" s="164" t="s">
        <v>123</v>
      </c>
      <c r="D951" s="166">
        <f>IFERROR((F951/E951),"")</f>
        <v>2.4874999999999985</v>
      </c>
      <c r="E951" s="4">
        <v>10</v>
      </c>
      <c r="F951" s="3">
        <f>IFERROR((L951-K951),"")</f>
        <v>24.874999999999986</v>
      </c>
      <c r="G951" s="5">
        <f>G947</f>
        <v>7.5</v>
      </c>
      <c r="H951" s="6">
        <f>ROUNDUP(SUMPRODUCT(B952:B958,C952:C958)/1000,0)*1.15</f>
        <v>12.649999999999999</v>
      </c>
      <c r="I951" s="34">
        <f t="shared" ref="I951:I962" si="1530">IFERROR((S951*E951),"")</f>
        <v>20</v>
      </c>
      <c r="J951" s="78">
        <f>IFERROR(VLOOKUP(C951,[2]Sheet1!$D:$J,7,0),"")</f>
        <v>50</v>
      </c>
      <c r="K951" s="80">
        <f t="shared" si="1511"/>
        <v>70</v>
      </c>
      <c r="L951" s="7">
        <f t="shared" ref="L951:L962" si="1531">IFERROR((G951*H951),"")</f>
        <v>94.874999999999986</v>
      </c>
      <c r="M951" s="8">
        <f t="shared" ref="M951:M962" si="1532">IFERROR(K951-L951,"")</f>
        <v>-24.874999999999986</v>
      </c>
      <c r="N951" s="57">
        <f>IFERROR((K951/H951),"")</f>
        <v>5.5335968379446649</v>
      </c>
      <c r="O951" s="9"/>
      <c r="P951" s="10"/>
      <c r="Q951" s="10">
        <v>2400</v>
      </c>
      <c r="R951" s="10">
        <f>O951*P951*Q951</f>
        <v>0</v>
      </c>
      <c r="S951" s="41">
        <f t="shared" si="1513"/>
        <v>2</v>
      </c>
      <c r="U951" s="183">
        <v>2</v>
      </c>
      <c r="W951" s="173"/>
      <c r="Y951" s="173"/>
      <c r="Z951" s="1"/>
      <c r="AA951" s="206">
        <f t="shared" si="1501"/>
        <v>1.3553571428571427</v>
      </c>
    </row>
    <row r="952" spans="1:27" ns3:dyDescent="0.3">
      <c r="A952" s="16" t="s">
        <v>124</v>
      </c>
      <c r="B952" s="11">
        <f>ROUNDUP(HLOOKUP(A952,'야채 계산기'!$2:$3,2,0)*1.03,0)</f>
        <v>3245</v>
      </c>
      <c r="C952" s="62">
        <v>0.28000000000000003</v>
      </c>
      <c r="D952" s="166"/>
      <c r="E952" s="4"/>
      <c r="F952" s="3"/>
      <c r="G952" s="5"/>
      <c r="H952" s="6"/>
      <c r="I952" s="34">
        <f t="shared" si="1530"/>
        <v>0</v>
      </c>
      <c r="J952" s="78" t="str">
        <f>IFERROR(VLOOKUP(C952,[2]Sheet1!$D:$J,7,0),"")</f>
        <v/>
      </c>
      <c r="K952" s="80" t="str">
        <f t="shared" si="1511"/>
        <v/>
      </c>
      <c r="L952" s="7">
        <f t="shared" si="1531"/>
        <v>0</v>
      </c>
      <c r="M952" s="8" t="str">
        <f t="shared" si="1532"/>
        <v/>
      </c>
      <c r="N952" s="57"/>
      <c r="O952" s="9"/>
      <c r="P952" s="10"/>
      <c r="Q952" s="10"/>
      <c r="R952" s="10"/>
      <c r="S952" s="41">
        <f t="shared" si="1513"/>
        <v>0</v>
      </c>
      <c r="W952" s="190"/>
      <c r="Y952" s="190"/>
      <c r="Z952" s="1"/>
      <c r="AA952" s="206" t="str">
        <f t="shared" si="1501"/>
        <v/>
      </c>
    </row>
    <row r="953" spans="1:27" ns3:dyDescent="0.3">
      <c r="A953" s="61" t="s">
        <v>762</v>
      </c>
      <c r="B953" s="11">
        <f>ROUNDUP(HLOOKUP(A953,'야채 계산기'!$2:$3,2,0)*1.03,0)</f>
        <v>2266</v>
      </c>
      <c r="C953" s="62">
        <f>'[1]혜자)돌아온 명불허전(25.9.18)리뉴얼'!$B$16</f>
        <v>1.37</v>
      </c>
      <c r="D953" s="166"/>
      <c r="E953" s="4"/>
      <c r="F953" s="3"/>
      <c r="G953" s="5"/>
      <c r="H953" s="6"/>
      <c r="I953" s="34">
        <f t="shared" si="1530"/>
        <v>0</v>
      </c>
      <c r="J953" s="78" t="str">
        <f>IFERROR(VLOOKUP(C953,[2]Sheet1!$D:$J,7,0),"")</f>
        <v/>
      </c>
      <c r="K953" s="80" t="str">
        <f t="shared" si="1511"/>
        <v/>
      </c>
      <c r="L953" s="7">
        <f t="shared" si="1531"/>
        <v>0</v>
      </c>
      <c r="M953" s="8" t="str">
        <f t="shared" si="1532"/>
        <v/>
      </c>
      <c r="N953" s="57"/>
      <c r="O953" s="9"/>
      <c r="P953" s="10"/>
      <c r="Q953" s="10"/>
      <c r="R953" s="10"/>
      <c r="S953" s="41">
        <f t="shared" si="1513"/>
        <v>0</v>
      </c>
      <c r="W953" s="190"/>
      <c r="Y953" s="190"/>
      <c r="Z953" s="1"/>
      <c r="AA953" s="206" t="str">
        <f t="shared" si="1501"/>
        <v/>
      </c>
    </row>
    <row r="954" spans="1:27" ns3:dyDescent="0.3">
      <c r="A954" s="61" t="s">
        <v>865</v>
      </c>
      <c r="B954" s="11">
        <f>ROUNDUP(HLOOKUP(A954,'야채 계산기'!$2:$3,2,0)*1.03,0)</f>
        <v>57</v>
      </c>
      <c r="C954" s="62">
        <f>'[1]착한비빔밥(25.10.23)'!$B$11</f>
        <v>0.23</v>
      </c>
      <c r="D954" s="166"/>
      <c r="E954" s="4"/>
      <c r="F954" s="3"/>
      <c r="G954" s="5"/>
      <c r="H954" s="6"/>
      <c r="I954" s="34">
        <f t="shared" si="1530"/>
        <v>0</v>
      </c>
      <c r="J954" s="78" t="str">
        <f>IFERROR(VLOOKUP(C954,[2]Sheet1!$D:$J,7,0),"")</f>
        <v/>
      </c>
      <c r="K954" s="80" t="str">
        <f t="shared" si="1511"/>
        <v/>
      </c>
      <c r="L954" s="7">
        <f t="shared" si="1531"/>
        <v>0</v>
      </c>
      <c r="M954" s="8" t="str">
        <f t="shared" si="1532"/>
        <v/>
      </c>
      <c r="N954" s="57"/>
      <c r="O954" s="9"/>
      <c r="P954" s="10"/>
      <c r="Q954" s="10"/>
      <c r="R954" s="10"/>
      <c r="S954" s="41">
        <f t="shared" si="1513"/>
        <v>0</v>
      </c>
      <c r="W954" s="190"/>
      <c r="Y954" s="190"/>
      <c r="Z954" s="1"/>
      <c r="AA954" s="206" t="str">
        <f t="shared" si="1501"/>
        <v/>
      </c>
    </row>
    <row r="955" spans="1:27" ns3:dyDescent="0.3">
      <c r="A955" s="61" t="s">
        <v>744</v>
      </c>
      <c r="B955" s="11">
        <f>ROUNDUP(HLOOKUP(A955,'야채 계산기'!$2:$3,2,0)*1.03,0)</f>
        <v>2081</v>
      </c>
      <c r="C955" s="62">
        <f>'[1]혜자)돈까스&amp;고추장제육(25.11.13)'!$B$15</f>
        <v>0.71</v>
      </c>
      <c r="D955" s="166"/>
      <c r="E955" s="4"/>
      <c r="F955" s="3"/>
      <c r="G955" s="5"/>
      <c r="H955" s="6"/>
      <c r="I955" s="34">
        <f t="shared" si="1530"/>
        <v>0</v>
      </c>
      <c r="J955" s="78" t="str">
        <f>IFERROR(VLOOKUP(C955,[2]Sheet1!$D:$J,7,0),"")</f>
        <v/>
      </c>
      <c r="K955" s="80" t="str">
        <f t="shared" si="1511"/>
        <v/>
      </c>
      <c r="L955" s="7">
        <f t="shared" si="1531"/>
        <v>0</v>
      </c>
      <c r="M955" s="8" t="str">
        <f t="shared" si="1532"/>
        <v/>
      </c>
      <c r="N955" s="57"/>
      <c r="O955" s="9"/>
      <c r="P955" s="10"/>
      <c r="Q955" s="10"/>
      <c r="R955" s="10"/>
      <c r="S955" s="41">
        <f t="shared" si="1513"/>
        <v>0</v>
      </c>
      <c r="W955" s="190"/>
      <c r="Y955" s="190"/>
      <c r="Z955" s="1"/>
      <c r="AA955" s="206" t="str">
        <f t="shared" ref="AA955:AA995" si="1533">IFERROR(H955*7.5/E955/7,"")</f>
        <v/>
      </c>
    </row>
    <row r="956" spans="1:27" ns3:dyDescent="0.3">
      <c r="A956" s="61" t="s">
        <v>256</v>
      </c>
      <c r="B956" s="11">
        <f>ROUNDUP(HLOOKUP(A956,'야채 계산기'!$2:$3,2,0)*1.03,0)</f>
        <v>2926</v>
      </c>
      <c r="C956" s="62">
        <v>0.95</v>
      </c>
      <c r="D956" s="166" t="str">
        <f>IFERROR((F956/E956),"")</f>
        <v/>
      </c>
      <c r="E956" s="4"/>
      <c r="F956" s="3"/>
      <c r="G956" s="5"/>
      <c r="H956" s="6"/>
      <c r="I956" s="34">
        <f t="shared" si="1530"/>
        <v>0</v>
      </c>
      <c r="J956" s="78" t="str">
        <f>IFERROR(VLOOKUP(C956,[2]Sheet1!$D:$J,7,0),"")</f>
        <v/>
      </c>
      <c r="K956" s="80" t="str">
        <f t="shared" si="1511"/>
        <v/>
      </c>
      <c r="L956" s="7">
        <f t="shared" si="1531"/>
        <v>0</v>
      </c>
      <c r="M956" s="8" t="str">
        <f t="shared" si="1532"/>
        <v/>
      </c>
      <c r="N956" s="57" t="str">
        <f t="shared" ref="N956:N959" si="1534">IFERROR((K956/H956),"")</f>
        <v/>
      </c>
      <c r="O956" s="9"/>
      <c r="P956" s="10"/>
      <c r="Q956" s="10"/>
      <c r="R956" s="10"/>
      <c r="S956" s="41">
        <f t="shared" si="1513"/>
        <v>0</v>
      </c>
      <c r="W956" s="190"/>
      <c r="Y956" s="190"/>
      <c r="Z956" s="1"/>
      <c r="AA956" s="206" t="str">
        <f t="shared" si="1533"/>
        <v/>
      </c>
    </row>
    <row r="957" spans="1:27" ns3:dyDescent="0.3">
      <c r="A957" s="61" t="s">
        <v>624</v>
      </c>
      <c r="B957" s="11">
        <f>ROUNDUP(HLOOKUP(A957,'야채 계산기'!$2:$3,2,0)*1.03,0)</f>
        <v>1206</v>
      </c>
      <c r="C957" s="62">
        <v>0.96</v>
      </c>
      <c r="D957" s="166" t="str">
        <f>IFERROR((F957/E957),"")</f>
        <v/>
      </c>
      <c r="E957" s="4"/>
      <c r="F957" s="3"/>
      <c r="G957" s="5"/>
      <c r="H957" s="6"/>
      <c r="I957" s="34">
        <f t="shared" ref="I957:I958" si="1535">IFERROR((S957*E957),"")</f>
        <v>0</v>
      </c>
      <c r="J957" s="78" t="str">
        <f>IFERROR(VLOOKUP(C957,[2]Sheet1!$D:$J,7,0),"")</f>
        <v/>
      </c>
      <c r="K957" s="80" t="str">
        <f t="shared" ref="K957:K958" si="1536">IFERROR((I957+J957),"")</f>
        <v/>
      </c>
      <c r="L957" s="7">
        <f t="shared" ref="L957:L958" si="1537">IFERROR((G957*H957),"")</f>
        <v>0</v>
      </c>
      <c r="M957" s="8" t="str">
        <f t="shared" ref="M957:M958" si="1538">IFERROR(K957-L957,"")</f>
        <v/>
      </c>
      <c r="N957" s="57" t="str">
        <f t="shared" si="1534"/>
        <v/>
      </c>
      <c r="O957" s="9"/>
      <c r="P957" s="10"/>
      <c r="Q957" s="10"/>
      <c r="R957" s="10"/>
      <c r="S957" s="41">
        <f t="shared" ref="S957:S958" si="1539">SUM(Y957,T957:X957)</f>
        <v>0</v>
      </c>
      <c r="W957" s="190"/>
      <c r="Y957" s="190"/>
      <c r="Z957" s="1"/>
      <c r="AA957" s="206" t="str">
        <f t="shared" ref="AA957:AA958" si="1540">IFERROR(H957*7.5/E957/7,"")</f>
        <v/>
      </c>
    </row>
    <row r="958" spans="1:27" ns3:dyDescent="0.3">
      <c r="A958" s="61" t="s">
        <v>711</v>
      </c>
      <c r="B958" s="11">
        <f>ROUNDUP(HLOOKUP(A958,'야채 계산기'!$2:$3,2,0)*1.03,0)</f>
        <v>1731</v>
      </c>
      <c r="C958" s="62">
        <v>0.71</v>
      </c>
      <c r="D958" s="166" t="str">
        <f>IFERROR((F958/E958),"")</f>
        <v/>
      </c>
      <c r="E958" s="4"/>
      <c r="F958" s="3"/>
      <c r="G958" s="5"/>
      <c r="H958" s="6"/>
      <c r="I958" s="34">
        <f t="shared" si="1535"/>
        <v>0</v>
      </c>
      <c r="J958" s="78" t="str">
        <f>IFERROR(VLOOKUP(C958,[2]Sheet1!$D:$J,7,0),"")</f>
        <v/>
      </c>
      <c r="K958" s="80" t="str">
        <f t="shared" si="1536"/>
        <v/>
      </c>
      <c r="L958" s="7">
        <f t="shared" si="1537"/>
        <v>0</v>
      </c>
      <c r="M958" s="8" t="str">
        <f t="shared" si="1538"/>
        <v/>
      </c>
      <c r="N958" s="57" t="str">
        <f t="shared" ref="N958" si="1541">IFERROR((K958/H958),"")</f>
        <v/>
      </c>
      <c r="O958" s="9"/>
      <c r="P958" s="10"/>
      <c r="Q958" s="10"/>
      <c r="R958" s="10"/>
      <c r="S958" s="41">
        <f t="shared" si="1539"/>
        <v>0</v>
      </c>
      <c r="W958" s="190"/>
      <c r="Y958" s="190"/>
      <c r="Z958" s="1"/>
      <c r="AA958" s="206" t="str">
        <f t="shared" si="1540"/>
        <v/>
      </c>
    </row>
    <row r="959" spans="1:27" hidden="1" ns3:dyDescent="0.3">
      <c r="A959" s="61"/>
      <c r="B959" s="11"/>
      <c r="C959" s="262" t="s">
        <v>541</v>
      </c>
      <c r="D959" s="166" t="str">
        <f t="shared" ref="D959" si="1542">IFERROR((F959/E959),"")</f>
        <v/>
      </c>
      <c r="E959" s="4">
        <v>10</v>
      </c>
      <c r="F959" s="3" t="str">
        <f>IFERROR((L959-K959),"")</f>
        <v/>
      </c>
      <c r="G959" s="5">
        <f>G935</f>
        <v>7.5</v>
      </c>
      <c r="H959" s="39" t="e">
        <f>ROUNDUP(SUMPRODUCT(B960:B960,C960:C960)/1000,0)</f>
        <v>#N/A</v>
      </c>
      <c r="I959" s="34">
        <f t="shared" si="1530"/>
        <v>0</v>
      </c>
      <c r="J959" s="78" t="str">
        <f>IFERROR(VLOOKUP(C959,[2]Sheet1!$D:$J,7,0),"")</f>
        <v/>
      </c>
      <c r="K959" s="80" t="str">
        <f t="shared" ref="K959:K960" si="1543">IFERROR((I959+J959),"")</f>
        <v/>
      </c>
      <c r="L959" s="7" t="str">
        <f t="shared" si="1531"/>
        <v/>
      </c>
      <c r="M959" s="8" t="str">
        <f t="shared" si="1532"/>
        <v/>
      </c>
      <c r="N959" s="57" t="str">
        <f t="shared" si="1534"/>
        <v/>
      </c>
      <c r="O959" s="9"/>
      <c r="P959" s="10"/>
      <c r="Q959" s="10">
        <v>2000</v>
      </c>
      <c r="R959" s="10">
        <f>O959*P959*Q959</f>
        <v>0</v>
      </c>
      <c r="S959" s="41">
        <f t="shared" si="1513"/>
        <v>0</v>
      </c>
      <c r="U959" s="183"/>
      <c r="W959" s="173"/>
      <c r="Y959" s="173"/>
      <c r="Z959" s="1"/>
      <c r="AA959" s="206" t="str">
        <f t="shared" si="1533"/>
        <v/>
      </c>
    </row>
    <row r="960" spans="1:27" hidden="1" ns3:dyDescent="0.3">
      <c r="A960" s="272" t="s">
        <v>540</v>
      </c>
      <c r="B960" s="11" t="e">
        <f>ROUNDUP(HLOOKUP(A960,'야채 계산기'!$2:$3,2,0)*1.03,0)</f>
        <v>#N/A</v>
      </c>
      <c r="C960" s="62">
        <v>7.78</v>
      </c>
      <c r="D960" s="166"/>
      <c r="E960" s="4"/>
      <c r="F960" s="3"/>
      <c r="G960" s="5"/>
      <c r="H960" s="6"/>
      <c r="I960" s="34">
        <f t="shared" si="1530"/>
        <v>0</v>
      </c>
      <c r="J960" s="78" t="str">
        <f>IFERROR(VLOOKUP(C960,[2]Sheet1!$D:$J,7,0),"")</f>
        <v/>
      </c>
      <c r="K960" s="80" t="str">
        <f t="shared" si="1543"/>
        <v/>
      </c>
      <c r="L960" s="7">
        <f t="shared" si="1531"/>
        <v>0</v>
      </c>
      <c r="M960" s="8" t="str">
        <f t="shared" si="1532"/>
        <v/>
      </c>
      <c r="N960" s="57"/>
      <c r="O960" s="9"/>
      <c r="P960" s="10"/>
      <c r="Q960" s="10"/>
      <c r="R960" s="10"/>
      <c r="S960" s="41">
        <f t="shared" si="1513"/>
        <v>0</v>
      </c>
      <c r="Y960" s="1"/>
      <c r="Z960" s="1"/>
      <c r="AA960" s="206" t="str">
        <f t="shared" si="1533"/>
        <v/>
      </c>
    </row>
    <row r="961" spans="1:27" ns3:dyDescent="0.3">
      <c r="A961" s="58"/>
      <c r="B961" s="2"/>
      <c r="C961" s="62"/>
      <c r="D961" s="166"/>
      <c r="E961" s="4"/>
      <c r="F961" s="3"/>
      <c r="G961" s="5"/>
      <c r="H961" s="6"/>
      <c r="I961" s="34">
        <f t="shared" si="1530"/>
        <v>0</v>
      </c>
      <c r="J961" s="78" t="str">
        <f>IFERROR(VLOOKUP(C961,[2]Sheet1!$D:$J,7,0),"")</f>
        <v/>
      </c>
      <c r="K961" s="80" t="str">
        <f t="shared" si="1511"/>
        <v/>
      </c>
      <c r="L961" s="7">
        <f t="shared" si="1531"/>
        <v>0</v>
      </c>
      <c r="M961" s="8" t="str">
        <f t="shared" si="1532"/>
        <v/>
      </c>
      <c r="N961" s="57"/>
      <c r="O961" s="9"/>
      <c r="P961" s="10"/>
      <c r="Q961" s="10"/>
      <c r="R961" s="10"/>
      <c r="S961" s="41">
        <f t="shared" si="1513"/>
        <v>0</v>
      </c>
      <c r="W961" s="190"/>
      <c r="Y961" s="190"/>
      <c r="AA961" s="206" t="str">
        <f t="shared" si="1533"/>
        <v/>
      </c>
    </row>
    <row r="962" spans="1:27" ns3:dyDescent="0.3">
      <c r="A962" s="58"/>
      <c r="B962" s="2"/>
      <c r="C962" s="62"/>
      <c r="D962" s="166"/>
      <c r="E962" s="4"/>
      <c r="F962" s="3"/>
      <c r="G962" s="5"/>
      <c r="H962" s="6"/>
      <c r="I962" s="34">
        <f t="shared" si="1530"/>
        <v>0</v>
      </c>
      <c r="J962" s="78" t="str">
        <f>IFERROR(VLOOKUP(C962,[2]Sheet1!$D:$J,7,0),"")</f>
        <v/>
      </c>
      <c r="K962" s="80" t="str">
        <f t="shared" si="1511"/>
        <v/>
      </c>
      <c r="L962" s="7">
        <f t="shared" si="1531"/>
        <v>0</v>
      </c>
      <c r="M962" s="8" t="str">
        <f t="shared" si="1532"/>
        <v/>
      </c>
      <c r="N962" s="57"/>
      <c r="O962" s="9"/>
      <c r="P962" s="10"/>
      <c r="Q962" s="10"/>
      <c r="R962" s="10"/>
      <c r="S962" s="41">
        <f t="shared" ref="S962:S1007" si="1544">SUM(Y962,T962:X962)</f>
        <v>0</v>
      </c>
      <c r="W962" s="190"/>
      <c r="Y962" s="190"/>
      <c r="AA962" s="206" t="str">
        <f t="shared" si="1533"/>
        <v/>
      </c>
    </row>
    <row r="963" spans="1:27" ns3:dyDescent="0.3">
      <c r="A963" s="174" t="s">
        <v>382</v>
      </c>
      <c r="B963" s="58" t="s">
        <v>353</v>
      </c>
      <c r="C963" s="152"/>
      <c r="D963" s="166" t="str">
        <f>IFERROR((F963/E963),"")</f>
        <v/>
      </c>
      <c r="E963" s="4"/>
      <c r="F963" s="3"/>
      <c r="G963" s="5"/>
      <c r="H963" s="6"/>
      <c r="I963" s="34">
        <f t="shared" ref="I963:I974" si="1545">IFERROR((S963*E963),"")</f>
        <v>0</v>
      </c>
      <c r="J963" s="78" t="str">
        <f>IFERROR(VLOOKUP(C963,[2]Sheet1!$D:$J,7,0),"")</f>
        <v/>
      </c>
      <c r="K963" s="80" t="str">
        <f t="shared" ref="K963:K972" si="1546">IFERROR((I963+J963),"")</f>
        <v/>
      </c>
      <c r="L963" s="7">
        <f t="shared" ref="L963:L966" si="1547">IFERROR((G963*H963),"")</f>
        <v>0</v>
      </c>
      <c r="M963" s="8" t="str">
        <f t="shared" ref="M963:M966" si="1548">IFERROR(K963-L963,"")</f>
        <v/>
      </c>
      <c r="N963" s="57" t="str">
        <f t="shared" ref="N963:N968" si="1549">IFERROR((K963/H963),"")</f>
        <v/>
      </c>
      <c r="O963" s="9"/>
      <c r="P963" s="10"/>
      <c r="Q963" s="10"/>
      <c r="R963" s="10">
        <f t="shared" ref="R963:R968" si="1550">O963*P963*Q963</f>
        <v>0</v>
      </c>
      <c r="S963" s="41">
        <f t="shared" si="1544"/>
        <v>0</v>
      </c>
      <c r="T963" s="18"/>
      <c r="U963" s="190"/>
      <c r="V963" s="18"/>
      <c r="W963" s="190"/>
      <c r="Y963" s="190"/>
      <c r="AA963" s="206" t="str">
        <f t="shared" si="1533"/>
        <v/>
      </c>
    </row>
    <row r="964" spans="1:27" ns3:dyDescent="0.3">
      <c r="A964" s="16"/>
      <c r="B964" s="11"/>
      <c r="C964" s="164" t="s">
        <v>499</v>
      </c>
      <c r="D964" s="166">
        <f>IFERROR((F964/E964),"")</f>
        <v>5.4375</v>
      </c>
      <c r="E964" s="4">
        <v>4</v>
      </c>
      <c r="F964" s="3">
        <f>IFERROR((L964-K964),"")</f>
        <v>21.75</v>
      </c>
      <c r="G964" s="5">
        <v>7.5</v>
      </c>
      <c r="H964" s="6">
        <f>ROUNDUP(SUMPRODUCT(B965:B966,C965:C966)/3000,0)*0.77</f>
        <v>7.7</v>
      </c>
      <c r="I964" s="34">
        <f t="shared" ref="I964:I966" si="1551">IFERROR((S964*E964),"")</f>
        <v>20</v>
      </c>
      <c r="J964" s="78">
        <f>IFERROR(VLOOKUP(C964,[2]Sheet1!$D:$J,7,0),"")</f>
        <v>16</v>
      </c>
      <c r="K964" s="80">
        <f t="shared" ref="K964:K966" si="1552">IFERROR((I964+J964),"")</f>
        <v>36</v>
      </c>
      <c r="L964" s="7">
        <f t="shared" si="1547"/>
        <v>57.75</v>
      </c>
      <c r="M964" s="8">
        <f t="shared" si="1548"/>
        <v>-21.75</v>
      </c>
      <c r="N964" s="57">
        <f t="shared" ref="N964:N966" si="1553">IFERROR((K964/H964),"")</f>
        <v>4.6753246753246751</v>
      </c>
      <c r="O964" s="9"/>
      <c r="P964" s="10">
        <v>6</v>
      </c>
      <c r="Q964" s="10">
        <v>14280</v>
      </c>
      <c r="R964" s="10">
        <f t="shared" ref="R964:R966" si="1554">O964*P964*Q964</f>
        <v>0</v>
      </c>
      <c r="S964" s="41">
        <f t="shared" si="1544"/>
        <v>5</v>
      </c>
      <c r="U964" s="244">
        <v>5</v>
      </c>
      <c r="W964" s="193"/>
      <c r="Y964" s="193"/>
      <c r="AA964" s="206">
        <f t="shared" si="1533"/>
        <v>2.0625</v>
      </c>
    </row>
    <row r="965" spans="1:27" ht="17.25" customHeight="1" ns3:dyDescent="0.3">
      <c r="A965" s="16" t="s">
        <v>443</v>
      </c>
      <c r="B965" s="11">
        <f>ROUNDUP(HLOOKUP(A965,'야채 계산기'!$2:$3,2,0)*1.03,0)</f>
        <v>1381</v>
      </c>
      <c r="C965" s="62">
        <v>7.9</v>
      </c>
      <c r="D965" s="166"/>
      <c r="E965" s="4"/>
      <c r="F965" s="3"/>
      <c r="G965" s="5"/>
      <c r="H965" s="6"/>
      <c r="I965" s="34">
        <f t="shared" ref="I965" si="1555">IFERROR((S965*E965),"")</f>
        <v>0</v>
      </c>
      <c r="J965" s="78" t="str">
        <f>IFERROR(VLOOKUP(C965,[2]Sheet1!$D:$J,7,0),"")</f>
        <v/>
      </c>
      <c r="K965" s="80" t="str">
        <f t="shared" ref="K965" si="1556">IFERROR((I965+J965),"")</f>
        <v/>
      </c>
      <c r="L965" s="7">
        <f t="shared" ref="L965" si="1557">IFERROR((G965*H965),"")</f>
        <v>0</v>
      </c>
      <c r="M965" s="8" t="str">
        <f t="shared" ref="M965" si="1558">IFERROR(K965-L965,"")</f>
        <v/>
      </c>
      <c r="N965" s="57" t="str">
        <f t="shared" ref="N965" si="1559">IFERROR((K965/H965),"")</f>
        <v/>
      </c>
      <c r="O965" s="9"/>
      <c r="P965" s="10">
        <v>6</v>
      </c>
      <c r="Q965" s="10">
        <v>8400</v>
      </c>
      <c r="R965" s="10">
        <f t="shared" ref="R965" si="1560">O965*P965*Q965</f>
        <v>0</v>
      </c>
      <c r="S965" s="41">
        <f t="shared" ref="S965" si="1561">SUM(Y965,T965:X965)</f>
        <v>0</v>
      </c>
      <c r="U965" s="190"/>
      <c r="W965" s="190"/>
      <c r="Y965" s="190"/>
      <c r="AA965" s="206" t="str">
        <f t="shared" ref="AA965" si="1562">IFERROR(H965*7.5/E965/7,"")</f>
        <v/>
      </c>
    </row>
    <row r="966" spans="1:27" ht="17.25" customHeight="1" ns3:dyDescent="0.3">
      <c r="A966" s="16" t="s">
        <v>793</v>
      </c>
      <c r="B966" s="11">
        <f>ROUNDUP(HLOOKUP(A966,'야채 계산기'!$2:$3,2,0)*1.03,0)</f>
        <v>1875</v>
      </c>
      <c r="C966" s="62">
        <v>9.02</v>
      </c>
      <c r="D966" s="166"/>
      <c r="E966" s="4"/>
      <c r="F966" s="3"/>
      <c r="G966" s="5"/>
      <c r="H966" s="6"/>
      <c r="I966" s="34">
        <f t="shared" si="1551"/>
        <v>0</v>
      </c>
      <c r="J966" s="78" t="str">
        <f>IFERROR(VLOOKUP(C966,[2]Sheet1!$D:$J,7,0),"")</f>
        <v/>
      </c>
      <c r="K966" s="80" t="str">
        <f t="shared" si="1552"/>
        <v/>
      </c>
      <c r="L966" s="7">
        <f t="shared" si="1547"/>
        <v>0</v>
      </c>
      <c r="M966" s="8" t="str">
        <f t="shared" si="1548"/>
        <v/>
      </c>
      <c r="N966" s="57" t="str">
        <f t="shared" si="1553"/>
        <v/>
      </c>
      <c r="O966" s="9"/>
      <c r="P966" s="10">
        <v>6</v>
      </c>
      <c r="Q966" s="10">
        <v>8400</v>
      </c>
      <c r="R966" s="10">
        <f t="shared" si="1554"/>
        <v>0</v>
      </c>
      <c r="S966" s="41">
        <f t="shared" si="1544"/>
        <v>0</v>
      </c>
      <c r="U966" s="190"/>
      <c r="W966" s="190"/>
      <c r="Y966" s="190"/>
      <c r="AA966" s="206" t="str">
        <f t="shared" si="1533"/>
        <v/>
      </c>
    </row>
    <row r="967" spans="1:27" ns3:dyDescent="0.3">
      <c r="A967" s="16"/>
      <c r="B967" s="11"/>
      <c r="C967" s="62" t="s">
        <v>125</v>
      </c>
      <c r="D967" s="166">
        <f>IFERROR((F967/E967),"")</f>
        <v>1.25</v>
      </c>
      <c r="E967" s="4">
        <v>4</v>
      </c>
      <c r="F967" s="3">
        <f>IFERROR((L967-K967),"")</f>
        <v>5</v>
      </c>
      <c r="G967" s="5">
        <f>G964</f>
        <v>7.5</v>
      </c>
      <c r="H967" s="6">
        <f>ROUNDUP(SUMPRODUCT(B968:B968,C968:C968)/3000,0)*0.8</f>
        <v>1.6</v>
      </c>
      <c r="I967" s="34">
        <f t="shared" si="1545"/>
        <v>0</v>
      </c>
      <c r="J967" s="78">
        <f>IFERROR(VLOOKUP(C967,[2]Sheet1!$D:$J,7,0),"")</f>
        <v>7</v>
      </c>
      <c r="K967" s="80">
        <f t="shared" si="1546"/>
        <v>7</v>
      </c>
      <c r="L967" s="7">
        <f t="shared" ref="L967:L974" si="1563">IFERROR((G967*H967),"")</f>
        <v>12</v>
      </c>
      <c r="M967" s="8">
        <f t="shared" ref="M967:M974" si="1564">IFERROR(K967-L967,"")</f>
        <v>-5</v>
      </c>
      <c r="N967" s="57">
        <f t="shared" si="1549"/>
        <v>4.375</v>
      </c>
      <c r="O967" s="9"/>
      <c r="P967" s="10">
        <v>6</v>
      </c>
      <c r="Q967" s="10">
        <v>10500</v>
      </c>
      <c r="R967" s="10">
        <f t="shared" si="1550"/>
        <v>0</v>
      </c>
      <c r="S967" s="41">
        <f t="shared" si="1544"/>
        <v>0</v>
      </c>
      <c r="U967" s="244"/>
      <c r="W967" s="193"/>
      <c r="Y967" s="193"/>
      <c r="AA967" s="206">
        <f t="shared" si="1533"/>
        <v>0.42857142857142855</v>
      </c>
    </row>
    <row r="968" spans="1:27" ht="17.25" customHeight="1" ns3:dyDescent="0.3">
      <c r="A968" s="61" t="s">
        <v>496</v>
      </c>
      <c r="B968" s="11">
        <f>ROUNDUP(HLOOKUP(A968,'야채 계산기'!$2:$3,2,0)*1.03,0)</f>
        <v>1113</v>
      </c>
      <c r="C968" s="62">
        <f>'[1]뭘좋아할지몰라다넣어봤어(26.08.11)'!$B$23</f>
        <v>4.42</v>
      </c>
      <c r="D968" s="166"/>
      <c r="E968" s="4"/>
      <c r="F968" s="3"/>
      <c r="G968" s="5"/>
      <c r="H968" s="6"/>
      <c r="I968" s="34">
        <f t="shared" si="1545"/>
        <v>0</v>
      </c>
      <c r="J968" s="78" t="str">
        <f>IFERROR(VLOOKUP(C968,[2]Sheet1!$D:$J,7,0),"")</f>
        <v/>
      </c>
      <c r="K968" s="80" t="str">
        <f t="shared" si="1546"/>
        <v/>
      </c>
      <c r="L968" s="7">
        <f t="shared" si="1563"/>
        <v>0</v>
      </c>
      <c r="M968" s="8" t="str">
        <f t="shared" si="1564"/>
        <v/>
      </c>
      <c r="N968" s="57" t="str">
        <f t="shared" si="1549"/>
        <v/>
      </c>
      <c r="O968" s="9"/>
      <c r="P968" s="10">
        <v>6</v>
      </c>
      <c r="Q968" s="10">
        <v>8400</v>
      </c>
      <c r="R968" s="10">
        <f t="shared" si="1550"/>
        <v>0</v>
      </c>
      <c r="S968" s="41">
        <f t="shared" si="1544"/>
        <v>0</v>
      </c>
      <c r="U968" s="190"/>
      <c r="W968" s="190"/>
      <c r="Y968" s="190"/>
      <c r="AA968" s="206" t="str">
        <f t="shared" si="1533"/>
        <v/>
      </c>
    </row>
    <row r="969" spans="1:27" ns3:dyDescent="0.3">
      <c r="A969" s="61"/>
      <c r="B969" s="11"/>
      <c r="C969" s="62" t="s">
        <v>166</v>
      </c>
      <c r="D969" s="166">
        <f>IFERROR((F969/E969),"")</f>
        <v>3.3500000000000014</v>
      </c>
      <c r="E969" s="4">
        <v>4</v>
      </c>
      <c r="F969" s="3">
        <f>IFERROR((L969-K969),"")</f>
        <v>13.400000000000006</v>
      </c>
      <c r="G969" s="5">
        <f>G967</f>
        <v>7.5</v>
      </c>
      <c r="H969" s="6">
        <f>ROUNDUP(SUMPRODUCT(B970:B971,C970:C971)/3000,0)*0.72</f>
        <v>4.32</v>
      </c>
      <c r="I969" s="34">
        <f t="shared" si="1545"/>
        <v>8</v>
      </c>
      <c r="J969" s="78">
        <f>IFERROR(VLOOKUP(C969,[2]Sheet1!$D:$J,7,0),"")</f>
        <v>11</v>
      </c>
      <c r="K969" s="80">
        <f t="shared" si="1546"/>
        <v>19</v>
      </c>
      <c r="L969" s="7">
        <f t="shared" si="1563"/>
        <v>32.400000000000006</v>
      </c>
      <c r="M969" s="8">
        <f t="shared" si="1564"/>
        <v>-13.400000000000006</v>
      </c>
      <c r="N969" s="57">
        <f>IFERROR((K969/H969),"")</f>
        <v>4.3981481481481479</v>
      </c>
      <c r="O969" s="9"/>
      <c r="P969" s="10">
        <v>6</v>
      </c>
      <c r="Q969" s="10">
        <v>10200</v>
      </c>
      <c r="R969" s="10">
        <f>O969*P969*Q969</f>
        <v>0</v>
      </c>
      <c r="S969" s="41">
        <f t="shared" si="1544"/>
        <v>2</v>
      </c>
      <c r="U969" s="244">
        <v>2</v>
      </c>
      <c r="W969" s="193"/>
      <c r="Y969" s="193"/>
      <c r="Z969" s="1"/>
      <c r="AA969" s="206">
        <f t="shared" si="1533"/>
        <v>1.1571428571428573</v>
      </c>
    </row>
    <row r="970" spans="1:27" ht="17.25" customHeight="1" ns3:dyDescent="0.3">
      <c r="A970" s="61" t="s">
        <v>496</v>
      </c>
      <c r="B970" s="11">
        <f>ROUNDUP(HLOOKUP(A970,'야채 계산기'!$2:$3,2,0)*1.03,0)</f>
        <v>1113</v>
      </c>
      <c r="C970" s="62">
        <f>'[1]뭘좋아할지몰라다넣어봤어(26.08.11)'!$B$15</f>
        <v>12.37</v>
      </c>
      <c r="D970" s="166"/>
      <c r="E970" s="4"/>
      <c r="F970" s="3"/>
      <c r="G970" s="5"/>
      <c r="H970" s="6"/>
      <c r="I970" s="34">
        <f t="shared" ref="I970" si="1565">IFERROR((S970*E970),"")</f>
        <v>0</v>
      </c>
      <c r="J970" s="78" t="str">
        <f>IFERROR(VLOOKUP(C970,[2]Sheet1!$D:$J,7,0),"")</f>
        <v/>
      </c>
      <c r="K970" s="80" t="str">
        <f t="shared" ref="K970" si="1566">IFERROR((I970+J970),"")</f>
        <v/>
      </c>
      <c r="L970" s="7">
        <f t="shared" ref="L970" si="1567">IFERROR((G970*H970),"")</f>
        <v>0</v>
      </c>
      <c r="M970" s="8" t="str">
        <f t="shared" ref="M970" si="1568">IFERROR(K970-L970,"")</f>
        <v/>
      </c>
      <c r="N970" s="57" t="str">
        <f>IFERROR((K970/H970),"")</f>
        <v/>
      </c>
      <c r="O970" s="9"/>
      <c r="P970" s="10">
        <v>6</v>
      </c>
      <c r="Q970" s="10">
        <v>8400</v>
      </c>
      <c r="R970" s="10">
        <f>O970*P970*Q970</f>
        <v>0</v>
      </c>
      <c r="S970" s="41">
        <f t="shared" ref="S970" si="1569">SUM(Y970,T970:X970)</f>
        <v>0</v>
      </c>
      <c r="U970" s="190"/>
      <c r="W970" s="190"/>
      <c r="Y970" s="190"/>
      <c r="Z970" s="1"/>
      <c r="AA970" s="206" t="str">
        <f t="shared" ref="AA970" si="1570">IFERROR(H970*7.5/E970/7,"")</f>
        <v/>
      </c>
    </row>
    <row r="971" spans="1:27" ht="17.25" customHeight="1" ns3:dyDescent="0.3">
      <c r="A971" s="61" t="s">
        <v>624</v>
      </c>
      <c r="B971" s="11">
        <f>ROUNDUP(HLOOKUP(A971,'야채 계산기'!$2:$3,2,0)*1.03,0)</f>
        <v>1206</v>
      </c>
      <c r="C971" s="62">
        <v>1.67</v>
      </c>
      <c r="D971" s="166"/>
      <c r="E971" s="4"/>
      <c r="F971" s="3"/>
      <c r="G971" s="5"/>
      <c r="H971" s="6"/>
      <c r="I971" s="34">
        <f t="shared" si="1545"/>
        <v>0</v>
      </c>
      <c r="J971" s="78" t="str">
        <f>IFERROR(VLOOKUP(C971,[2]Sheet1!$D:$J,7,0),"")</f>
        <v/>
      </c>
      <c r="K971" s="80" t="str">
        <f t="shared" si="1546"/>
        <v/>
      </c>
      <c r="L971" s="7">
        <f t="shared" si="1563"/>
        <v>0</v>
      </c>
      <c r="M971" s="8" t="str">
        <f t="shared" si="1564"/>
        <v/>
      </c>
      <c r="N971" s="57" t="str">
        <f>IFERROR((K971/H971),"")</f>
        <v/>
      </c>
      <c r="O971" s="9"/>
      <c r="P971" s="10">
        <v>6</v>
      </c>
      <c r="Q971" s="10">
        <v>8400</v>
      </c>
      <c r="R971" s="10">
        <f>O971*P971*Q971</f>
        <v>0</v>
      </c>
      <c r="S971" s="41">
        <f t="shared" si="1544"/>
        <v>0</v>
      </c>
      <c r="U971" s="190"/>
      <c r="W971" s="190"/>
      <c r="Y971" s="190"/>
      <c r="Z971" s="1"/>
      <c r="AA971" s="206" t="str">
        <f t="shared" si="1533"/>
        <v/>
      </c>
    </row>
    <row r="972" spans="1:27" ht="16.5" customHeight="1" ns3:dyDescent="0.3">
      <c r="A972" s="2"/>
      <c r="B972" s="2"/>
      <c r="C972" s="62"/>
      <c r="D972" s="166"/>
      <c r="E972" s="4"/>
      <c r="F972" s="3"/>
      <c r="G972" s="5"/>
      <c r="H972" s="6" t="s">
        <v>141</v>
      </c>
      <c r="I972" s="34">
        <f t="shared" si="1545"/>
        <v>0</v>
      </c>
      <c r="J972" s="78" t="str">
        <f>IFERROR(VLOOKUP(C972,[2]Sheet1!$D:$J,7,0),"")</f>
        <v/>
      </c>
      <c r="K972" s="80" t="str">
        <f t="shared" si="1546"/>
        <v/>
      </c>
      <c r="L972" s="7" t="str">
        <f t="shared" si="1563"/>
        <v/>
      </c>
      <c r="M972" s="8" t="str">
        <f t="shared" si="1564"/>
        <v/>
      </c>
      <c r="N972" s="57"/>
      <c r="O972" s="9"/>
      <c r="P972" s="10"/>
      <c r="Q972" s="10"/>
      <c r="R972" s="10"/>
      <c r="S972" s="41">
        <f t="shared" si="1544"/>
        <v>0</v>
      </c>
      <c r="U972" s="190"/>
      <c r="W972" s="190"/>
      <c r="Y972" s="190"/>
      <c r="Z972" s="1"/>
      <c r="AA972" s="206" t="str">
        <f t="shared" si="1533"/>
        <v/>
      </c>
    </row>
    <row r="973" spans="1:27" ns3:dyDescent="0.3">
      <c r="A973" s="2"/>
      <c r="B973" s="2"/>
      <c r="C973" s="62"/>
      <c r="D973" s="166"/>
      <c r="E973" s="4"/>
      <c r="F973" s="3"/>
      <c r="G973" s="5"/>
      <c r="H973" s="6"/>
      <c r="I973" s="34">
        <f t="shared" si="1545"/>
        <v>0</v>
      </c>
      <c r="J973" s="78" t="str">
        <f>IFERROR(VLOOKUP(C973,[2]Sheet1!$D:$J,7,0),"")</f>
        <v/>
      </c>
      <c r="K973" s="80" t="str">
        <f t="shared" ref="K973:K974" si="1571">IFERROR((I973+J973),"")</f>
        <v/>
      </c>
      <c r="L973" s="7">
        <f t="shared" si="1563"/>
        <v>0</v>
      </c>
      <c r="M973" s="8" t="str">
        <f t="shared" si="1564"/>
        <v/>
      </c>
      <c r="N973" s="57"/>
      <c r="O973" s="9"/>
      <c r="P973" s="10"/>
      <c r="Q973" s="10"/>
      <c r="R973" s="10"/>
      <c r="S973" s="41">
        <f t="shared" si="1544"/>
        <v>0</v>
      </c>
      <c r="U973" s="190"/>
      <c r="W973" s="190"/>
      <c r="Y973" s="190"/>
      <c r="Z973" s="1"/>
      <c r="AA973" s="206" t="str">
        <f t="shared" si="1533"/>
        <v/>
      </c>
    </row>
    <row r="974" spans="1:27" ns3:dyDescent="0.3">
      <c r="A974" s="174" t="s">
        <v>380</v>
      </c>
      <c r="B974" s="263" t="s">
        <v>241</v>
      </c>
      <c r="C974" s="62"/>
      <c r="D974" s="166" t="str">
        <f t="shared" ref="D974" si="1572">IFERROR((F974/E974),"")</f>
        <v/>
      </c>
      <c r="E974" s="4"/>
      <c r="F974" s="3"/>
      <c r="G974" s="5"/>
      <c r="H974" s="6"/>
      <c r="I974" s="34">
        <f t="shared" si="1545"/>
        <v>0</v>
      </c>
      <c r="J974" s="78" t="str">
        <f>IFERROR(VLOOKUP(C974,[2]Sheet1!$D:$J,7,0),"")</f>
        <v/>
      </c>
      <c r="K974" s="80" t="str">
        <f t="shared" si="1571"/>
        <v/>
      </c>
      <c r="L974" s="7">
        <f t="shared" si="1563"/>
        <v>0</v>
      </c>
      <c r="M974" s="8" t="str">
        <f t="shared" si="1564"/>
        <v/>
      </c>
      <c r="N974" s="57" t="str">
        <f t="shared" ref="N974" si="1573">IFERROR((K974/H974),"")</f>
        <v/>
      </c>
      <c r="O974" s="9"/>
      <c r="P974" s="10"/>
      <c r="Q974" s="10"/>
      <c r="R974" s="10">
        <f t="shared" ref="R974" si="1574">O974*P974*Q974</f>
        <v>0</v>
      </c>
      <c r="S974" s="41">
        <f t="shared" ref="S974" si="1575">SUM(Y974,T974:X974)</f>
        <v>0</v>
      </c>
      <c r="U974" s="190"/>
      <c r="W974" s="190"/>
      <c r="Y974" s="190"/>
      <c r="Z974" s="1"/>
      <c r="AA974" s="206" t="str">
        <f t="shared" ref="AA974" si="1576">IFERROR(H974*7.5/E974/7,"")</f>
        <v/>
      </c>
    </row>
    <row r="975" spans="1:27" ns3:dyDescent="0.3">
      <c r="A975" s="60"/>
      <c r="B975" s="11"/>
      <c r="C975" s="62" t="s">
        <v>795</v>
      </c>
      <c r="D975" s="166" t="str">
        <f>IFERROR((F975/E975),"")</f>
        <v/>
      </c>
      <c r="E975" s="4">
        <v>12</v>
      </c>
      <c r="F975" s="3" t="str">
        <f>IFERROR((L975-K975),"")</f>
        <v/>
      </c>
      <c r="G975" s="5">
        <f>G977</f>
        <v>7.5</v>
      </c>
      <c r="H975" s="6">
        <f>ROUNDUP(SUMPRODUCT(B976,C976)/1000,0)</f>
        <v>30</v>
      </c>
      <c r="I975" s="34">
        <f>IFERROR((S975*E975),"")</f>
        <v>72</v>
      </c>
      <c r="J975" s="78" t="str">
        <f>IFERROR(VLOOKUP(C975,[2]Sheet1!$D:$J,7,0),"")</f>
        <v/>
      </c>
      <c r="K975" s="80" t="str">
        <f>IFERROR((I975+J975),"")</f>
        <v/>
      </c>
      <c r="L975" s="7">
        <f>IFERROR((G975*H975),"")</f>
        <v>225</v>
      </c>
      <c r="M975" s="8" t="str">
        <f>IFERROR(K975-L975,"")</f>
        <v/>
      </c>
      <c r="N975" s="57" t="str">
        <f>IFERROR((K975/H975),"")</f>
        <v/>
      </c>
      <c r="O975" s="9"/>
      <c r="P975" s="10">
        <v>12</v>
      </c>
      <c r="Q975" s="10">
        <v>4699</v>
      </c>
      <c r="R975" s="10">
        <f>O975*P975*Q975</f>
        <v>0</v>
      </c>
      <c r="S975" s="41">
        <f>SUM(Y975,T975:X975)</f>
        <v>6</v>
      </c>
      <c r="U975" s="173">
        <v>6</v>
      </c>
      <c r="W975" s="193"/>
      <c r="Y975" s="193"/>
      <c r="Z975" s="1"/>
      <c r="AA975" s="206">
        <f>IFERROR(H975*7.5/E975/7,"")</f>
        <v>2.6785714285714284</v>
      </c>
    </row>
    <row r="976" spans="1:27" ns3:dyDescent="0.3">
      <c r="A976" s="61" t="s">
        <v>732</v>
      </c>
      <c r="B976" s="11">
        <f>ROUNDUP(HLOOKUP(A976,'야채 계산기'!$2:$3,2,0)*1.03,0)</f>
        <v>2081</v>
      </c>
      <c r="C976" s="62">
        <v>14.17</v>
      </c>
      <c r="D976" s="166"/>
      <c r="E976" s="4"/>
      <c r="F976" s="3"/>
      <c r="G976" s="5"/>
      <c r="H976" s="6"/>
      <c r="I976" s="34">
        <f>IFERROR((S976*E976),"")</f>
        <v>0</v>
      </c>
      <c r="J976" s="78" t="str">
        <f>IFERROR(VLOOKUP(C976,[2]Sheet1!$D:$J,7,0),"")</f>
        <v/>
      </c>
      <c r="K976" s="80" t="str">
        <f>IFERROR((I976+J976),"")</f>
        <v/>
      </c>
      <c r="L976" s="7">
        <f>IFERROR((G976*H976),"")</f>
        <v>0</v>
      </c>
      <c r="M976" s="8" t="str">
        <f>IFERROR(K976-L976,"")</f>
        <v/>
      </c>
      <c r="N976" s="57"/>
      <c r="O976" s="9"/>
      <c r="P976" s="10"/>
      <c r="Q976" s="10"/>
      <c r="R976" s="10"/>
      <c r="S976" s="41">
        <f>SUM(Y976,T976:X976)</f>
        <v>0</v>
      </c>
      <c r="U976" s="190"/>
      <c r="W976" s="190"/>
      <c r="Y976" s="190"/>
      <c r="Z976" s="1"/>
      <c r="AA976" s="206" t="str">
        <f>IFERROR(H976*7.5/E976/7,"")</f>
        <v/>
      </c>
    </row>
    <row r="977" spans="1:27" ns3:dyDescent="0.3">
      <c r="A977" s="60"/>
      <c r="B977" s="59"/>
      <c r="C977" s="62" t="s">
        <v>153</v>
      </c>
      <c r="D977" s="166">
        <f>IFERROR((F977/E977),"")</f>
        <v>7.25</v>
      </c>
      <c r="E977" s="4">
        <v>4</v>
      </c>
      <c r="F977" s="3">
        <f>IFERROR((L977-K977),"")</f>
        <v>29</v>
      </c>
      <c r="G977" s="5">
        <v>7.5</v>
      </c>
      <c r="H977" s="6">
        <f>ROUNDUP(SUMPRODUCT(B978:B978,C978:C978)/4000,0)*1.5</f>
        <v>12</v>
      </c>
      <c r="I977" s="34">
        <f t="shared" ref="I977:I978" si="1577">IFERROR((S977*E977),"")</f>
        <v>32</v>
      </c>
      <c r="J977" s="78">
        <f>IFERROR(VLOOKUP(C977,[2]Sheet1!$D:$J,7,0),"")</f>
        <v>29</v>
      </c>
      <c r="K977" s="80">
        <f t="shared" ref="K977" si="1578">IFERROR((I977+J977),"")</f>
        <v>61</v>
      </c>
      <c r="L977" s="7">
        <f t="shared" ref="L977:L978" si="1579">IFERROR((G977*H977),"")</f>
        <v>90</v>
      </c>
      <c r="M977" s="8">
        <f t="shared" ref="M977:M978" si="1580">IFERROR(K977-L977,"")</f>
        <v>-29</v>
      </c>
      <c r="N977" s="57">
        <f>IFERROR((K977/H977),"")</f>
        <v>5.083333333333333</v>
      </c>
      <c r="O977" s="9"/>
      <c r="P977" s="10">
        <v>12</v>
      </c>
      <c r="Q977" s="10">
        <v>4186</v>
      </c>
      <c r="R977" s="10">
        <f>O977*P977*Q977</f>
        <v>0</v>
      </c>
      <c r="S977" s="41">
        <f t="shared" ref="S977:S978" si="1581">SUM(Y977,T977:X977)</f>
        <v>8</v>
      </c>
      <c r="U977" s="173">
        <v>8</v>
      </c>
      <c r="W977" s="193"/>
      <c r="Y977" s="193"/>
      <c r="Z977" s="1"/>
      <c r="AA977" s="206">
        <f t="shared" ref="AA977:AA978" si="1582">IFERROR(H977*7.5/E977/7,"")</f>
        <v>3.2142857142857144</v>
      </c>
    </row>
    <row r="978" spans="1:27" ns3:dyDescent="0.3">
      <c r="A978" s="13" t="s">
        <v>267</v>
      </c>
      <c r="B978" s="11">
        <f>ROUNDUP(HLOOKUP(A978,'야채 계산기'!$2:$3,2,0)*1.03,0)</f>
        <v>1329</v>
      </c>
      <c r="C978" s="62">
        <v>24.05</v>
      </c>
      <c r="D978" s="166"/>
      <c r="E978" s="4"/>
      <c r="F978" s="3"/>
      <c r="G978" s="5"/>
      <c r="H978" s="6"/>
      <c r="I978" s="34">
        <f t="shared" si="1577"/>
        <v>0</v>
      </c>
      <c r="J978" s="78" t="str">
        <f>IFERROR(VLOOKUP(C978,[2]Sheet1!$D:$J,7,0),"")</f>
        <v/>
      </c>
      <c r="K978" s="80" t="str">
        <f>IFERROR((I978+J978),"")</f>
        <v/>
      </c>
      <c r="L978" s="7">
        <f t="shared" si="1579"/>
        <v>0</v>
      </c>
      <c r="M978" s="8" t="str">
        <f t="shared" si="1580"/>
        <v/>
      </c>
      <c r="N978" s="57"/>
      <c r="O978" s="9"/>
      <c r="P978" s="10"/>
      <c r="Q978" s="10"/>
      <c r="R978" s="10"/>
      <c r="S978" s="41">
        <f t="shared" si="1581"/>
        <v>0</v>
      </c>
      <c r="U978" s="190"/>
      <c r="W978" s="190"/>
      <c r="Y978" s="190"/>
      <c r="Z978" s="1"/>
      <c r="AA978" s="206" t="str">
        <f t="shared" si="1582"/>
        <v/>
      </c>
    </row>
    <row r="979" spans="1:27" ns3:dyDescent="0.3">
      <c r="A979" s="172"/>
      <c r="B979" s="11"/>
      <c r="C979" s="62"/>
      <c r="D979" s="166"/>
      <c r="E979" s="4"/>
      <c r="F979" s="3"/>
      <c r="G979" s="5"/>
      <c r="H979" s="6"/>
      <c r="I979" s="34"/>
      <c r="J979" s="78" t="str">
        <f>IFERROR(VLOOKUP(C979,[2]Sheet1!$D:$J,7,0),"")</f>
        <v/>
      </c>
      <c r="K979" s="80"/>
      <c r="L979" s="7"/>
      <c r="M979" s="8"/>
      <c r="N979" s="57"/>
      <c r="O979" s="9"/>
      <c r="P979" s="10"/>
      <c r="Q979" s="10"/>
      <c r="R979" s="10"/>
      <c r="U979" s="190"/>
      <c r="W979" s="190"/>
      <c r="Y979" s="190"/>
      <c r="Z979" s="1"/>
      <c r="AA979" s="206"/>
    </row>
    <row r="980" spans="1:27" ns3:dyDescent="0.3">
      <c r="A980" s="172"/>
      <c r="B980" s="11"/>
      <c r="C980" s="62"/>
      <c r="D980" s="166"/>
      <c r="E980" s="4"/>
      <c r="F980" s="3"/>
      <c r="G980" s="5"/>
      <c r="H980" s="6"/>
      <c r="I980" s="34"/>
      <c r="J980" s="78" t="str">
        <f>IFERROR(VLOOKUP(C980,[2]Sheet1!$D:$J,7,0),"")</f>
        <v/>
      </c>
      <c r="K980" s="80"/>
      <c r="L980" s="7"/>
      <c r="M980" s="8"/>
      <c r="N980" s="57"/>
      <c r="O980" s="9"/>
      <c r="P980" s="10"/>
      <c r="Q980" s="10"/>
      <c r="R980" s="10"/>
      <c r="U980" s="190"/>
      <c r="W980" s="190"/>
      <c r="Y980" s="190"/>
      <c r="Z980" s="1"/>
      <c r="AA980" s="206"/>
    </row>
    <row r="981" spans="1:27" hidden="1" ns3:dyDescent="0.3">
      <c r="A981" s="213" t="s">
        <v>681</v>
      </c>
      <c r="B981" s="263" t="s">
        <v>687</v>
      </c>
      <c r="C981" s="152"/>
      <c r="D981" s="166" t="str">
        <f t="shared" ref="D981" si="1583">IFERROR((F981/E981),"")</f>
        <v/>
      </c>
      <c r="E981" s="4"/>
      <c r="F981" s="3"/>
      <c r="G981" s="5"/>
      <c r="H981" s="6"/>
      <c r="I981" s="34">
        <f t="shared" ref="I981:I983" si="1584">IFERROR((S981*E981),"")</f>
        <v>0</v>
      </c>
      <c r="J981" s="78" t="str">
        <f>IFERROR(VLOOKUP(C981,[2]Sheet1!$D:$J,7,0),"")</f>
        <v/>
      </c>
      <c r="K981" s="80" t="str">
        <f t="shared" ref="K981:K982" si="1585">IFERROR((I981+J981),"")</f>
        <v/>
      </c>
      <c r="L981" s="7">
        <f t="shared" ref="L981:L983" si="1586">IFERROR((G981*H981),"")</f>
        <v>0</v>
      </c>
      <c r="M981" s="8" t="str">
        <f t="shared" ref="M981:M983" si="1587">IFERROR(K981-L981,"")</f>
        <v/>
      </c>
      <c r="N981" s="57" t="str">
        <f t="shared" ref="N981" si="1588">IFERROR((K981/H981),"")</f>
        <v/>
      </c>
      <c r="O981" s="9"/>
      <c r="P981" s="10"/>
      <c r="Q981" s="10"/>
      <c r="R981" s="10">
        <f t="shared" ref="R981" si="1589">O981*P981*Q981</f>
        <v>0</v>
      </c>
      <c r="S981" s="41">
        <f t="shared" ref="S981:S983" si="1590">SUM(Y981,T981:X981)</f>
        <v>0</v>
      </c>
      <c r="U981" s="190"/>
      <c r="W981" s="190"/>
      <c r="Y981" s="190"/>
      <c r="Z981" s="1"/>
      <c r="AA981" s="206" t="str">
        <f t="shared" ref="AA981:AA983" si="1591">IFERROR(H981*7.5/E981/7,"")</f>
        <v/>
      </c>
    </row>
    <row r="982" spans="1:27" hidden="1" ns3:dyDescent="0.3">
      <c r="A982" s="60"/>
      <c r="B982" s="59"/>
      <c r="C982" s="262" t="s">
        <v>682</v>
      </c>
      <c r="D982" s="166" t="str">
        <f>IFERROR((F982/E982),"")</f>
        <v/>
      </c>
      <c r="E982" s="4">
        <v>10</v>
      </c>
      <c r="F982" s="3" t="str">
        <f>IFERROR((L982-K982),"")</f>
        <v/>
      </c>
      <c r="G982" s="5">
        <v>5.5</v>
      </c>
      <c r="H982" s="6" t="e">
        <f>ROUNDUP(SUMPRODUCT(B983:B983,C983:C983)/1000,0)</f>
        <v>#N/A</v>
      </c>
      <c r="I982" s="34">
        <f t="shared" si="1584"/>
        <v>0</v>
      </c>
      <c r="J982" s="78">
        <f>IFERROR(VLOOKUP(C982,[2]Sheet1!$D:$J,7,0),"")</f>
        <v>0</v>
      </c>
      <c r="K982" s="80">
        <f t="shared" si="1585"/>
        <v>0</v>
      </c>
      <c r="L982" s="7" t="str">
        <f t="shared" si="1586"/>
        <v/>
      </c>
      <c r="M982" s="8" t="str">
        <f t="shared" si="1587"/>
        <v/>
      </c>
      <c r="N982" s="57" t="str">
        <f>IFERROR((K982/H982),"")</f>
        <v/>
      </c>
      <c r="O982" s="9"/>
      <c r="P982" s="10">
        <v>12</v>
      </c>
      <c r="Q982" s="10">
        <v>4400</v>
      </c>
      <c r="R982" s="10">
        <f>O982*P982*Q982</f>
        <v>0</v>
      </c>
      <c r="S982" s="41">
        <f t="shared" si="1590"/>
        <v>0</v>
      </c>
      <c r="T982" s="173"/>
      <c r="U982" s="173"/>
      <c r="V982" s="173"/>
      <c r="W982" s="193"/>
      <c r="X982" s="173"/>
      <c r="Y982" s="193"/>
      <c r="Z982" s="1"/>
      <c r="AA982" s="206" t="str">
        <f t="shared" si="1591"/>
        <v/>
      </c>
    </row>
    <row r="983" spans="1:27" hidden="1" ns3:dyDescent="0.3">
      <c r="A983" s="273" t="s">
        <v>671</v>
      </c>
      <c r="B983" s="59" t="e">
        <f>ROUNDUP(HLOOKUP(A983,'야채 계산기'!$2:$3,2,0)*1.03,0)</f>
        <v>#N/A</v>
      </c>
      <c r="C983" s="62">
        <f>'[1]이달의도시락9월(한가위편)(26.09.01)'!$B$35</f>
        <v>17.420000000000002</v>
      </c>
      <c r="D983" s="166"/>
      <c r="E983" s="4"/>
      <c r="F983" s="3"/>
      <c r="G983" s="5"/>
      <c r="H983" s="6"/>
      <c r="I983" s="34">
        <f t="shared" si="1584"/>
        <v>0</v>
      </c>
      <c r="J983" s="78" t="str">
        <f>IFERROR(VLOOKUP(C983,[2]Sheet1!$D:$J,7,0),"")</f>
        <v/>
      </c>
      <c r="K983" s="80" t="str">
        <f>IFERROR((I983+J983),"")</f>
        <v/>
      </c>
      <c r="L983" s="7">
        <f t="shared" si="1586"/>
        <v>0</v>
      </c>
      <c r="M983" s="8" t="str">
        <f t="shared" si="1587"/>
        <v/>
      </c>
      <c r="N983" s="57"/>
      <c r="O983" s="9"/>
      <c r="P983" s="10"/>
      <c r="Q983" s="10"/>
      <c r="R983" s="10"/>
      <c r="S983" s="41">
        <f t="shared" si="1590"/>
        <v>0</v>
      </c>
      <c r="U983" s="190"/>
      <c r="W983" s="190"/>
      <c r="Y983" s="190"/>
      <c r="Z983" s="1"/>
      <c r="AA983" s="206" t="str">
        <f t="shared" si="1591"/>
        <v/>
      </c>
    </row>
    <row r="984" spans="1:27" ns3:dyDescent="0.3">
      <c r="A984" s="60"/>
      <c r="B984" s="11"/>
      <c r="C984" s="164"/>
      <c r="D984" s="166" t="str">
        <f>IFERROR((F984/E984),"")</f>
        <v/>
      </c>
      <c r="E984" s="4"/>
      <c r="F984" s="3"/>
      <c r="G984" s="5"/>
      <c r="H984" s="6"/>
      <c r="I984" s="34">
        <f t="shared" ref="I984:I985" si="1592">IFERROR((S984*E984),"")</f>
        <v>0</v>
      </c>
      <c r="J984" s="78" t="str">
        <f>IFERROR(VLOOKUP(C984,[2]Sheet1!$D:$J,7,0),"")</f>
        <v/>
      </c>
      <c r="K984" s="80" t="str">
        <f>IFERROR((I984+J984),"")</f>
        <v/>
      </c>
      <c r="L984" s="7">
        <f t="shared" ref="L984:L985" si="1593">IFERROR((G984*H984),"")</f>
        <v>0</v>
      </c>
      <c r="M984" s="8" t="str">
        <f t="shared" ref="M984:M985" si="1594">IFERROR(K984-L984,"")</f>
        <v/>
      </c>
      <c r="N984" s="57"/>
      <c r="O984" s="9"/>
      <c r="P984" s="10"/>
      <c r="Q984" s="10"/>
      <c r="R984" s="10"/>
      <c r="S984" s="41">
        <f t="shared" si="1544"/>
        <v>0</v>
      </c>
      <c r="U984" s="190"/>
      <c r="W984" s="190"/>
      <c r="Y984" s="190"/>
      <c r="Z984" s="1"/>
      <c r="AA984" s="206" t="str">
        <f t="shared" si="1533"/>
        <v/>
      </c>
    </row>
    <row r="985" spans="1:27" ns3:dyDescent="0.3">
      <c r="A985" s="60"/>
      <c r="B985" s="11"/>
      <c r="C985" s="62"/>
      <c r="D985" s="166" t="str">
        <f>IFERROR((F985/E985),"")</f>
        <v/>
      </c>
      <c r="E985" s="4"/>
      <c r="F985" s="3"/>
      <c r="G985" s="5"/>
      <c r="H985" s="6"/>
      <c r="I985" s="34">
        <f t="shared" si="1592"/>
        <v>0</v>
      </c>
      <c r="J985" s="78" t="str">
        <f>IFERROR(VLOOKUP(C985,[2]Sheet1!$D:$J,7,0),"")</f>
        <v/>
      </c>
      <c r="K985" s="80" t="str">
        <f t="shared" ref="K985" si="1595">IFERROR((I985+J985),"")</f>
        <v/>
      </c>
      <c r="L985" s="7">
        <f t="shared" si="1593"/>
        <v>0</v>
      </c>
      <c r="M985" s="8" t="str">
        <f t="shared" si="1594"/>
        <v/>
      </c>
      <c r="N985" s="57"/>
      <c r="O985" s="9"/>
      <c r="P985" s="10"/>
      <c r="Q985" s="10"/>
      <c r="R985" s="10"/>
      <c r="S985" s="41">
        <f t="shared" si="1544"/>
        <v>0</v>
      </c>
      <c r="U985" s="190"/>
      <c r="W985" s="190"/>
      <c r="Y985" s="190"/>
      <c r="Z985" s="1"/>
      <c r="AA985" s="206" t="str">
        <f t="shared" si="1533"/>
        <v/>
      </c>
    </row>
    <row r="986" spans="1:27" hidden="1" ns3:dyDescent="0.3">
      <c r="A986" s="174" t="s">
        <v>381</v>
      </c>
      <c r="B986" s="2" t="s">
        <v>241</v>
      </c>
      <c r="C986" s="152"/>
      <c r="D986" s="166" t="str">
        <f>IFERROR((F986/E986),"")</f>
        <v/>
      </c>
      <c r="E986" s="4"/>
      <c r="F986" s="3"/>
      <c r="G986" s="5"/>
      <c r="H986" s="6"/>
      <c r="I986" s="34">
        <f t="shared" ref="I986:I992" si="1596">IFERROR((S986*E986),"")</f>
        <v>0</v>
      </c>
      <c r="J986" s="78" t="str">
        <f>IFERROR(VLOOKUP(C986,[2]Sheet1!$D:$J,7,0),"")</f>
        <v/>
      </c>
      <c r="K986" s="80" t="str">
        <f t="shared" ref="K986:K992" si="1597">IFERROR((I986+J986),"")</f>
        <v/>
      </c>
      <c r="L986" s="7">
        <f t="shared" ref="L986:L992" si="1598">IFERROR((G986*H986),"")</f>
        <v>0</v>
      </c>
      <c r="M986" s="8" t="str">
        <f t="shared" ref="M986:M992" si="1599">IFERROR(K986-L986,"")</f>
        <v/>
      </c>
      <c r="N986" s="57" t="str">
        <f>IFERROR((K986/H986),"")</f>
        <v/>
      </c>
      <c r="O986" s="9"/>
      <c r="P986" s="10"/>
      <c r="Q986" s="10"/>
      <c r="R986" s="10">
        <f>O986*P986*Q986</f>
        <v>0</v>
      </c>
      <c r="S986" s="41">
        <f t="shared" si="1544"/>
        <v>0</v>
      </c>
      <c r="U986" s="190"/>
      <c r="W986" s="190"/>
      <c r="Y986" s="190"/>
      <c r="AA986" s="206" t="str">
        <f t="shared" si="1533"/>
        <v/>
      </c>
    </row>
    <row r="987" spans="1:27" hidden="1" ns3:dyDescent="0.3">
      <c r="A987" s="63"/>
      <c r="B987" s="11"/>
      <c r="C987" s="182" t="s">
        <v>281</v>
      </c>
      <c r="D987" s="166">
        <f>IFERROR((F987/E987),"")</f>
        <v>0</v>
      </c>
      <c r="E987" s="4">
        <v>5</v>
      </c>
      <c r="F987" s="3">
        <f>IFERROR((L987-K987),"")</f>
        <v>0</v>
      </c>
      <c r="G987" s="5">
        <v>8</v>
      </c>
      <c r="H987" s="6">
        <f>ROUNDUP(((B988*C988))/2000,1)</f>
        <v>0</v>
      </c>
      <c r="I987" s="34">
        <f t="shared" si="1596"/>
        <v>0</v>
      </c>
      <c r="J987" s="78">
        <f>IFERROR(VLOOKUP(C987,[2]Sheet1!$D:$J,7,0),"")</f>
        <v>0</v>
      </c>
      <c r="K987" s="80">
        <f t="shared" si="1597"/>
        <v>0</v>
      </c>
      <c r="L987" s="7">
        <f t="shared" si="1598"/>
        <v>0</v>
      </c>
      <c r="M987" s="8">
        <f t="shared" si="1599"/>
        <v>0</v>
      </c>
      <c r="N987" s="57" t="str">
        <f>IFERROR((K987/H987),"")</f>
        <v/>
      </c>
      <c r="O987" s="9"/>
      <c r="P987" s="10">
        <v>10</v>
      </c>
      <c r="Q987" s="10">
        <v>3000</v>
      </c>
      <c r="R987" s="10">
        <f>O987*P987*Q987</f>
        <v>0</v>
      </c>
      <c r="S987" s="41">
        <f t="shared" si="1544"/>
        <v>0</v>
      </c>
      <c r="U987" s="190"/>
      <c r="W987" s="190"/>
      <c r="Y987" s="190"/>
      <c r="Z987" s="1"/>
      <c r="AA987" s="206">
        <f t="shared" si="1533"/>
        <v>0</v>
      </c>
    </row>
    <row r="988" spans="1:27" hidden="1" ns3:dyDescent="0.3">
      <c r="A988" s="176" t="s">
        <v>277</v>
      </c>
      <c r="B988" s="11">
        <f>ROUNDUP(HLOOKUP(A988,'야채 계산기'!$2:$3,2,0)*1.03,0)</f>
        <v>0</v>
      </c>
      <c r="C988" s="62">
        <v>2.2999999999999998</v>
      </c>
      <c r="D988" s="166"/>
      <c r="E988" s="4"/>
      <c r="F988" s="3"/>
      <c r="G988" s="5"/>
      <c r="H988" s="6"/>
      <c r="I988" s="34">
        <f t="shared" si="1596"/>
        <v>0</v>
      </c>
      <c r="J988" s="78" t="str">
        <f>IFERROR(VLOOKUP(C988,[2]Sheet1!$D:$J,7,0),"")</f>
        <v/>
      </c>
      <c r="K988" s="80" t="str">
        <f t="shared" si="1597"/>
        <v/>
      </c>
      <c r="L988" s="7">
        <f t="shared" si="1598"/>
        <v>0</v>
      </c>
      <c r="M988" s="8" t="str">
        <f t="shared" si="1599"/>
        <v/>
      </c>
      <c r="N988" s="57"/>
      <c r="O988" s="9"/>
      <c r="P988" s="10"/>
      <c r="Q988" s="10"/>
      <c r="R988" s="10"/>
      <c r="S988" s="41">
        <f t="shared" si="1544"/>
        <v>0</v>
      </c>
      <c r="U988" s="190"/>
      <c r="W988" s="190"/>
      <c r="Y988" s="190"/>
      <c r="Z988" s="1"/>
      <c r="AA988" s="206" t="str">
        <f t="shared" si="1533"/>
        <v/>
      </c>
    </row>
    <row r="989" spans="1:27" hidden="1" ns3:dyDescent="0.3">
      <c r="A989" s="63"/>
      <c r="B989" s="11"/>
      <c r="C989" s="262" t="s">
        <v>296</v>
      </c>
      <c r="D989" s="166" t="str">
        <f>IFERROR((F989/E989),"")</f>
        <v/>
      </c>
      <c r="E989" s="4">
        <v>5</v>
      </c>
      <c r="F989" s="3" t="str">
        <f>IFERROR((L989-K989),"")</f>
        <v/>
      </c>
      <c r="G989" s="5">
        <v>8</v>
      </c>
      <c r="H989" s="6" t="e">
        <f>ROUNDUP(((B990*C990))/2000,1)</f>
        <v>#N/A</v>
      </c>
      <c r="I989" s="34">
        <f>IFERROR((S989*E989),"")</f>
        <v>0</v>
      </c>
      <c r="J989" s="78">
        <f>IFERROR(VLOOKUP(C989,[2]Sheet1!$D:$J,7,0),"")</f>
        <v>1</v>
      </c>
      <c r="K989" s="80">
        <f t="shared" si="1597"/>
        <v>1</v>
      </c>
      <c r="L989" s="7" t="str">
        <f>IFERROR((G989*H989),"")</f>
        <v/>
      </c>
      <c r="M989" s="8" t="str">
        <f>IFERROR(K989-L989,"")</f>
        <v/>
      </c>
      <c r="N989" s="57" t="str">
        <f>IFERROR((K989/H989),"")</f>
        <v/>
      </c>
      <c r="O989" s="9"/>
      <c r="P989" s="10">
        <v>10</v>
      </c>
      <c r="Q989" s="10">
        <v>23188</v>
      </c>
      <c r="R989" s="10">
        <f>O989*P989*Q989</f>
        <v>0</v>
      </c>
      <c r="S989" s="41">
        <f t="shared" si="1544"/>
        <v>0</v>
      </c>
      <c r="U989" s="173"/>
      <c r="W989" s="193"/>
      <c r="Y989" s="193"/>
      <c r="Z989" s="1"/>
      <c r="AA989" s="206" t="str">
        <f t="shared" si="1533"/>
        <v/>
      </c>
    </row>
    <row r="990" spans="1:27" hidden="1" ns3:dyDescent="0.3">
      <c r="A990" s="273" t="s">
        <v>292</v>
      </c>
      <c r="B990" s="11" t="e">
        <f>ROUNDUP(HLOOKUP(A990,'야채 계산기'!$2:$3,2,0)*1.03,0)</f>
        <v>#N/A</v>
      </c>
      <c r="C990" s="62">
        <v>0.4</v>
      </c>
      <c r="D990" s="166"/>
      <c r="E990" s="4"/>
      <c r="F990" s="3"/>
      <c r="G990" s="5"/>
      <c r="H990" s="6"/>
      <c r="I990" s="34">
        <f>IFERROR((S990*E990),"")</f>
        <v>0</v>
      </c>
      <c r="J990" s="78" t="str">
        <f>IFERROR(VLOOKUP(C990,[2]Sheet1!$D:$J,7,0),"")</f>
        <v/>
      </c>
      <c r="K990" s="80" t="str">
        <f t="shared" si="1597"/>
        <v/>
      </c>
      <c r="L990" s="7">
        <f>IFERROR((G990*H990),"")</f>
        <v>0</v>
      </c>
      <c r="M990" s="8" t="str">
        <f>IFERROR(K990-L990,"")</f>
        <v/>
      </c>
      <c r="N990" s="57"/>
      <c r="O990" s="9"/>
      <c r="P990" s="10"/>
      <c r="Q990" s="10"/>
      <c r="R990" s="10"/>
      <c r="S990" s="41">
        <f t="shared" si="1544"/>
        <v>0</v>
      </c>
      <c r="U990" s="190"/>
      <c r="W990" s="190"/>
      <c r="Y990" s="190"/>
      <c r="Z990" s="1"/>
      <c r="AA990" s="206" t="str">
        <f t="shared" si="1533"/>
        <v/>
      </c>
    </row>
    <row r="991" spans="1:27" ns3:dyDescent="0.3">
      <c r="A991" s="2"/>
      <c r="B991" s="2"/>
      <c r="C991" s="62"/>
      <c r="D991" s="166"/>
      <c r="E991" s="4"/>
      <c r="F991" s="3"/>
      <c r="G991" s="5"/>
      <c r="H991" s="6"/>
      <c r="I991" s="34">
        <f t="shared" si="1596"/>
        <v>0</v>
      </c>
      <c r="J991" s="78" t="str">
        <f>IFERROR(VLOOKUP(C991,[2]Sheet1!$D:$J,7,0),"")</f>
        <v/>
      </c>
      <c r="K991" s="80" t="str">
        <f t="shared" si="1597"/>
        <v/>
      </c>
      <c r="L991" s="7">
        <f t="shared" si="1598"/>
        <v>0</v>
      </c>
      <c r="M991" s="8" t="str">
        <f t="shared" si="1599"/>
        <v/>
      </c>
      <c r="N991" s="57"/>
      <c r="O991" s="9"/>
      <c r="P991" s="10"/>
      <c r="Q991" s="10"/>
      <c r="R991" s="10"/>
      <c r="S991" s="41">
        <f t="shared" si="1544"/>
        <v>0</v>
      </c>
      <c r="U991" s="190"/>
      <c r="W991" s="190"/>
      <c r="Y991" s="190"/>
      <c r="Z991" s="1"/>
      <c r="AA991" s="206" t="str">
        <f t="shared" si="1533"/>
        <v/>
      </c>
    </row>
    <row r="992" spans="1:27" ns3:dyDescent="0.3">
      <c r="A992" s="2"/>
      <c r="B992" s="2"/>
      <c r="C992" s="62"/>
      <c r="D992" s="166"/>
      <c r="E992" s="4"/>
      <c r="F992" s="3"/>
      <c r="G992" s="5"/>
      <c r="H992" s="6"/>
      <c r="I992" s="34">
        <f t="shared" si="1596"/>
        <v>0</v>
      </c>
      <c r="J992" s="78" t="str">
        <f>IFERROR(VLOOKUP(C992,[2]Sheet1!$D:$J,7,0),"")</f>
        <v/>
      </c>
      <c r="K992" s="80" t="str">
        <f t="shared" si="1597"/>
        <v/>
      </c>
      <c r="L992" s="7">
        <f t="shared" si="1598"/>
        <v>0</v>
      </c>
      <c r="M992" s="8" t="str">
        <f t="shared" si="1599"/>
        <v/>
      </c>
      <c r="N992" s="57"/>
      <c r="O992" s="9"/>
      <c r="P992" s="10"/>
      <c r="Q992" s="10"/>
      <c r="R992" s="10"/>
      <c r="S992" s="41">
        <f t="shared" si="1544"/>
        <v>0</v>
      </c>
      <c r="U992" s="190"/>
      <c r="W992" s="190"/>
      <c r="Y992" s="190"/>
      <c r="Z992" s="1"/>
      <c r="AA992" s="206" t="str">
        <f t="shared" si="1533"/>
        <v/>
      </c>
    </row>
    <row r="993" spans="1:27" ns3:dyDescent="0.3">
      <c r="A993" s="298" t="s">
        <v>379</v>
      </c>
      <c r="B993" s="58" t="s">
        <v>694</v>
      </c>
      <c r="C993" s="152"/>
      <c r="D993" s="166" t="str">
        <f>IFERROR((F993/E993),"")</f>
        <v/>
      </c>
      <c r="E993" s="4"/>
      <c r="F993" s="3"/>
      <c r="G993" s="5"/>
      <c r="H993" s="6"/>
      <c r="I993" s="34">
        <f t="shared" ref="I993:I1009" si="1600">IFERROR((S993*E993),"")</f>
        <v>0</v>
      </c>
      <c r="J993" s="78" t="str">
        <f>IFERROR(VLOOKUP(C993,[2]Sheet1!$D:$J,7,0),"")</f>
        <v/>
      </c>
      <c r="K993" s="80" t="str">
        <f t="shared" ref="K993:K1009" si="1601">IFERROR((I993+J993),"")</f>
        <v/>
      </c>
      <c r="L993" s="7">
        <f t="shared" ref="L993:L996" si="1602">IFERROR((G993*H993),"")</f>
        <v>0</v>
      </c>
      <c r="M993" s="8" t="str">
        <f t="shared" ref="M993:M996" si="1603">IFERROR(K993-L993,"")</f>
        <v/>
      </c>
      <c r="N993" s="57" t="str">
        <f>IFERROR((K993/H993),"")</f>
        <v/>
      </c>
      <c r="O993" s="9"/>
      <c r="P993" s="10"/>
      <c r="Q993" s="10"/>
      <c r="R993" s="10">
        <f>O993*P993*Q993</f>
        <v>0</v>
      </c>
      <c r="S993" s="41">
        <f t="shared" si="1544"/>
        <v>0</v>
      </c>
      <c r="U993" s="190"/>
      <c r="W993" s="190"/>
      <c r="Y993" s="190"/>
      <c r="Z993" s="1"/>
      <c r="AA993" s="206" t="str">
        <f t="shared" si="1533"/>
        <v/>
      </c>
    </row>
    <row r="994" spans="1:27" ht="15.75" customHeight="1" ns3:dyDescent="0.3">
      <c r="A994" s="11"/>
      <c r="B994" s="11"/>
      <c r="C994" s="62" t="s">
        <v>205</v>
      </c>
      <c r="D994" s="166">
        <f>IFERROR((F994/E994),"")</f>
        <v>0.25</v>
      </c>
      <c r="E994" s="4">
        <v>6</v>
      </c>
      <c r="F994" s="3">
        <f>IFERROR((L994-K994),"")</f>
        <v>1.5</v>
      </c>
      <c r="G994" s="5">
        <v>7.5</v>
      </c>
      <c r="H994" s="6">
        <f>ROUNDUP(((B995*C995))/2000,0)</f>
        <v>9</v>
      </c>
      <c r="I994" s="34">
        <f t="shared" si="1600"/>
        <v>24</v>
      </c>
      <c r="J994" s="78">
        <f>IFERROR(VLOOKUP(C994,[2]Sheet1!$D:$J,7,0),"")</f>
        <v>42</v>
      </c>
      <c r="K994" s="80">
        <f t="shared" si="1601"/>
        <v>66</v>
      </c>
      <c r="L994" s="7">
        <f t="shared" si="1602"/>
        <v>67.5</v>
      </c>
      <c r="M994" s="8">
        <f t="shared" si="1603"/>
        <v>-1.5</v>
      </c>
      <c r="N994" s="57">
        <f>IFERROR((K994/H994),"")</f>
        <v>7.333333333333333</v>
      </c>
      <c r="O994" s="9"/>
      <c r="P994" s="10">
        <v>4</v>
      </c>
      <c r="Q994" s="10">
        <v>5150</v>
      </c>
      <c r="R994" s="10">
        <f>O994*P994*Q994</f>
        <v>0</v>
      </c>
      <c r="S994" s="41">
        <f t="shared" si="1544"/>
        <v>4</v>
      </c>
      <c r="U994" s="173">
        <v>4</v>
      </c>
      <c r="W994" s="193"/>
      <c r="Y994" s="193"/>
      <c r="Z994" s="1"/>
      <c r="AA994" s="206">
        <f t="shared" si="1533"/>
        <v>1.6071428571428572</v>
      </c>
    </row>
    <row r="995" spans="1:27" ns3:dyDescent="0.3">
      <c r="A995" s="59" t="s">
        <v>494</v>
      </c>
      <c r="B995" s="11">
        <f>ROUNDUP(HLOOKUP(A995,'야채 계산기'!$2:$3,2,0)*1.03,0)</f>
        <v>660</v>
      </c>
      <c r="C995" s="162">
        <f>28.48-1.317</f>
        <v>27.163</v>
      </c>
      <c r="D995" s="166"/>
      <c r="E995" s="4"/>
      <c r="F995" s="3"/>
      <c r="G995" s="5"/>
      <c r="H995" s="6"/>
      <c r="I995" s="34">
        <f t="shared" si="1600"/>
        <v>0</v>
      </c>
      <c r="J995" s="78" t="str">
        <f>IFERROR(VLOOKUP(C995,[2]Sheet1!$D:$J,7,0),"")</f>
        <v/>
      </c>
      <c r="K995" s="80" t="str">
        <f t="shared" si="1601"/>
        <v/>
      </c>
      <c r="L995" s="7">
        <f t="shared" si="1602"/>
        <v>0</v>
      </c>
      <c r="M995" s="8" t="str">
        <f t="shared" si="1603"/>
        <v/>
      </c>
      <c r="N995" s="57"/>
      <c r="O995" s="9"/>
      <c r="P995" s="10"/>
      <c r="Q995" s="10"/>
      <c r="R995" s="10"/>
      <c r="S995" s="41">
        <f t="shared" si="1544"/>
        <v>0</v>
      </c>
      <c r="U995" s="190"/>
      <c r="W995" s="190"/>
      <c r="Y995" s="190"/>
      <c r="Z995" s="1"/>
      <c r="AA995" s="206" t="str">
        <f t="shared" si="1533"/>
        <v/>
      </c>
    </row>
    <row r="996" spans="1:27" hidden="1" ns3:dyDescent="0.3">
      <c r="A996" s="2"/>
      <c r="B996" s="176" t="s">
        <v>183</v>
      </c>
      <c r="C996" s="262" t="s">
        <v>672</v>
      </c>
      <c r="D996" s="111">
        <f t="shared" ref="D996" si="1604">IFERROR((F996/E996),"")</f>
        <v>0</v>
      </c>
      <c r="E996" s="4">
        <v>400</v>
      </c>
      <c r="F996" s="3">
        <f>IFERROR((L996-K996),"")</f>
        <v>0</v>
      </c>
      <c r="G996" s="5">
        <f>G994</f>
        <v>7.5</v>
      </c>
      <c r="H996" s="6">
        <f>ROUNDUP((B997*C997)/1,1)</f>
        <v>0</v>
      </c>
      <c r="I996" s="34">
        <f t="shared" si="1600"/>
        <v>0</v>
      </c>
      <c r="J996" s="78">
        <f>IFERROR(VLOOKUP(C996,[2]Sheet1!$D:$J,7,0),"")</f>
        <v>0</v>
      </c>
      <c r="K996" s="80">
        <f t="shared" si="1601"/>
        <v>0</v>
      </c>
      <c r="L996" s="7">
        <f t="shared" si="1602"/>
        <v>0</v>
      </c>
      <c r="M996" s="8">
        <f t="shared" si="1603"/>
        <v>0</v>
      </c>
      <c r="N996" s="57" t="str">
        <f>IFERROR((K996/H996),"")</f>
        <v/>
      </c>
      <c r="O996" s="9"/>
      <c r="P996" s="10"/>
      <c r="Q996" s="10">
        <v>210</v>
      </c>
      <c r="R996" s="10"/>
      <c r="S996" s="41">
        <f t="shared" si="1544"/>
        <v>0</v>
      </c>
      <c r="U996" s="173"/>
      <c r="W996" s="173"/>
      <c r="Y996" s="173"/>
      <c r="Z996" s="1"/>
      <c r="AA996" s="206">
        <f t="shared" ref="AA996:AA1025" si="1605">IFERROR(H996*7.5/E996/7,"")</f>
        <v>0</v>
      </c>
    </row>
    <row r="997" spans="1:27" hidden="1" ns3:dyDescent="0.3">
      <c r="A997" s="273" t="s">
        <v>654</v>
      </c>
      <c r="B997" s="11">
        <f>ROUNDUP(HLOOKUP(A997,'야채 계산기'!$2:$3,2,0)*1.03,0)</f>
        <v>0</v>
      </c>
      <c r="C997" s="62">
        <v>1</v>
      </c>
      <c r="D997" s="111"/>
      <c r="E997" s="4"/>
      <c r="F997" s="3"/>
      <c r="G997" s="5"/>
      <c r="H997" s="6"/>
      <c r="I997" s="34">
        <f>IFERROR((S997*E997),"")</f>
        <v>0</v>
      </c>
      <c r="J997" s="78" t="str">
        <f>IFERROR(VLOOKUP(C997,[2]Sheet1!$D:$J,7,0),"")</f>
        <v/>
      </c>
      <c r="K997" s="80" t="str">
        <f>IFERROR((I997+J997),"")</f>
        <v/>
      </c>
      <c r="L997" s="7"/>
      <c r="M997" s="8"/>
      <c r="N997" s="57"/>
      <c r="O997" s="9"/>
      <c r="P997" s="10">
        <v>4</v>
      </c>
      <c r="Q997" s="10">
        <f>44640/4</f>
        <v>11160</v>
      </c>
      <c r="R997" s="10">
        <f>O997*P997*Q997</f>
        <v>0</v>
      </c>
      <c r="S997" s="41">
        <f t="shared" si="1544"/>
        <v>0</v>
      </c>
      <c r="Y997" s="1"/>
      <c r="Z997" s="1"/>
      <c r="AA997" s="206" t="str">
        <f t="shared" si="1605"/>
        <v/>
      </c>
    </row>
    <row r="998" spans="1:27" ns3:dyDescent="0.3">
      <c r="A998" s="2"/>
      <c r="B998" s="176" t="s">
        <v>183</v>
      </c>
      <c r="C998" s="247" t="s">
        <v>801</v>
      </c>
      <c r="D998" s="111">
        <f t="shared" ref="D998" si="1606">IFERROR((F998/E998),"")</f>
        <v>-27.76</v>
      </c>
      <c r="E998" s="4">
        <v>50</v>
      </c>
      <c r="F998" s="3">
        <f>IFERROR((L998-K998),"")</f>
        <v>-1388</v>
      </c>
      <c r="G998" s="5">
        <v>1</v>
      </c>
      <c r="H998" s="6">
        <f>ROUNDUP(SUMPRODUCT(B999:B1000,C999:C1000)/200,0)</f>
        <v>12</v>
      </c>
      <c r="I998" s="34">
        <f t="shared" ref="I998" si="1607">IFERROR((S998*E998),"")</f>
        <v>0</v>
      </c>
      <c r="J998" s="78">
        <f>IFERROR(VLOOKUP(C998,[2]Sheet1!$D:$J,7,0),"")</f>
        <v>1400</v>
      </c>
      <c r="K998" s="80">
        <f t="shared" ref="K998" si="1608">IFERROR((I998+J998),"")</f>
        <v>1400</v>
      </c>
      <c r="L998" s="7">
        <f t="shared" ref="L998" si="1609">IFERROR((G998*H998),"")</f>
        <v>12</v>
      </c>
      <c r="M998" s="8">
        <f t="shared" ref="M998" si="1610">IFERROR(K998-L998,"")</f>
        <v>1388</v>
      </c>
      <c r="N998" s="57">
        <f>IFERROR((K998/H998),"")</f>
        <v>116.66666666666667</v>
      </c>
      <c r="O998" s="9"/>
      <c r="P998" s="10"/>
      <c r="Q998" s="10">
        <v>12000</v>
      </c>
      <c r="R998" s="10"/>
      <c r="S998" s="41">
        <f t="shared" ref="S998:S1000" si="1611">SUM(Y998,T998:X998)</f>
        <v>0</v>
      </c>
      <c r="T998" s="173"/>
      <c r="U998" s="173"/>
      <c r="V998" s="173"/>
      <c r="W998" s="173"/>
      <c r="X998" s="173"/>
      <c r="Y998" s="173"/>
      <c r="Z998" s="1"/>
      <c r="AA998" s="206">
        <f t="shared" ref="AA998:AA1000" si="1612">IFERROR(H998*7.5/E998/7,"")</f>
        <v>0.25714285714285717</v>
      </c>
    </row>
    <row r="999" spans="1:27" ns3:dyDescent="0.3">
      <c r="A999" s="248" t="s">
        <v>800</v>
      </c>
      <c r="B999" s="11">
        <f>ROUNDUP(HLOOKUP(A999,'야채 계산기'!$2:$3,2,0)*1.03,0)</f>
        <v>1133</v>
      </c>
      <c r="C999" s="62">
        <v>2</v>
      </c>
      <c r="D999" s="111"/>
      <c r="E999" s="4"/>
      <c r="F999" s="3"/>
      <c r="G999" s="5"/>
      <c r="H999" s="6"/>
      <c r="I999" s="34">
        <f>IFERROR((S999*E999),"")</f>
        <v>0</v>
      </c>
      <c r="J999" s="78" t="str">
        <f>IFERROR(VLOOKUP(C999,[2]Sheet1!$D:$J,7,0),"")</f>
        <v/>
      </c>
      <c r="K999" s="80" t="str">
        <f>IFERROR((I999+J999),"")</f>
        <v/>
      </c>
      <c r="L999" s="7"/>
      <c r="M999" s="8"/>
      <c r="N999" s="57"/>
      <c r="O999" s="9"/>
      <c r="P999" s="10">
        <v>4</v>
      </c>
      <c r="Q999" s="10">
        <f>44640/4</f>
        <v>11160</v>
      </c>
      <c r="R999" s="10">
        <f t="shared" ref="R999:R1004" si="1613">O999*P999*Q999</f>
        <v>0</v>
      </c>
      <c r="S999" s="41">
        <f t="shared" ref="S999" si="1614">SUM(Y999,T999:X999)</f>
        <v>0</v>
      </c>
      <c r="Y999" s="1"/>
      <c r="Z999" s="1"/>
      <c r="AA999" s="206" t="str">
        <f t="shared" ref="AA999" si="1615">IFERROR(H999*7.5/E999/7,"")</f>
        <v/>
      </c>
    </row>
    <row r="1000" spans="1:27" ns3:dyDescent="0.3">
      <c r="A1000" s="248" t="s">
        <v>884</v>
      </c>
      <c r="B1000" s="11"/>
      <c r="C1000" s="62">
        <v>2</v>
      </c>
      <c r="D1000" s="111"/>
      <c r="E1000" s="4"/>
      <c r="F1000" s="3"/>
      <c r="G1000" s="5"/>
      <c r="H1000" s="6"/>
      <c r="I1000" s="34">
        <f>IFERROR((S1000*E1000),"")</f>
        <v>0</v>
      </c>
      <c r="J1000" s="78" t="str">
        <f>IFERROR(VLOOKUP(C1000,[2]Sheet1!$D:$J,7,0),"")</f>
        <v/>
      </c>
      <c r="K1000" s="80" t="str">
        <f>IFERROR((I1000+J1000),"")</f>
        <v/>
      </c>
      <c r="L1000" s="7"/>
      <c r="M1000" s="8"/>
      <c r="N1000" s="57"/>
      <c r="O1000" s="9"/>
      <c r="P1000" s="10">
        <v>4</v>
      </c>
      <c r="Q1000" s="10">
        <f>44640/4</f>
        <v>11160</v>
      </c>
      <c r="R1000" s="10">
        <f t="shared" si="1613"/>
        <v>0</v>
      </c>
      <c r="S1000" s="41">
        <f t="shared" si="1611"/>
        <v>0</v>
      </c>
      <c r="Y1000" s="1"/>
      <c r="Z1000" s="1"/>
      <c r="AA1000" s="206" t="str">
        <f t="shared" si="1612"/>
        <v/>
      </c>
    </row>
    <row r="1001" spans="1:27" ns3:dyDescent="0.3">
      <c r="A1001" s="2"/>
      <c r="B1001" s="2"/>
      <c r="C1001" s="62"/>
      <c r="D1001" s="111"/>
      <c r="E1001" s="4"/>
      <c r="F1001" s="3"/>
      <c r="G1001" s="5"/>
      <c r="H1001" s="6"/>
      <c r="I1001" s="34">
        <f>IFERROR((S1001*E1001),"")</f>
        <v>0</v>
      </c>
      <c r="J1001" s="78" t="str">
        <f>IFERROR(VLOOKUP(C1001,[2]Sheet1!$D:$J,7,0),"")</f>
        <v/>
      </c>
      <c r="K1001" s="80" t="str">
        <f>IFERROR((I1001+J1001),"")</f>
        <v/>
      </c>
      <c r="L1001" s="7"/>
      <c r="M1001" s="8"/>
      <c r="N1001" s="57"/>
      <c r="O1001" s="9"/>
      <c r="P1001" s="10">
        <v>4</v>
      </c>
      <c r="Q1001" s="10">
        <f>44640/4</f>
        <v>11160</v>
      </c>
      <c r="R1001" s="10">
        <f t="shared" si="1613"/>
        <v>0</v>
      </c>
      <c r="S1001" s="41">
        <f t="shared" ref="S1001" si="1616">SUM(Y1001,T1001:X1001)</f>
        <v>0</v>
      </c>
      <c r="Y1001" s="1"/>
      <c r="Z1001" s="1"/>
      <c r="AA1001" s="206" t="str">
        <f t="shared" ref="AA1001" si="1617">IFERROR(H1001*7.5/E1001/7,"")</f>
        <v/>
      </c>
    </row>
    <row r="1002" spans="1:27" hidden="1" ns3:dyDescent="0.3">
      <c r="A1002" s="2"/>
      <c r="B1002" s="2"/>
      <c r="C1002" s="62"/>
      <c r="D1002" s="111"/>
      <c r="E1002" s="4"/>
      <c r="F1002" s="3"/>
      <c r="G1002" s="5"/>
      <c r="H1002" s="6"/>
      <c r="I1002" s="34">
        <f>IFERROR((S1002*E1002),"")</f>
        <v>0</v>
      </c>
      <c r="J1002" s="78" t="str">
        <f>IFERROR(VLOOKUP(C1002,[2]Sheet1!$D:$J,7,0),"")</f>
        <v/>
      </c>
      <c r="K1002" s="80" t="str">
        <f>IFERROR((I1002+J1002),"")</f>
        <v/>
      </c>
      <c r="L1002" s="7"/>
      <c r="M1002" s="8"/>
      <c r="N1002" s="57"/>
      <c r="O1002" s="9"/>
      <c r="P1002" s="10">
        <v>4</v>
      </c>
      <c r="Q1002" s="10">
        <f>44640/4</f>
        <v>11160</v>
      </c>
      <c r="R1002" s="10">
        <f t="shared" si="1613"/>
        <v>0</v>
      </c>
      <c r="S1002" s="41">
        <f t="shared" si="1544"/>
        <v>0</v>
      </c>
      <c r="Y1002" s="1"/>
      <c r="Z1002" s="1"/>
      <c r="AA1002" s="206" t="str">
        <f t="shared" si="1605"/>
        <v/>
      </c>
    </row>
    <row r="1003" spans="1:27" hidden="1" ns3:dyDescent="0.3">
      <c r="A1003" s="174" t="s">
        <v>373</v>
      </c>
      <c r="B1003" s="2" t="s">
        <v>241</v>
      </c>
      <c r="C1003" s="152"/>
      <c r="D1003" s="166" t="str">
        <f>IFERROR((F1003/E1003),"")</f>
        <v/>
      </c>
      <c r="E1003" s="4"/>
      <c r="F1003" s="3"/>
      <c r="G1003" s="5"/>
      <c r="H1003" s="6"/>
      <c r="I1003" s="34">
        <f t="shared" ref="I1003:I1005" si="1618">IFERROR((S1003*E1003),"")</f>
        <v>0</v>
      </c>
      <c r="J1003" s="78" t="str">
        <f>IFERROR(VLOOKUP(C1003,[2]Sheet1!$D:$J,7,0),"")</f>
        <v/>
      </c>
      <c r="K1003" s="80" t="str">
        <f t="shared" ref="K1003:K1005" si="1619">IFERROR((I1003+J1003),"")</f>
        <v/>
      </c>
      <c r="L1003" s="7">
        <f t="shared" ref="L1003:L1005" si="1620">IFERROR((G1003*H1003),"")</f>
        <v>0</v>
      </c>
      <c r="M1003" s="8" t="str">
        <f t="shared" ref="M1003:M1005" si="1621">IFERROR(K1003-L1003,"")</f>
        <v/>
      </c>
      <c r="N1003" s="57" t="str">
        <f>IFERROR((K1003/H1003),"")</f>
        <v/>
      </c>
      <c r="O1003" s="9"/>
      <c r="P1003" s="10"/>
      <c r="Q1003" s="10"/>
      <c r="R1003" s="10">
        <f t="shared" si="1613"/>
        <v>0</v>
      </c>
      <c r="S1003" s="41">
        <f t="shared" si="1544"/>
        <v>0</v>
      </c>
      <c r="U1003" s="190"/>
      <c r="W1003" s="190"/>
      <c r="Y1003" s="190"/>
      <c r="Z1003" s="1"/>
      <c r="AA1003" s="206" t="str">
        <f t="shared" si="1605"/>
        <v/>
      </c>
    </row>
    <row r="1004" spans="1:27" ht="15.75" hidden="1" customHeight="1" ns3:dyDescent="0.3">
      <c r="A1004" s="11"/>
      <c r="B1004" s="11"/>
      <c r="C1004" s="164" t="s">
        <v>340</v>
      </c>
      <c r="D1004" s="166" t="str">
        <f>IFERROR((F1004/E1004),"")</f>
        <v/>
      </c>
      <c r="E1004" s="4">
        <v>10</v>
      </c>
      <c r="F1004" s="3" t="str">
        <f>IFERROR((L1004-K1004),"")</f>
        <v/>
      </c>
      <c r="G1004" s="5">
        <f>G964</f>
        <v>7.5</v>
      </c>
      <c r="H1004" s="6" t="e">
        <f>ROUNDUP(((B1005*C1005))/1000,1)</f>
        <v>#N/A</v>
      </c>
      <c r="I1004" s="34">
        <f t="shared" si="1618"/>
        <v>0</v>
      </c>
      <c r="J1004" s="78" t="str">
        <f>IFERROR(VLOOKUP(C1004,[2]Sheet1!$D:$J,7,0),"")</f>
        <v/>
      </c>
      <c r="K1004" s="80" t="str">
        <f t="shared" si="1619"/>
        <v/>
      </c>
      <c r="L1004" s="7" t="str">
        <f t="shared" si="1620"/>
        <v/>
      </c>
      <c r="M1004" s="8" t="str">
        <f t="shared" si="1621"/>
        <v/>
      </c>
      <c r="N1004" s="57" t="str">
        <f>IFERROR((K1004/H1004),"")</f>
        <v/>
      </c>
      <c r="O1004" s="9"/>
      <c r="P1004" s="10">
        <v>4</v>
      </c>
      <c r="Q1004" s="10">
        <v>15800</v>
      </c>
      <c r="R1004" s="10">
        <f t="shared" si="1613"/>
        <v>0</v>
      </c>
      <c r="S1004" s="41">
        <f t="shared" si="1544"/>
        <v>0</v>
      </c>
      <c r="U1004" s="244"/>
      <c r="W1004" s="193"/>
      <c r="Y1004" s="193"/>
      <c r="Z1004" s="1"/>
      <c r="AA1004" s="206" t="str">
        <f t="shared" si="1605"/>
        <v/>
      </c>
    </row>
    <row r="1005" spans="1:27" hidden="1" ns3:dyDescent="0.3">
      <c r="A1005" s="255" t="s">
        <v>628</v>
      </c>
      <c r="B1005" s="11" t="e">
        <f>ROUNDUP(HLOOKUP(A1005,'야채 계산기'!$2:$3,2,0),0)</f>
        <v>#N/A</v>
      </c>
      <c r="C1005" s="62">
        <v>1.97</v>
      </c>
      <c r="D1005" s="166"/>
      <c r="E1005" s="4"/>
      <c r="F1005" s="3"/>
      <c r="G1005" s="5"/>
      <c r="H1005" s="6"/>
      <c r="I1005" s="34">
        <f t="shared" si="1618"/>
        <v>0</v>
      </c>
      <c r="J1005" s="78" t="str">
        <f>IFERROR(VLOOKUP(C1005,[2]Sheet1!$D:$J,7,0),"")</f>
        <v/>
      </c>
      <c r="K1005" s="80" t="str">
        <f t="shared" si="1619"/>
        <v/>
      </c>
      <c r="L1005" s="7">
        <f t="shared" si="1620"/>
        <v>0</v>
      </c>
      <c r="M1005" s="8" t="str">
        <f t="shared" si="1621"/>
        <v/>
      </c>
      <c r="N1005" s="57"/>
      <c r="O1005" s="9"/>
      <c r="P1005" s="10"/>
      <c r="Q1005" s="10"/>
      <c r="R1005" s="10"/>
      <c r="S1005" s="41">
        <f t="shared" si="1544"/>
        <v>0</v>
      </c>
      <c r="U1005" s="190"/>
      <c r="W1005" s="190"/>
      <c r="Y1005" s="190"/>
      <c r="Z1005" s="1"/>
      <c r="AA1005" s="206" t="str">
        <f t="shared" si="1605"/>
        <v/>
      </c>
    </row>
    <row r="1006" spans="1:27" hidden="1" ns3:dyDescent="0.3">
      <c r="A1006" s="2"/>
      <c r="B1006" s="2"/>
      <c r="C1006" s="62"/>
      <c r="D1006" s="111"/>
      <c r="E1006" s="4"/>
      <c r="F1006" s="3"/>
      <c r="G1006" s="5"/>
      <c r="H1006" s="6"/>
      <c r="I1006" s="34">
        <f>IFERROR((S1006*E1006),"")</f>
        <v>0</v>
      </c>
      <c r="J1006" s="78" t="str">
        <f>IFERROR(VLOOKUP(C1006,[2]Sheet1!$D:$J,7,0),"")</f>
        <v/>
      </c>
      <c r="K1006" s="80" t="str">
        <f>IFERROR((I1006+J1006),"")</f>
        <v/>
      </c>
      <c r="L1006" s="7"/>
      <c r="M1006" s="8"/>
      <c r="N1006" s="57"/>
      <c r="O1006" s="9"/>
      <c r="P1006" s="10">
        <v>4</v>
      </c>
      <c r="Q1006" s="10">
        <f>44640/4</f>
        <v>11160</v>
      </c>
      <c r="R1006" s="10">
        <f>O1006*P1006*Q1006</f>
        <v>0</v>
      </c>
      <c r="S1006" s="41">
        <f t="shared" si="1544"/>
        <v>0</v>
      </c>
      <c r="Y1006" s="1"/>
      <c r="Z1006" s="1"/>
      <c r="AA1006" s="206" t="str">
        <f t="shared" si="1605"/>
        <v/>
      </c>
    </row>
    <row r="1007" spans="1:27" hidden="1" ns3:dyDescent="0.3">
      <c r="A1007" s="2"/>
      <c r="B1007" s="2"/>
      <c r="C1007" s="62"/>
      <c r="D1007" s="111"/>
      <c r="E1007" s="4"/>
      <c r="F1007" s="3"/>
      <c r="G1007" s="5"/>
      <c r="H1007" s="6"/>
      <c r="I1007" s="34">
        <f t="shared" si="1600"/>
        <v>0</v>
      </c>
      <c r="J1007" s="78" t="str">
        <f>IFERROR(VLOOKUP(C1007,[2]Sheet1!$D:$J,7,0),"")</f>
        <v/>
      </c>
      <c r="K1007" s="80" t="str">
        <f t="shared" si="1601"/>
        <v/>
      </c>
      <c r="L1007" s="7"/>
      <c r="M1007" s="8"/>
      <c r="N1007" s="57"/>
      <c r="O1007" s="9"/>
      <c r="P1007" s="10"/>
      <c r="Q1007" s="10"/>
      <c r="R1007" s="10"/>
      <c r="S1007" s="41">
        <f t="shared" si="1544"/>
        <v>0</v>
      </c>
      <c r="Y1007" s="1"/>
      <c r="Z1007" s="1"/>
      <c r="AA1007" s="206" t="str">
        <f t="shared" si="1605"/>
        <v/>
      </c>
    </row>
    <row r="1008" spans="1:27" hidden="1" ns3:dyDescent="0.3">
      <c r="A1008" s="174" t="s">
        <v>615</v>
      </c>
      <c r="B1008" s="58" t="s">
        <v>241</v>
      </c>
      <c r="C1008" s="152"/>
      <c r="D1008" s="166" t="str">
        <f>IFERROR((F1008/E1008),"")</f>
        <v/>
      </c>
      <c r="E1008" s="4"/>
      <c r="F1008" s="3"/>
      <c r="G1008" s="5"/>
      <c r="H1008" s="6"/>
      <c r="I1008" s="34">
        <f t="shared" si="1600"/>
        <v>0</v>
      </c>
      <c r="J1008" s="78" t="str">
        <f>IFERROR(VLOOKUP(C1008,[2]Sheet1!$D:$J,7,0),"")</f>
        <v/>
      </c>
      <c r="K1008" s="80" t="str">
        <f t="shared" si="1601"/>
        <v/>
      </c>
      <c r="L1008" s="7">
        <f t="shared" ref="L1008:L1009" si="1622">IFERROR((G1008*H1008),"")</f>
        <v>0</v>
      </c>
      <c r="M1008" s="8" t="str">
        <f t="shared" ref="M1008:M1009" si="1623">IFERROR(K1008-L1008,"")</f>
        <v/>
      </c>
      <c r="N1008" s="57" t="str">
        <f>IFERROR((K1008/H1008),"")</f>
        <v/>
      </c>
      <c r="O1008" s="9"/>
      <c r="P1008" s="10"/>
      <c r="Q1008" s="10"/>
      <c r="R1008" s="10">
        <f>O1008*P1008*Q1008</f>
        <v>0</v>
      </c>
      <c r="S1008" s="41">
        <f t="shared" ref="S1008:S1025" si="1624">SUM(Y1008,T1008:X1008)</f>
        <v>0</v>
      </c>
      <c r="U1008" s="190"/>
      <c r="W1008" s="190"/>
      <c r="Y1008" s="190"/>
      <c r="Z1008" s="1"/>
      <c r="AA1008" s="206" t="str">
        <f t="shared" si="1605"/>
        <v/>
      </c>
    </row>
    <row r="1009" spans="1:27" ht="15.75" hidden="1" customHeight="1" ns3:dyDescent="0.3">
      <c r="A1009" s="11"/>
      <c r="B1009" s="11"/>
      <c r="C1009" s="236" t="s">
        <v>592</v>
      </c>
      <c r="D1009" s="166" t="str">
        <f>IFERROR((F1009/E1009),"")</f>
        <v/>
      </c>
      <c r="E1009" s="4">
        <v>10</v>
      </c>
      <c r="F1009" s="3" t="str">
        <f>IFERROR((L1009-K1009),"")</f>
        <v/>
      </c>
      <c r="G1009" s="5">
        <v>6.5</v>
      </c>
      <c r="H1009" s="6" t="e">
        <f>ROUNDUP(SUMPRODUCT(B1010:B1010,C1010:C1010)/16,1)</f>
        <v>#N/A</v>
      </c>
      <c r="I1009" s="34">
        <f t="shared" si="1600"/>
        <v>0</v>
      </c>
      <c r="J1009" s="78" t="str">
        <f>IFERROR(VLOOKUP(C1009,[2]Sheet1!$D:$J,7,0),"")</f>
        <v/>
      </c>
      <c r="K1009" s="80" t="str">
        <f t="shared" si="1601"/>
        <v/>
      </c>
      <c r="L1009" s="7" t="str">
        <f t="shared" si="1622"/>
        <v/>
      </c>
      <c r="M1009" s="8" t="str">
        <f t="shared" si="1623"/>
        <v/>
      </c>
      <c r="N1009" s="57" t="str">
        <f>IFERROR((K1009/H1009),"")</f>
        <v/>
      </c>
      <c r="O1009" s="9"/>
      <c r="P1009" s="10">
        <v>4</v>
      </c>
      <c r="Q1009" s="10">
        <v>5660</v>
      </c>
      <c r="R1009" s="10">
        <f>O1009*P1009*Q1009</f>
        <v>0</v>
      </c>
      <c r="S1009" s="41">
        <f t="shared" si="1624"/>
        <v>0</v>
      </c>
      <c r="U1009" s="259"/>
      <c r="W1009" s="193"/>
      <c r="Y1009" s="193"/>
      <c r="Z1009" s="1"/>
      <c r="AA1009" s="206" t="str">
        <f t="shared" si="1605"/>
        <v/>
      </c>
    </row>
    <row r="1010" spans="1:27" hidden="1" ns3:dyDescent="0.3">
      <c r="A1010" s="255" t="s">
        <v>597</v>
      </c>
      <c r="B1010" s="11" t="e">
        <f>ROUNDUP(HLOOKUP(A1010,'야채 계산기'!$2:$3,2,0),0)</f>
        <v>#N/A</v>
      </c>
      <c r="C1010" s="62">
        <v>1</v>
      </c>
      <c r="D1010" s="111"/>
      <c r="E1010" s="4"/>
      <c r="F1010" s="3"/>
      <c r="G1010" s="5"/>
      <c r="H1010" s="6"/>
      <c r="I1010" s="34">
        <f>IFERROR((S1010*E1010),"")</f>
        <v>0</v>
      </c>
      <c r="J1010" s="78" t="str">
        <f>IFERROR(VLOOKUP(C1010,[2]Sheet1!$D:$J,7,0),"")</f>
        <v/>
      </c>
      <c r="K1010" s="80" t="str">
        <f>IFERROR((I1010+J1010),"")</f>
        <v/>
      </c>
      <c r="L1010" s="7"/>
      <c r="M1010" s="8"/>
      <c r="N1010" s="57"/>
      <c r="O1010" s="9"/>
      <c r="P1010" s="10">
        <v>4</v>
      </c>
      <c r="Q1010" s="10">
        <f>44640/4</f>
        <v>11160</v>
      </c>
      <c r="R1010" s="10">
        <f>O1010*P1010*Q1010</f>
        <v>0</v>
      </c>
      <c r="S1010" s="41">
        <f t="shared" si="1624"/>
        <v>0</v>
      </c>
      <c r="Y1010" s="1"/>
      <c r="Z1010" s="1"/>
      <c r="AA1010" s="206" t="str">
        <f t="shared" si="1605"/>
        <v/>
      </c>
    </row>
    <row r="1011" spans="1:27" hidden="1" ns3:dyDescent="0.3">
      <c r="A1011" s="2"/>
      <c r="B1011" s="2"/>
      <c r="C1011" s="62"/>
      <c r="D1011" s="111"/>
      <c r="E1011" s="4"/>
      <c r="F1011" s="3"/>
      <c r="G1011" s="5"/>
      <c r="H1011" s="6"/>
      <c r="I1011" s="34">
        <f t="shared" ref="I1011:I1014" si="1625">IFERROR((S1011*E1011),"")</f>
        <v>0</v>
      </c>
      <c r="J1011" s="78" t="str">
        <f>IFERROR(VLOOKUP(C1011,[2]Sheet1!$D:$J,7,0),"")</f>
        <v/>
      </c>
      <c r="K1011" s="80" t="str">
        <f t="shared" ref="K1011:K1014" si="1626">IFERROR((I1011+J1011),"")</f>
        <v/>
      </c>
      <c r="L1011" s="7"/>
      <c r="M1011" s="8"/>
      <c r="N1011" s="57"/>
      <c r="O1011" s="9"/>
      <c r="P1011" s="10"/>
      <c r="Q1011" s="10"/>
      <c r="R1011" s="10"/>
      <c r="S1011" s="41">
        <f t="shared" si="1624"/>
        <v>0</v>
      </c>
      <c r="Y1011" s="1"/>
      <c r="Z1011" s="1"/>
      <c r="AA1011" s="206" t="str">
        <f t="shared" si="1605"/>
        <v/>
      </c>
    </row>
    <row r="1012" spans="1:27" hidden="1" ns3:dyDescent="0.3">
      <c r="A1012" s="174" t="s">
        <v>548</v>
      </c>
      <c r="B1012" s="58" t="s">
        <v>241</v>
      </c>
      <c r="C1012" s="152"/>
      <c r="D1012" s="166" t="str">
        <f>IFERROR((F1012/E1012),"")</f>
        <v/>
      </c>
      <c r="E1012" s="4"/>
      <c r="F1012" s="3"/>
      <c r="G1012" s="5"/>
      <c r="H1012" s="6"/>
      <c r="I1012" s="34">
        <f t="shared" si="1625"/>
        <v>0</v>
      </c>
      <c r="J1012" s="78" t="str">
        <f>IFERROR(VLOOKUP(C1012,[2]Sheet1!$D:$J,7,0),"")</f>
        <v/>
      </c>
      <c r="K1012" s="80" t="str">
        <f t="shared" si="1626"/>
        <v/>
      </c>
      <c r="L1012" s="7">
        <f t="shared" ref="L1012:L1014" si="1627">IFERROR((G1012*H1012),"")</f>
        <v>0</v>
      </c>
      <c r="M1012" s="8" t="str">
        <f t="shared" ref="M1012:M1014" si="1628">IFERROR(K1012-L1012,"")</f>
        <v/>
      </c>
      <c r="N1012" s="57" t="str">
        <f>IFERROR((K1012/H1012),"")</f>
        <v/>
      </c>
      <c r="O1012" s="9"/>
      <c r="P1012" s="10"/>
      <c r="Q1012" s="10"/>
      <c r="R1012" s="10">
        <f>O1012*P1012*Q1012</f>
        <v>0</v>
      </c>
      <c r="S1012" s="41">
        <f t="shared" si="1624"/>
        <v>0</v>
      </c>
      <c r="U1012" s="190"/>
      <c r="W1012" s="190"/>
      <c r="Y1012" s="190"/>
      <c r="Z1012" s="1"/>
      <c r="AA1012" s="206" t="str">
        <f t="shared" si="1605"/>
        <v/>
      </c>
    </row>
    <row r="1013" spans="1:27" ht="15.75" hidden="1" customHeight="1" ns3:dyDescent="0.3">
      <c r="A1013" s="11"/>
      <c r="B1013" s="11"/>
      <c r="C1013" s="262" t="s">
        <v>549</v>
      </c>
      <c r="D1013" s="166" t="str">
        <f>IFERROR((F1013/E1013),"")</f>
        <v/>
      </c>
      <c r="E1013" s="4">
        <v>10</v>
      </c>
      <c r="F1013" s="3" t="str">
        <f>IFERROR((L1013-K1013),"")</f>
        <v/>
      </c>
      <c r="G1013" s="5">
        <v>3.5</v>
      </c>
      <c r="H1013" s="6" t="e">
        <f>ROUNDUP(SUMPRODUCT(B1014,C1014)/100,1)</f>
        <v>#N/A</v>
      </c>
      <c r="I1013" s="34">
        <f t="shared" si="1625"/>
        <v>0</v>
      </c>
      <c r="J1013" s="78" t="str">
        <f>IFERROR(VLOOKUP(C1013,[2]Sheet1!$D:$J,7,0),"")</f>
        <v/>
      </c>
      <c r="K1013" s="80" t="str">
        <f t="shared" si="1626"/>
        <v/>
      </c>
      <c r="L1013" s="7" t="str">
        <f t="shared" si="1627"/>
        <v/>
      </c>
      <c r="M1013" s="8" t="str">
        <f t="shared" si="1628"/>
        <v/>
      </c>
      <c r="N1013" s="57" t="str">
        <f>IFERROR((K1013/H1013),"")</f>
        <v/>
      </c>
      <c r="O1013" s="9"/>
      <c r="P1013" s="10">
        <v>4</v>
      </c>
      <c r="Q1013" s="10">
        <v>6600</v>
      </c>
      <c r="R1013" s="10">
        <f>O1013*P1013*Q1013</f>
        <v>0</v>
      </c>
      <c r="S1013" s="41">
        <f t="shared" si="1624"/>
        <v>0</v>
      </c>
      <c r="U1013" s="244"/>
      <c r="W1013" s="193"/>
      <c r="Y1013" s="193"/>
      <c r="Z1013" s="1"/>
      <c r="AA1013" s="206" t="str">
        <f t="shared" si="1605"/>
        <v/>
      </c>
    </row>
    <row r="1014" spans="1:27" hidden="1" ns3:dyDescent="0.3">
      <c r="A1014" s="272" t="s">
        <v>528</v>
      </c>
      <c r="B1014" s="11" t="e">
        <f>ROUNDUP(HLOOKUP(A1014,'야채 계산기'!$2:$3,2,0),0)</f>
        <v>#N/A</v>
      </c>
      <c r="C1014" s="62">
        <v>2</v>
      </c>
      <c r="D1014" s="166"/>
      <c r="E1014" s="4"/>
      <c r="F1014" s="3"/>
      <c r="G1014" s="5"/>
      <c r="H1014" s="6"/>
      <c r="I1014" s="34">
        <f t="shared" si="1625"/>
        <v>0</v>
      </c>
      <c r="J1014" s="78" t="str">
        <f>IFERROR(VLOOKUP(C1014,[2]Sheet1!$D:$J,7,0),"")</f>
        <v/>
      </c>
      <c r="K1014" s="80" t="str">
        <f t="shared" si="1626"/>
        <v/>
      </c>
      <c r="L1014" s="7">
        <f t="shared" si="1627"/>
        <v>0</v>
      </c>
      <c r="M1014" s="8" t="str">
        <f t="shared" si="1628"/>
        <v/>
      </c>
      <c r="N1014" s="57"/>
      <c r="O1014" s="9"/>
      <c r="P1014" s="10"/>
      <c r="Q1014" s="10"/>
      <c r="R1014" s="10"/>
      <c r="S1014" s="41">
        <f t="shared" si="1624"/>
        <v>132000</v>
      </c>
      <c r="U1014" s="178">
        <v>66000</v>
      </c>
      <c r="W1014" s="178"/>
      <c r="Y1014" s="178">
        <v>66000</v>
      </c>
      <c r="Z1014" s="1"/>
      <c r="AA1014" s="206" t="str">
        <f t="shared" si="1605"/>
        <v/>
      </c>
    </row>
    <row r="1015" spans="1:27" hidden="1" ns3:dyDescent="0.3">
      <c r="A1015" s="2"/>
      <c r="B1015" s="2"/>
      <c r="C1015" s="62"/>
      <c r="D1015" s="111"/>
      <c r="E1015" s="4"/>
      <c r="F1015" s="3"/>
      <c r="G1015" s="5"/>
      <c r="H1015" s="6"/>
      <c r="I1015" s="34">
        <f>IFERROR((S1015*E1015),"")</f>
        <v>0</v>
      </c>
      <c r="J1015" s="78" t="str">
        <f>IFERROR(VLOOKUP(C1015,[2]Sheet1!$D:$J,7,0),"")</f>
        <v/>
      </c>
      <c r="K1015" s="80" t="str">
        <f>IFERROR((I1015+J1015),"")</f>
        <v/>
      </c>
      <c r="L1015" s="7"/>
      <c r="M1015" s="8"/>
      <c r="N1015" s="57"/>
      <c r="O1015" s="9"/>
      <c r="P1015" s="10">
        <v>4</v>
      </c>
      <c r="Q1015" s="10">
        <f>44640/4</f>
        <v>11160</v>
      </c>
      <c r="R1015" s="10">
        <f>O1015*P1015*Q1015</f>
        <v>0</v>
      </c>
      <c r="S1015" s="41">
        <f t="shared" si="1624"/>
        <v>0</v>
      </c>
      <c r="U1015" s="254">
        <f>U1013*U1014*1.1</f>
        <v>0</v>
      </c>
      <c r="W1015" s="254"/>
      <c r="Y1015" s="254">
        <f>Y1013*Y1014*1.1</f>
        <v>0</v>
      </c>
      <c r="Z1015" s="1"/>
      <c r="AA1015" s="206" t="str">
        <f t="shared" si="1605"/>
        <v/>
      </c>
    </row>
    <row r="1016" spans="1:27" ns3:dyDescent="0.3">
      <c r="A1016" s="2"/>
      <c r="B1016" s="2"/>
      <c r="C1016" s="62"/>
      <c r="D1016" s="111"/>
      <c r="E1016" s="4"/>
      <c r="F1016" s="3"/>
      <c r="G1016" s="5"/>
      <c r="H1016" s="6"/>
      <c r="I1016" s="34">
        <f t="shared" ref="I1016" si="1629">IFERROR((S1016*E1016),"")</f>
        <v>0</v>
      </c>
      <c r="J1016" s="78" t="str">
        <f>IFERROR(VLOOKUP(C1016,[2]Sheet1!$D:$J,7,0),"")</f>
        <v/>
      </c>
      <c r="K1016" s="80" t="str">
        <f t="shared" ref="K1016" si="1630">IFERROR((I1016+J1016),"")</f>
        <v/>
      </c>
      <c r="L1016" s="7"/>
      <c r="M1016" s="8"/>
      <c r="N1016" s="57"/>
      <c r="O1016" s="9"/>
      <c r="P1016" s="10"/>
      <c r="Q1016" s="10"/>
      <c r="R1016" s="10"/>
      <c r="S1016" s="41">
        <f t="shared" si="1624"/>
        <v>0</v>
      </c>
      <c r="Y1016" s="42"/>
      <c r="Z1016" s="1"/>
      <c r="AA1016" s="206" t="str">
        <f t="shared" si="1605"/>
        <v/>
      </c>
    </row>
    <row r="1017" spans="1:27" hidden="1" ns3:dyDescent="0.3">
      <c r="A1017" s="211" t="s">
        <v>374</v>
      </c>
      <c r="B1017" s="2" t="s">
        <v>372</v>
      </c>
      <c r="C1017" s="152"/>
      <c r="D1017" s="166" t="str">
        <f t="shared" ref="D1017:D1018" si="1631">IFERROR((F1017/E1017),"")</f>
        <v/>
      </c>
      <c r="E1017" s="4"/>
      <c r="F1017" s="3"/>
      <c r="G1017" s="5"/>
      <c r="H1017" s="6"/>
      <c r="I1017" s="34">
        <f t="shared" ref="I1017:I1021" si="1632">IFERROR((S1017*E1017),"")</f>
        <v>0</v>
      </c>
      <c r="J1017" s="78" t="str">
        <f>IFERROR(VLOOKUP(C1017,[2]Sheet1!$D:$J,7,0),"")</f>
        <v/>
      </c>
      <c r="K1017" s="80" t="str">
        <f t="shared" ref="K1017:K1021" si="1633">IFERROR((I1017+J1017),"")</f>
        <v/>
      </c>
      <c r="L1017" s="7">
        <f>IFERROR((G1017*H1017),"")</f>
        <v>0</v>
      </c>
      <c r="M1017" s="8" t="str">
        <f>IFERROR(K1017-L1017,"")</f>
        <v/>
      </c>
      <c r="N1017" s="57" t="str">
        <f>IFERROR((K1017/H1017),"")</f>
        <v/>
      </c>
      <c r="O1017" s="9"/>
      <c r="P1017" s="10"/>
      <c r="Q1017" s="10"/>
      <c r="R1017" s="10">
        <f>O1017*P1017*Q1017</f>
        <v>0</v>
      </c>
      <c r="S1017" s="41">
        <f t="shared" si="1624"/>
        <v>0</v>
      </c>
      <c r="Y1017" s="42"/>
      <c r="Z1017" s="1"/>
      <c r="AA1017" s="206" t="str">
        <f t="shared" si="1605"/>
        <v/>
      </c>
    </row>
    <row r="1018" spans="1:27" ht="15.75" hidden="1" customHeight="1" ns3:dyDescent="0.3">
      <c r="A1018" s="11"/>
      <c r="B1018" s="11"/>
      <c r="C1018" s="182" t="s">
        <v>246</v>
      </c>
      <c r="D1018" s="166">
        <f t="shared" si="1631"/>
        <v>0</v>
      </c>
      <c r="E1018" s="4">
        <v>6</v>
      </c>
      <c r="F1018" s="3">
        <f>IFERROR((L1018-K1018),"")</f>
        <v>0</v>
      </c>
      <c r="G1018" s="5">
        <f>G994</f>
        <v>7.5</v>
      </c>
      <c r="H1018" s="6">
        <f>ROUNDUP(((B1019*C1019))/2000,0)</f>
        <v>0</v>
      </c>
      <c r="I1018" s="34">
        <f t="shared" si="1632"/>
        <v>0</v>
      </c>
      <c r="J1018" s="78">
        <f>IFERROR(VLOOKUP(C1018,[2]Sheet1!$D:$J,7,0),"")</f>
        <v>0</v>
      </c>
      <c r="K1018" s="80">
        <f t="shared" si="1633"/>
        <v>0</v>
      </c>
      <c r="L1018" s="7">
        <f>IFERROR((G1018*H1018),"")</f>
        <v>0</v>
      </c>
      <c r="M1018" s="8">
        <f>IFERROR(K1018-L1018,"")</f>
        <v>0</v>
      </c>
      <c r="N1018" s="57" t="str">
        <f>IFERROR((K1018/H1018),"")</f>
        <v/>
      </c>
      <c r="O1018" s="9"/>
      <c r="P1018" s="10">
        <v>4</v>
      </c>
      <c r="Q1018" s="10">
        <v>12400</v>
      </c>
      <c r="R1018" s="10">
        <f>O1018*P1018*Q1018</f>
        <v>0</v>
      </c>
      <c r="S1018" s="41">
        <f t="shared" si="1624"/>
        <v>0</v>
      </c>
      <c r="U1018" s="183"/>
      <c r="W1018" s="173"/>
      <c r="Y1018" s="173"/>
      <c r="Z1018" s="1"/>
      <c r="AA1018" s="206">
        <f t="shared" si="1605"/>
        <v>0</v>
      </c>
    </row>
    <row r="1019" spans="1:27" hidden="1" ns3:dyDescent="0.3">
      <c r="A1019" s="176" t="s">
        <v>277</v>
      </c>
      <c r="B1019" s="11">
        <f>ROUNDUP(HLOOKUP(A1019,'야채 계산기'!$2:$3,2,0)*1.03,0)</f>
        <v>0</v>
      </c>
      <c r="C1019" s="62">
        <v>37.369999999999997</v>
      </c>
      <c r="D1019" s="166"/>
      <c r="E1019" s="4"/>
      <c r="F1019" s="3"/>
      <c r="G1019" s="5"/>
      <c r="H1019" s="6"/>
      <c r="I1019" s="34">
        <f t="shared" si="1632"/>
        <v>0</v>
      </c>
      <c r="J1019" s="78" t="str">
        <f>IFERROR(VLOOKUP(C1019,[2]Sheet1!$D:$J,7,0),"")</f>
        <v/>
      </c>
      <c r="K1019" s="80" t="str">
        <f t="shared" si="1633"/>
        <v/>
      </c>
      <c r="L1019" s="7">
        <f>IFERROR((G1019*H1019),"")</f>
        <v>0</v>
      </c>
      <c r="M1019" s="8" t="str">
        <f>IFERROR(K1019-L1019,"")</f>
        <v/>
      </c>
      <c r="N1019" s="57"/>
      <c r="O1019" s="9"/>
      <c r="P1019" s="10"/>
      <c r="Q1019" s="10"/>
      <c r="R1019" s="10"/>
      <c r="S1019" s="41">
        <f t="shared" si="1624"/>
        <v>0</v>
      </c>
      <c r="Y1019" s="42"/>
      <c r="Z1019" s="1"/>
      <c r="AA1019" s="206" t="str">
        <f t="shared" si="1605"/>
        <v/>
      </c>
    </row>
    <row r="1020" spans="1:27" ns3:dyDescent="0.3">
      <c r="A1020" s="2"/>
      <c r="B1020" s="2"/>
      <c r="C1020" s="62"/>
      <c r="D1020" s="111"/>
      <c r="E1020" s="4"/>
      <c r="F1020" s="3"/>
      <c r="G1020" s="5"/>
      <c r="H1020" s="6"/>
      <c r="I1020" s="34">
        <f t="shared" si="1632"/>
        <v>0</v>
      </c>
      <c r="J1020" s="78" t="str">
        <f>IFERROR(VLOOKUP(C1020,[2]Sheet1!$D:$J,7,0),"")</f>
        <v/>
      </c>
      <c r="K1020" s="80" t="str">
        <f t="shared" si="1633"/>
        <v/>
      </c>
      <c r="L1020" s="7"/>
      <c r="M1020" s="8"/>
      <c r="N1020" s="57"/>
      <c r="O1020" s="9"/>
      <c r="P1020" s="10">
        <v>4</v>
      </c>
      <c r="Q1020" s="10">
        <f>44640/4</f>
        <v>11160</v>
      </c>
      <c r="R1020" s="10">
        <f>O1020*P1020*Q1020</f>
        <v>0</v>
      </c>
      <c r="S1020" s="41">
        <f t="shared" si="1624"/>
        <v>0</v>
      </c>
      <c r="W1020" s="190"/>
      <c r="Y1020" s="42"/>
      <c r="Z1020" s="1"/>
      <c r="AA1020" s="206" t="str">
        <f t="shared" si="1605"/>
        <v/>
      </c>
    </row>
    <row r="1021" spans="1:27" ns3:dyDescent="0.3">
      <c r="A1021" s="2"/>
      <c r="B1021" s="2"/>
      <c r="C1021" s="62"/>
      <c r="D1021" s="111"/>
      <c r="E1021" s="4"/>
      <c r="F1021" s="3"/>
      <c r="G1021" s="5"/>
      <c r="H1021" s="6"/>
      <c r="I1021" s="34">
        <f t="shared" si="1632"/>
        <v>0</v>
      </c>
      <c r="J1021" s="78" t="str">
        <f>IFERROR(VLOOKUP(C1021,[2]Sheet1!$D:$J,7,0),"")</f>
        <v/>
      </c>
      <c r="K1021" s="80" t="str">
        <f t="shared" si="1633"/>
        <v/>
      </c>
      <c r="L1021" s="7"/>
      <c r="M1021" s="8"/>
      <c r="N1021" s="57"/>
      <c r="O1021" s="9"/>
      <c r="P1021" s="10"/>
      <c r="Q1021" s="10"/>
      <c r="R1021" s="10"/>
      <c r="S1021" s="41">
        <f t="shared" si="1624"/>
        <v>0</v>
      </c>
      <c r="W1021" s="190"/>
      <c r="Y1021" s="42"/>
      <c r="Z1021" s="1"/>
      <c r="AA1021" s="206" t="str">
        <f t="shared" si="1605"/>
        <v/>
      </c>
    </row>
    <row r="1022" spans="1:27" hidden="1" ns3:dyDescent="0.3">
      <c r="A1022" s="211" t="s">
        <v>371</v>
      </c>
      <c r="B1022" s="91" t="s">
        <v>44</v>
      </c>
      <c r="C1022" s="152"/>
      <c r="D1022" s="166" t="str">
        <f t="shared" ref="D1022:D1029" si="1634">IFERROR((F1022/E1022),"")</f>
        <v/>
      </c>
      <c r="E1022" s="4"/>
      <c r="F1022" s="3"/>
      <c r="G1022" s="5"/>
      <c r="H1022" s="6"/>
      <c r="I1022" s="34">
        <f t="shared" ref="I1022:I1028" si="1635">IFERROR((S1022*E1022),"")</f>
        <v>0</v>
      </c>
      <c r="J1022" s="78" t="str">
        <f>IFERROR(VLOOKUP(C1022,[2]Sheet1!$D:$J,7,0),"")</f>
        <v/>
      </c>
      <c r="K1022" s="80" t="str">
        <f t="shared" ref="K1022:K1025" si="1636">IFERROR((I1022+J1022),"")</f>
        <v/>
      </c>
      <c r="L1022" s="7">
        <f t="shared" ref="L1022:L1028" si="1637">IFERROR((G1022*H1022),"")</f>
        <v>0</v>
      </c>
      <c r="M1022" s="8" t="str">
        <f t="shared" ref="M1022:M1028" si="1638">IFERROR(K1022-L1022,"")</f>
        <v/>
      </c>
      <c r="N1022" s="57" t="str">
        <f>IFERROR((K1022/H1022),"")</f>
        <v/>
      </c>
      <c r="O1022" s="9"/>
      <c r="P1022" s="10"/>
      <c r="Q1022" s="10"/>
      <c r="R1022" s="10">
        <f>O1022*P1022*Q1022</f>
        <v>0</v>
      </c>
      <c r="S1022" s="41">
        <f t="shared" si="1624"/>
        <v>0</v>
      </c>
      <c r="W1022" s="190"/>
      <c r="Y1022" s="42"/>
      <c r="AA1022" s="206" t="str">
        <f t="shared" si="1605"/>
        <v/>
      </c>
    </row>
    <row r="1023" spans="1:27" ht="16.5" hidden="1" customHeight="1" ns3:dyDescent="0.3">
      <c r="A1023" s="11"/>
      <c r="B1023" s="134"/>
      <c r="C1023" s="182" t="s">
        <v>108</v>
      </c>
      <c r="D1023" s="166" t="str">
        <f t="shared" si="1634"/>
        <v/>
      </c>
      <c r="E1023" s="4">
        <v>8</v>
      </c>
      <c r="F1023" s="3" t="str">
        <f>IFERROR((L1023-K1023),"")</f>
        <v/>
      </c>
      <c r="G1023" s="5">
        <v>0</v>
      </c>
      <c r="H1023" s="6">
        <f>ROUNDUP(SUMPRODUCT(B1024:B1025,C1024:C1025)/1033,0)</f>
        <v>26</v>
      </c>
      <c r="I1023" s="34">
        <f t="shared" si="1635"/>
        <v>0</v>
      </c>
      <c r="J1023" s="78" t="str">
        <f>IFERROR(VLOOKUP(C1023,[2]Sheet1!$D:$J,7,0),"")</f>
        <v/>
      </c>
      <c r="K1023" s="80" t="str">
        <f t="shared" si="1636"/>
        <v/>
      </c>
      <c r="L1023" s="7">
        <f t="shared" si="1637"/>
        <v>0</v>
      </c>
      <c r="M1023" s="8" t="str">
        <f t="shared" si="1638"/>
        <v/>
      </c>
      <c r="N1023" s="57" t="str">
        <f>IFERROR((K1023/H1023),"")</f>
        <v/>
      </c>
      <c r="O1023" s="9"/>
      <c r="P1023" s="10"/>
      <c r="Q1023" s="10">
        <v>14880</v>
      </c>
      <c r="R1023" s="10">
        <f>O1023*P1023*Q1023</f>
        <v>0</v>
      </c>
      <c r="S1023" s="41">
        <f t="shared" si="1624"/>
        <v>0</v>
      </c>
      <c r="W1023" s="190"/>
      <c r="Y1023" s="42"/>
      <c r="AA1023" s="206">
        <f t="shared" si="1605"/>
        <v>3.4821428571428572</v>
      </c>
    </row>
    <row r="1024" spans="1:27" ht="16.5" hidden="1" customHeight="1" ns3:dyDescent="0.3">
      <c r="A1024" s="13" t="s">
        <v>267</v>
      </c>
      <c r="B1024" s="11">
        <f>ROUNDUP(HLOOKUP(A1024,'야채 계산기'!$2:$3,2,0)*1.03,0)</f>
        <v>1329</v>
      </c>
      <c r="C1024" s="58">
        <v>10.199999999999999</v>
      </c>
      <c r="D1024" s="166" t="str">
        <f t="shared" si="1634"/>
        <v/>
      </c>
      <c r="E1024" s="4"/>
      <c r="F1024" s="3"/>
      <c r="G1024" s="5"/>
      <c r="H1024" s="6"/>
      <c r="I1024" s="34">
        <f t="shared" si="1635"/>
        <v>0</v>
      </c>
      <c r="J1024" s="78" t="str">
        <f>IFERROR(VLOOKUP(C1024,[2]Sheet1!$D:$J,7,0),"")</f>
        <v/>
      </c>
      <c r="K1024" s="80" t="str">
        <f t="shared" si="1636"/>
        <v/>
      </c>
      <c r="L1024" s="7">
        <f t="shared" si="1637"/>
        <v>0</v>
      </c>
      <c r="M1024" s="8" t="str">
        <f t="shared" si="1638"/>
        <v/>
      </c>
      <c r="N1024" s="57"/>
      <c r="O1024" s="9"/>
      <c r="P1024" s="10"/>
      <c r="Q1024" s="10"/>
      <c r="R1024" s="10"/>
      <c r="S1024" s="41">
        <f t="shared" si="1624"/>
        <v>0</v>
      </c>
      <c r="U1024" s="190"/>
      <c r="W1024" s="190"/>
      <c r="Y1024" s="42"/>
      <c r="AA1024" s="206" t="str">
        <f t="shared" si="1605"/>
        <v/>
      </c>
    </row>
    <row r="1025" spans="1:32" ht="16.5" hidden="1" customHeight="1" ns3:dyDescent="0.3">
      <c r="A1025" s="13" t="s">
        <v>271</v>
      </c>
      <c r="B1025" s="11">
        <f>ROUNDUP(HLOOKUP(A1025,'야채 계산기'!$2:$3,2,0)*1.03,0)</f>
        <v>1082</v>
      </c>
      <c r="C1025" s="58">
        <v>12.24</v>
      </c>
      <c r="D1025" s="166" t="str">
        <f t="shared" si="1634"/>
        <v/>
      </c>
      <c r="E1025" s="4"/>
      <c r="F1025" s="3"/>
      <c r="G1025" s="5"/>
      <c r="H1025" s="6"/>
      <c r="I1025" s="34">
        <f t="shared" si="1635"/>
        <v>0</v>
      </c>
      <c r="J1025" s="78" t="str">
        <f>IFERROR(VLOOKUP(C1025,[2]Sheet1!$D:$J,7,0),"")</f>
        <v/>
      </c>
      <c r="K1025" s="80" t="str">
        <f t="shared" si="1636"/>
        <v/>
      </c>
      <c r="L1025" s="7">
        <f t="shared" si="1637"/>
        <v>0</v>
      </c>
      <c r="M1025" s="8" t="str">
        <f t="shared" si="1638"/>
        <v/>
      </c>
      <c r="N1025" s="57"/>
      <c r="O1025" s="9"/>
      <c r="P1025" s="10"/>
      <c r="Q1025" s="10"/>
      <c r="R1025" s="10"/>
      <c r="S1025" s="41">
        <f t="shared" si="1624"/>
        <v>0</v>
      </c>
      <c r="U1025" s="190"/>
      <c r="W1025" s="190"/>
      <c r="Y1025" s="42"/>
      <c r="AA1025" s="206" t="str">
        <f t="shared" si="1605"/>
        <v/>
      </c>
    </row>
    <row r="1026" spans="1:32" ht="16.5" customHeight="1" ns3:dyDescent="0.3">
      <c r="A1026" s="13"/>
      <c r="B1026" s="11"/>
      <c r="C1026" s="58"/>
      <c r="D1026" s="166"/>
      <c r="E1026" s="4"/>
      <c r="F1026" s="3"/>
      <c r="G1026" s="5"/>
      <c r="H1026" s="6"/>
      <c r="I1026" s="34"/>
      <c r="J1026" s="78" t="str">
        <f>IFERROR(VLOOKUP(C1026,[2]Sheet1!$D:$J,7,0),"")</f>
        <v/>
      </c>
      <c r="K1026" s="80"/>
      <c r="L1026" s="7"/>
      <c r="M1026" s="8"/>
      <c r="N1026" s="57"/>
      <c r="O1026" s="9"/>
      <c r="P1026" s="10"/>
      <c r="Q1026" s="10"/>
      <c r="R1026" s="10"/>
      <c r="U1026" s="190"/>
      <c r="W1026" s="190"/>
      <c r="Y1026" s="42"/>
      <c r="AA1026" s="206"/>
    </row>
    <row r="1027" spans="1:32" ht="16.5" customHeight="1" ns3:dyDescent="0.3">
      <c r="A1027" s="13"/>
      <c r="B1027" s="11"/>
      <c r="C1027" s="58"/>
      <c r="D1027" s="166"/>
      <c r="E1027" s="4"/>
      <c r="F1027" s="3"/>
      <c r="G1027" s="5"/>
      <c r="H1027" s="6"/>
      <c r="I1027" s="34"/>
      <c r="J1027" s="78" t="str">
        <f>IFERROR(VLOOKUP(C1027,[2]Sheet1!$D:$J,7,0),"")</f>
        <v/>
      </c>
      <c r="K1027" s="80"/>
      <c r="L1027" s="7"/>
      <c r="M1027" s="8"/>
      <c r="N1027" s="57"/>
      <c r="O1027" s="9"/>
      <c r="P1027" s="10"/>
      <c r="Q1027" s="10"/>
      <c r="R1027" s="10"/>
      <c r="U1027" s="190"/>
      <c r="W1027" s="190"/>
      <c r="Y1027" s="42"/>
      <c r="AA1027" s="206"/>
    </row>
    <row r="1028" spans="1:32" ns3:dyDescent="0.3">
      <c r="A1028" s="58"/>
      <c r="B1028" s="2"/>
      <c r="C1028" s="62"/>
      <c r="D1028" s="166" t="str">
        <f t="shared" ref="D1028" si="1639">IFERROR((F1028/E1028),"")</f>
        <v/>
      </c>
      <c r="E1028" s="4"/>
      <c r="F1028" s="3"/>
      <c r="G1028" s="5"/>
      <c r="H1028" s="6"/>
      <c r="I1028" s="34">
        <f t="shared" si="1635"/>
        <v>0</v>
      </c>
      <c r="J1028" s="78" t="str">
        <f>IFERROR(VLOOKUP(C1028,[2]Sheet1!$D:$J,7,0),"")</f>
        <v/>
      </c>
      <c r="K1028" s="80" t="str">
        <f>IFERROR((I1028+J1028),"")</f>
        <v/>
      </c>
      <c r="L1028" s="7">
        <f t="shared" si="1637"/>
        <v>0</v>
      </c>
      <c r="M1028" s="8" t="str">
        <f t="shared" si="1638"/>
        <v/>
      </c>
      <c r="N1028" s="57"/>
      <c r="O1028" s="9"/>
      <c r="P1028" s="10"/>
      <c r="Q1028" s="10"/>
      <c r="R1028" s="10"/>
      <c r="S1028" s="41">
        <f t="shared" ref="S1028:S1095" si="1640">SUM(Y1028,T1028:X1028)</f>
        <v>0</v>
      </c>
      <c r="U1028" s="190"/>
      <c r="W1028" s="190"/>
      <c r="Y1028" s="42"/>
      <c r="AA1028" s="206" t="str">
        <f>IFERROR(H1028*7.5/E1028/7,"")</f>
        <v/>
      </c>
    </row>
    <row r="1029" spans="1:32" ns3:dyDescent="0.3">
      <c r="A1029" s="58"/>
      <c r="B1029" s="2"/>
      <c r="C1029" s="62"/>
      <c r="D1029" s="166" t="str">
        <f t="shared" si="1634"/>
        <v/>
      </c>
      <c r="E1029" s="4"/>
      <c r="F1029" s="3"/>
      <c r="G1029" s="5"/>
      <c r="H1029" s="6"/>
      <c r="I1029" s="34">
        <f t="shared" ref="I1029" si="1641">IFERROR((S1029*E1029),"")</f>
        <v>0</v>
      </c>
      <c r="J1029" s="78" t="str">
        <f>IFERROR(VLOOKUP(C1029,[2]Sheet1!$D:$J,7,0),"")</f>
        <v/>
      </c>
      <c r="K1029" s="80" t="str">
        <f>IFERROR((I1029+J1029),"")</f>
        <v/>
      </c>
      <c r="L1029" s="7">
        <f t="shared" ref="L1029" si="1642">IFERROR((G1029*H1029),"")</f>
        <v>0</v>
      </c>
      <c r="M1029" s="8" t="str">
        <f t="shared" ref="M1029" si="1643">IFERROR(K1029-L1029,"")</f>
        <v/>
      </c>
      <c r="N1029" s="57"/>
      <c r="O1029" s="9"/>
      <c r="P1029" s="10"/>
      <c r="Q1029" s="10"/>
      <c r="R1029" s="10"/>
      <c r="S1029" s="41">
        <f t="shared" si="1640"/>
        <v>0</v>
      </c>
      <c r="U1029" s="190"/>
      <c r="W1029" s="190"/>
      <c r="Y1029" s="42"/>
      <c r="AA1029" s="206" t="str">
        <f>IFERROR(H1029*7.5/E1029/7,"")</f>
        <v/>
      </c>
    </row>
    <row r="1030" spans="1:32" ht="22.5" customHeight="1" ns3:dyDescent="0.3">
      <c r="A1030" s="218" t="s">
        <v>405</v>
      </c>
      <c r="B1030" s="2"/>
      <c r="C1030" s="62"/>
      <c r="D1030" s="166" t="str">
        <f t="shared" ref="D1030:D1031" si="1644">IFERROR((F1030/E1030),"")</f>
        <v/>
      </c>
      <c r="E1030" s="4"/>
      <c r="F1030" s="3"/>
      <c r="G1030" s="5"/>
      <c r="H1030" s="6"/>
      <c r="I1030" s="34">
        <f t="shared" ref="I1030:I1111" si="1645">IFERROR((S1030*E1030),"")</f>
        <v>0</v>
      </c>
      <c r="J1030" s="78" t="str">
        <f>IFERROR(VLOOKUP(C1030,[2]Sheet1!$D:$J,7,0),"")</f>
        <v/>
      </c>
      <c r="K1030" s="80" t="str">
        <f>IFERROR((I1030+J1030),"")</f>
        <v/>
      </c>
      <c r="L1030" s="7">
        <f t="shared" ref="L1030:L1111" si="1646">IFERROR((G1030*H1030),"")</f>
        <v>0</v>
      </c>
      <c r="M1030" s="8" t="str">
        <f t="shared" ref="M1030:M1111" si="1647">IFERROR(K1030-L1030,"")</f>
        <v/>
      </c>
      <c r="N1030" s="57"/>
      <c r="O1030" s="9"/>
      <c r="P1030" s="10"/>
      <c r="Q1030" s="10"/>
      <c r="R1030" s="10"/>
      <c r="S1030" s="41">
        <f t="shared" si="1640"/>
        <v>0</v>
      </c>
      <c r="U1030" s="190"/>
      <c r="W1030" s="190"/>
      <c r="Y1030" s="42"/>
      <c r="AA1030" s="206" t="str">
        <f>IFERROR(H1030*7.5/E1030/7,"")</f>
        <v/>
      </c>
    </row>
    <row r="1031" spans="1:32" ns3:dyDescent="0.3">
      <c r="A1031" s="58"/>
      <c r="B1031" s="2"/>
      <c r="C1031" s="62"/>
      <c r="D1031" s="166" t="str">
        <f t="shared" si="1644"/>
        <v/>
      </c>
      <c r="E1031" s="4"/>
      <c r="F1031" s="3"/>
      <c r="G1031" s="5"/>
      <c r="H1031" s="6"/>
      <c r="I1031" s="34">
        <f t="shared" si="1645"/>
        <v>0</v>
      </c>
      <c r="J1031" s="78" t="str">
        <f>IFERROR(VLOOKUP(C1031,[2]Sheet1!$D:$J,7,0),"")</f>
        <v/>
      </c>
      <c r="K1031" s="80" t="str">
        <f>IFERROR((I1031+J1031),"")</f>
        <v/>
      </c>
      <c r="L1031" s="7">
        <f t="shared" si="1646"/>
        <v>0</v>
      </c>
      <c r="M1031" s="8" t="str">
        <f t="shared" si="1647"/>
        <v/>
      </c>
      <c r="N1031" s="57"/>
      <c r="O1031" s="9"/>
      <c r="P1031" s="10"/>
      <c r="Q1031" s="10"/>
      <c r="R1031" s="10"/>
      <c r="S1031" s="41">
        <f t="shared" si="1640"/>
        <v>0</v>
      </c>
      <c r="U1031" s="190"/>
      <c r="W1031" s="190"/>
      <c r="Y1031" s="42"/>
      <c r="AA1031" s="206" t="str">
        <f>IFERROR(H1031*7.5/E1031/7,"")</f>
        <v/>
      </c>
    </row>
    <row r="1032" spans="1:32" ns3:dyDescent="0.3">
      <c r="A1032" s="184" t="s">
        <v>389</v>
      </c>
      <c r="B1032" s="58" t="s">
        <v>213</v>
      </c>
      <c r="C1032" s="152"/>
      <c r="D1032" s="111" t="str">
        <f>IFERROR((F1032/E1032),"")</f>
        <v/>
      </c>
      <c r="E1032" s="4"/>
      <c r="F1032" s="17"/>
      <c r="G1032" s="5"/>
      <c r="H1032" s="6"/>
      <c r="I1032" s="34">
        <f t="shared" si="1645"/>
        <v>0</v>
      </c>
      <c r="J1032" s="78" t="str">
        <f>IFERROR(VLOOKUP(C1032,[2]Sheet1!$D:$J,7,0),"")</f>
        <v/>
      </c>
      <c r="K1032" s="80" t="str">
        <f t="shared" ref="K1032:K1044" si="1648">IFERROR((I1032+J1032),"")</f>
        <v/>
      </c>
      <c r="L1032" s="7">
        <f t="shared" si="1646"/>
        <v>0</v>
      </c>
      <c r="M1032" s="8" t="str">
        <f t="shared" si="1647"/>
        <v/>
      </c>
      <c r="N1032" s="57" t="str">
        <f>IFERROR((K1032/H1032),"")</f>
        <v/>
      </c>
      <c r="O1032" s="9"/>
      <c r="P1032" s="10"/>
      <c r="Q1032" s="10"/>
      <c r="R1032" s="10">
        <f>O1032*P1032*Q1032</f>
        <v>0</v>
      </c>
      <c r="S1032" s="41">
        <f t="shared" si="1640"/>
        <v>0</v>
      </c>
      <c r="W1032" s="190"/>
      <c r="Y1032" s="42"/>
      <c r="AA1032" s="206" t="str">
        <f>IFERROR(H1032*7.5/E1032/7,"")</f>
        <v/>
      </c>
    </row>
    <row r="1033" spans="1:32" ns3:dyDescent="0.3">
      <c r="A1033" s="2"/>
      <c r="B1033" s="11"/>
      <c r="C1033" s="182" t="s">
        <v>447</v>
      </c>
      <c r="D1033" s="166" t="str">
        <f>IFERROR((F1033/E1033),"")</f>
        <v/>
      </c>
      <c r="E1033" s="4">
        <v>20</v>
      </c>
      <c r="F1033" s="3" t="str">
        <f>IFERROR((L1033-K1033),"")</f>
        <v/>
      </c>
      <c r="G1033" s="5">
        <v>10</v>
      </c>
      <c r="H1033" s="39">
        <f>ROUNDUP(SUMPRODUCT(B1034,C1034)/3500,1)</f>
        <v>3.4</v>
      </c>
      <c r="I1033" s="34">
        <f t="shared" si="1645"/>
        <v>0</v>
      </c>
      <c r="J1033" s="78" t="str">
        <f>IFERROR(VLOOKUP(C1033,[2]Sheet1!$D:$J,7,0),"")</f>
        <v/>
      </c>
      <c r="K1033" s="80" t="str">
        <f t="shared" si="1648"/>
        <v/>
      </c>
      <c r="L1033" s="7">
        <f t="shared" si="1646"/>
        <v>34</v>
      </c>
      <c r="M1033" s="8" t="str">
        <f t="shared" si="1647"/>
        <v/>
      </c>
      <c r="N1033" s="57" t="str">
        <f>IFERROR((K1033/H1033),"")</f>
        <v/>
      </c>
      <c r="P1033" s="1"/>
      <c r="Q1033" s="1"/>
      <c r="R1033" s="1"/>
      <c r="S1033" s="41">
        <f>SUM(Y1033,U1033:X1033)</f>
        <v>0</v>
      </c>
      <c r="V1033" s="183"/>
      <c r="W1033" s="190"/>
      <c r="X1033" s="183"/>
      <c r="Y1033" s="42"/>
      <c r="AA1033" s="206"/>
    </row>
    <row r="1034" spans="1:32" ns3:dyDescent="0.3">
      <c r="A1034" s="43" t="s">
        <v>390</v>
      </c>
      <c r="B1034" s="219">
        <f>ROUNDUP(바코드!$E$2,0)*45%</f>
        <v>11630.7</v>
      </c>
      <c r="C1034" s="164">
        <v>1</v>
      </c>
      <c r="D1034" s="166" t="str">
        <f t="shared" ref="D1034" si="1649">IFERROR((F1034/E1034),"")</f>
        <v/>
      </c>
      <c r="E1034" s="4"/>
      <c r="F1034" s="3"/>
      <c r="G1034" s="5"/>
      <c r="H1034" s="38"/>
      <c r="I1034" s="34">
        <f t="shared" si="1645"/>
        <v>0</v>
      </c>
      <c r="J1034" s="78" t="str">
        <f>IFERROR(VLOOKUP(C1034,[2]Sheet1!$D:$J,7,0),"")</f>
        <v/>
      </c>
      <c r="K1034" s="80" t="str">
        <f t="shared" si="1648"/>
        <v/>
      </c>
      <c r="L1034" s="7">
        <f t="shared" si="1646"/>
        <v>0</v>
      </c>
      <c r="M1034" s="8" t="str">
        <f t="shared" si="1647"/>
        <v/>
      </c>
      <c r="N1034" s="57" t="str">
        <f t="shared" ref="N1034" si="1650">IFERROR((K1034/H1034),"")</f>
        <v/>
      </c>
      <c r="O1034" s="9"/>
      <c r="P1034" s="10"/>
      <c r="Q1034" s="10"/>
      <c r="R1034" s="10">
        <f t="shared" ref="R1034" si="1651">O1034*P1034*Q1034</f>
        <v>0</v>
      </c>
      <c r="S1034" s="41">
        <f t="shared" si="1640"/>
        <v>0</v>
      </c>
      <c r="W1034" s="190"/>
      <c r="Y1034" s="42"/>
      <c r="Z1034" s="140"/>
      <c r="AA1034" s="206"/>
      <c r="AB1034"/>
      <c r="AC1034"/>
      <c r="AD1034"/>
      <c r="AE1034"/>
      <c r="AF1034"/>
    </row>
    <row r="1035" spans="1:32" ns3:dyDescent="0.3">
      <c r="A1035" s="2"/>
      <c r="B1035" s="219"/>
      <c r="C1035" s="215" t="s">
        <v>448</v>
      </c>
      <c r="D1035" s="166" t="str">
        <f>IFERROR((F1035/E1035),"")</f>
        <v/>
      </c>
      <c r="E1035" s="4">
        <v>20</v>
      </c>
      <c r="F1035" s="3" t="str">
        <f>IFERROR((L1035-K1035),"")</f>
        <v/>
      </c>
      <c r="G1035" s="5">
        <f>G1033</f>
        <v>10</v>
      </c>
      <c r="H1035" s="39">
        <f>ROUNDUP(SUMPRODUCT(B1036,C1036)/3500,1)</f>
        <v>4.0999999999999996</v>
      </c>
      <c r="I1035" s="34">
        <f t="shared" si="1645"/>
        <v>0</v>
      </c>
      <c r="J1035" s="78" t="str">
        <f>IFERROR(VLOOKUP(C1035,[2]Sheet1!$D:$J,7,0),"")</f>
        <v/>
      </c>
      <c r="K1035" s="80" t="str">
        <f t="shared" si="1648"/>
        <v/>
      </c>
      <c r="L1035" s="7">
        <f t="shared" si="1646"/>
        <v>41</v>
      </c>
      <c r="M1035" s="8" t="str">
        <f t="shared" si="1647"/>
        <v/>
      </c>
      <c r="N1035" s="57" t="str">
        <f>IFERROR((K1035/H1035),"")</f>
        <v/>
      </c>
      <c r="P1035" s="1"/>
      <c r="Q1035" s="1"/>
      <c r="R1035" s="1"/>
      <c r="S1035" s="41">
        <f t="shared" si="1640"/>
        <v>0</v>
      </c>
      <c r="V1035" s="183"/>
      <c r="W1035" s="190"/>
      <c r="X1035" s="183"/>
      <c r="Y1035" s="42"/>
      <c r="AA1035" s="206"/>
    </row>
    <row r="1036" spans="1:32" ns3:dyDescent="0.3">
      <c r="A1036" s="43" t="s">
        <v>393</v>
      </c>
      <c r="B1036" s="219">
        <f>ROUNDUP(바코드!$E$2,0)*55%</f>
        <v>14215.300000000001</v>
      </c>
      <c r="C1036" s="164">
        <v>1</v>
      </c>
      <c r="D1036" s="166" t="str">
        <f t="shared" ref="D1036" si="1652">IFERROR((F1036/E1036),"")</f>
        <v/>
      </c>
      <c r="E1036" s="4"/>
      <c r="F1036" s="3"/>
      <c r="G1036" s="5"/>
      <c r="H1036" s="38"/>
      <c r="I1036" s="34">
        <f t="shared" si="1645"/>
        <v>0</v>
      </c>
      <c r="J1036" s="78" t="str">
        <f>IFERROR(VLOOKUP(C1036,[2]Sheet1!$D:$J,7,0),"")</f>
        <v/>
      </c>
      <c r="K1036" s="80" t="str">
        <f t="shared" si="1648"/>
        <v/>
      </c>
      <c r="L1036" s="7">
        <f t="shared" si="1646"/>
        <v>0</v>
      </c>
      <c r="M1036" s="8" t="str">
        <f t="shared" si="1647"/>
        <v/>
      </c>
      <c r="N1036" s="57" t="str">
        <f t="shared" ref="N1036" si="1653">IFERROR((K1036/H1036),"")</f>
        <v/>
      </c>
      <c r="O1036" s="9"/>
      <c r="P1036" s="10"/>
      <c r="Q1036" s="10"/>
      <c r="R1036" s="10">
        <f t="shared" ref="R1036" si="1654">O1036*P1036*Q1036</f>
        <v>0</v>
      </c>
      <c r="S1036" s="41">
        <f t="shared" si="1640"/>
        <v>0</v>
      </c>
      <c r="W1036" s="190"/>
      <c r="Y1036" s="42"/>
      <c r="Z1036" s="140"/>
      <c r="AA1036" s="206"/>
      <c r="AB1036"/>
      <c r="AC1036"/>
      <c r="AD1036"/>
      <c r="AE1036"/>
      <c r="AF1036"/>
    </row>
    <row r="1037" spans="1:32" ns3:dyDescent="0.3">
      <c r="A1037" s="2"/>
      <c r="B1037" s="219"/>
      <c r="C1037" s="182" t="s">
        <v>449</v>
      </c>
      <c r="D1037" s="166" t="str">
        <f>IFERROR((F1037/E1037),"")</f>
        <v/>
      </c>
      <c r="E1037" s="4">
        <v>20</v>
      </c>
      <c r="F1037" s="3" t="str">
        <f>IFERROR((L1037-K1037),"")</f>
        <v/>
      </c>
      <c r="G1037" s="5">
        <f>G1035</f>
        <v>10</v>
      </c>
      <c r="H1037" s="39">
        <f>ROUNDUP(SUMPRODUCT(B1038,C1038)/3500,1)</f>
        <v>1.6</v>
      </c>
      <c r="I1037" s="34">
        <f t="shared" si="1645"/>
        <v>0</v>
      </c>
      <c r="J1037" s="78" t="str">
        <f>IFERROR(VLOOKUP(C1037,[2]Sheet1!$D:$J,7,0),"")</f>
        <v/>
      </c>
      <c r="K1037" s="80" t="str">
        <f t="shared" si="1648"/>
        <v/>
      </c>
      <c r="L1037" s="7">
        <f t="shared" si="1646"/>
        <v>16</v>
      </c>
      <c r="M1037" s="8" t="str">
        <f t="shared" si="1647"/>
        <v/>
      </c>
      <c r="N1037" s="57" t="str">
        <f>IFERROR((K1037/H1037),"")</f>
        <v/>
      </c>
      <c r="P1037" s="1"/>
      <c r="Q1037" s="1"/>
      <c r="R1037" s="1"/>
      <c r="S1037" s="41">
        <f t="shared" si="1640"/>
        <v>0</v>
      </c>
      <c r="V1037" s="183"/>
      <c r="W1037" s="190"/>
      <c r="X1037" s="183"/>
      <c r="Y1037" s="42"/>
      <c r="AA1037" s="206"/>
    </row>
    <row r="1038" spans="1:32" ns3:dyDescent="0.3">
      <c r="A1038" s="43" t="s">
        <v>394</v>
      </c>
      <c r="B1038" s="219">
        <f>ROUNDUP(바코드!$K$2,0)*45%</f>
        <v>5281.6500000000005</v>
      </c>
      <c r="C1038" s="164">
        <v>1</v>
      </c>
      <c r="D1038" s="166" t="str">
        <f t="shared" ref="D1038" si="1655">IFERROR((F1038/E1038),"")</f>
        <v/>
      </c>
      <c r="E1038" s="4"/>
      <c r="F1038" s="3"/>
      <c r="G1038" s="5"/>
      <c r="H1038" s="38"/>
      <c r="I1038" s="34">
        <f t="shared" si="1645"/>
        <v>0</v>
      </c>
      <c r="J1038" s="78" t="str">
        <f>IFERROR(VLOOKUP(C1038,[2]Sheet1!$D:$J,7,0),"")</f>
        <v/>
      </c>
      <c r="K1038" s="80" t="str">
        <f t="shared" si="1648"/>
        <v/>
      </c>
      <c r="L1038" s="7">
        <f t="shared" si="1646"/>
        <v>0</v>
      </c>
      <c r="M1038" s="8" t="str">
        <f t="shared" si="1647"/>
        <v/>
      </c>
      <c r="N1038" s="57" t="str">
        <f t="shared" ref="N1038" si="1656">IFERROR((K1038/H1038),"")</f>
        <v/>
      </c>
      <c r="O1038" s="9"/>
      <c r="P1038" s="10"/>
      <c r="Q1038" s="10"/>
      <c r="R1038" s="10">
        <f t="shared" ref="R1038" si="1657">O1038*P1038*Q1038</f>
        <v>0</v>
      </c>
      <c r="S1038" s="41">
        <f t="shared" si="1640"/>
        <v>0</v>
      </c>
      <c r="W1038" s="190"/>
      <c r="Y1038" s="42"/>
      <c r="Z1038" s="140"/>
      <c r="AA1038" s="206"/>
      <c r="AB1038"/>
      <c r="AC1038"/>
      <c r="AD1038"/>
      <c r="AE1038"/>
      <c r="AF1038"/>
    </row>
    <row r="1039" spans="1:32" ns3:dyDescent="0.3">
      <c r="A1039" s="2"/>
      <c r="B1039" s="219"/>
      <c r="C1039" s="215" t="s">
        <v>450</v>
      </c>
      <c r="D1039" s="166" t="str">
        <f>IFERROR((F1039/E1039),"")</f>
        <v/>
      </c>
      <c r="E1039" s="4">
        <v>20</v>
      </c>
      <c r="F1039" s="3" t="str">
        <f>IFERROR((L1039-K1039),"")</f>
        <v/>
      </c>
      <c r="G1039" s="5">
        <f>G1037</f>
        <v>10</v>
      </c>
      <c r="H1039" s="39">
        <f>ROUNDUP(SUMPRODUCT(B1040,C1040)/3500,1)</f>
        <v>1.9000000000000001</v>
      </c>
      <c r="I1039" s="34">
        <f t="shared" si="1645"/>
        <v>0</v>
      </c>
      <c r="J1039" s="78" t="str">
        <f>IFERROR(VLOOKUP(C1039,[2]Sheet1!$D:$J,7,0),"")</f>
        <v/>
      </c>
      <c r="K1039" s="80" t="str">
        <f t="shared" si="1648"/>
        <v/>
      </c>
      <c r="L1039" s="7">
        <f t="shared" si="1646"/>
        <v>19</v>
      </c>
      <c r="M1039" s="8" t="str">
        <f t="shared" si="1647"/>
        <v/>
      </c>
      <c r="N1039" s="57" t="str">
        <f>IFERROR((K1039/H1039),"")</f>
        <v/>
      </c>
      <c r="P1039" s="1"/>
      <c r="Q1039" s="1"/>
      <c r="R1039" s="1"/>
      <c r="S1039" s="41">
        <f t="shared" si="1640"/>
        <v>0</v>
      </c>
      <c r="V1039" s="183"/>
      <c r="W1039" s="190"/>
      <c r="X1039" s="183"/>
      <c r="Y1039" s="42"/>
      <c r="AA1039" s="206"/>
    </row>
    <row r="1040" spans="1:32" ns3:dyDescent="0.3">
      <c r="A1040" s="43" t="s">
        <v>395</v>
      </c>
      <c r="B1040" s="219">
        <f>ROUNDUP(바코드!$K$2,0)*55%</f>
        <v>6455.35</v>
      </c>
      <c r="C1040" s="164">
        <v>1</v>
      </c>
      <c r="D1040" s="166" t="str">
        <f t="shared" ref="D1040" si="1658">IFERROR((F1040/E1040),"")</f>
        <v/>
      </c>
      <c r="E1040" s="4"/>
      <c r="F1040" s="3"/>
      <c r="G1040" s="5"/>
      <c r="H1040" s="38"/>
      <c r="I1040" s="34">
        <f t="shared" si="1645"/>
        <v>0</v>
      </c>
      <c r="J1040" s="78" t="str">
        <f>IFERROR(VLOOKUP(C1040,[2]Sheet1!$D:$J,7,0),"")</f>
        <v/>
      </c>
      <c r="K1040" s="80" t="str">
        <f t="shared" si="1648"/>
        <v/>
      </c>
      <c r="L1040" s="7">
        <f t="shared" si="1646"/>
        <v>0</v>
      </c>
      <c r="M1040" s="8" t="str">
        <f t="shared" si="1647"/>
        <v/>
      </c>
      <c r="N1040" s="57" t="str">
        <f t="shared" ref="N1040" si="1659">IFERROR((K1040/H1040),"")</f>
        <v/>
      </c>
      <c r="O1040" s="9"/>
      <c r="P1040" s="10"/>
      <c r="Q1040" s="10"/>
      <c r="R1040" s="10">
        <f t="shared" ref="R1040" si="1660">O1040*P1040*Q1040</f>
        <v>0</v>
      </c>
      <c r="S1040" s="41">
        <f t="shared" si="1640"/>
        <v>0</v>
      </c>
      <c r="W1040" s="190"/>
      <c r="Y1040" s="42"/>
      <c r="Z1040" s="140"/>
      <c r="AA1040" s="206"/>
      <c r="AB1040"/>
      <c r="AC1040"/>
      <c r="AD1040"/>
      <c r="AE1040"/>
      <c r="AF1040"/>
    </row>
    <row r="1041" spans="1:32" ns3:dyDescent="0.3">
      <c r="A1041" s="2"/>
      <c r="B1041" s="219"/>
      <c r="C1041" s="182" t="s">
        <v>451</v>
      </c>
      <c r="D1041" s="166" t="str">
        <f>IFERROR((F1041/E1041),"")</f>
        <v/>
      </c>
      <c r="E1041" s="4">
        <v>20</v>
      </c>
      <c r="F1041" s="3" t="str">
        <f>IFERROR((L1041-K1041),"")</f>
        <v/>
      </c>
      <c r="G1041" s="5">
        <f>G1039</f>
        <v>10</v>
      </c>
      <c r="H1041" s="39">
        <f>ROUNDUP(SUMPRODUCT(B1042,C1042)/4000,1)</f>
        <v>1.9000000000000001</v>
      </c>
      <c r="I1041" s="34">
        <f t="shared" si="1645"/>
        <v>0</v>
      </c>
      <c r="J1041" s="78" t="str">
        <f>IFERROR(VLOOKUP(C1041,[2]Sheet1!$D:$J,7,0),"")</f>
        <v/>
      </c>
      <c r="K1041" s="80" t="str">
        <f t="shared" si="1648"/>
        <v/>
      </c>
      <c r="L1041" s="7">
        <f t="shared" si="1646"/>
        <v>19</v>
      </c>
      <c r="M1041" s="8" t="str">
        <f t="shared" si="1647"/>
        <v/>
      </c>
      <c r="N1041" s="57" t="str">
        <f>IFERROR((K1041/H1041),"")</f>
        <v/>
      </c>
      <c r="P1041" s="1"/>
      <c r="Q1041" s="1"/>
      <c r="R1041" s="1"/>
      <c r="S1041" s="41">
        <f t="shared" si="1640"/>
        <v>0</v>
      </c>
      <c r="V1041" s="183"/>
      <c r="W1041" s="190"/>
      <c r="X1041" s="183"/>
      <c r="Y1041" s="42"/>
      <c r="AA1041" s="206"/>
    </row>
    <row r="1042" spans="1:32" ns3:dyDescent="0.3">
      <c r="A1042" s="43" t="s">
        <v>401</v>
      </c>
      <c r="B1042" s="219">
        <f>ROUNDUP(바코드!$Q$2,0)*45%</f>
        <v>7575.75</v>
      </c>
      <c r="C1042" s="164">
        <v>1</v>
      </c>
      <c r="D1042" s="166" t="str">
        <f t="shared" ref="D1042" si="1661">IFERROR((F1042/E1042),"")</f>
        <v/>
      </c>
      <c r="E1042" s="4"/>
      <c r="F1042" s="3"/>
      <c r="G1042" s="5"/>
      <c r="H1042" s="38"/>
      <c r="I1042" s="34">
        <f t="shared" si="1645"/>
        <v>0</v>
      </c>
      <c r="J1042" s="78" t="str">
        <f>IFERROR(VLOOKUP(C1042,[2]Sheet1!$D:$J,7,0),"")</f>
        <v/>
      </c>
      <c r="K1042" s="80" t="str">
        <f t="shared" si="1648"/>
        <v/>
      </c>
      <c r="L1042" s="7">
        <f t="shared" si="1646"/>
        <v>0</v>
      </c>
      <c r="M1042" s="8" t="str">
        <f t="shared" si="1647"/>
        <v/>
      </c>
      <c r="N1042" s="57" t="str">
        <f t="shared" ref="N1042" si="1662">IFERROR((K1042/H1042),"")</f>
        <v/>
      </c>
      <c r="O1042" s="9"/>
      <c r="P1042" s="10"/>
      <c r="Q1042" s="10"/>
      <c r="R1042" s="10">
        <f t="shared" ref="R1042" si="1663">O1042*P1042*Q1042</f>
        <v>0</v>
      </c>
      <c r="S1042" s="41">
        <f t="shared" si="1640"/>
        <v>0</v>
      </c>
      <c r="W1042" s="190"/>
      <c r="Y1042" s="42"/>
      <c r="Z1042" s="140"/>
      <c r="AA1042" s="206"/>
      <c r="AB1042"/>
      <c r="AC1042"/>
      <c r="AD1042"/>
      <c r="AE1042"/>
      <c r="AF1042"/>
    </row>
    <row r="1043" spans="1:32" ns3:dyDescent="0.3">
      <c r="A1043" s="2"/>
      <c r="B1043" s="219"/>
      <c r="C1043" s="215" t="s">
        <v>452</v>
      </c>
      <c r="D1043" s="166" t="str">
        <f>IFERROR((F1043/E1043),"")</f>
        <v/>
      </c>
      <c r="E1043" s="4">
        <v>20</v>
      </c>
      <c r="F1043" s="3" t="str">
        <f>IFERROR((L1043-K1043),"")</f>
        <v/>
      </c>
      <c r="G1043" s="5">
        <f>G1041</f>
        <v>10</v>
      </c>
      <c r="H1043" s="39">
        <f>ROUNDUP(SUMPRODUCT(B1044,C1044)/4000,1)</f>
        <v>2.4</v>
      </c>
      <c r="I1043" s="34">
        <f t="shared" si="1645"/>
        <v>0</v>
      </c>
      <c r="J1043" s="78" t="str">
        <f>IFERROR(VLOOKUP(C1043,[2]Sheet1!$D:$J,7,0),"")</f>
        <v/>
      </c>
      <c r="K1043" s="80" t="str">
        <f t="shared" si="1648"/>
        <v/>
      </c>
      <c r="L1043" s="7">
        <f t="shared" si="1646"/>
        <v>24</v>
      </c>
      <c r="M1043" s="8" t="str">
        <f t="shared" si="1647"/>
        <v/>
      </c>
      <c r="N1043" s="57" t="str">
        <f>IFERROR((K1043/H1043),"")</f>
        <v/>
      </c>
      <c r="P1043" s="1"/>
      <c r="Q1043" s="1"/>
      <c r="R1043" s="1"/>
      <c r="S1043" s="41">
        <f t="shared" si="1640"/>
        <v>0</v>
      </c>
      <c r="V1043" s="183"/>
      <c r="W1043" s="190"/>
      <c r="X1043" s="183"/>
      <c r="Y1043" s="42"/>
      <c r="AA1043" s="206"/>
    </row>
    <row r="1044" spans="1:32" ns3:dyDescent="0.3">
      <c r="A1044" s="43" t="s">
        <v>402</v>
      </c>
      <c r="B1044" s="219">
        <f>ROUNDUP(바코드!$Q$2,0)*55%</f>
        <v>9259.25</v>
      </c>
      <c r="C1044" s="164">
        <v>1</v>
      </c>
      <c r="D1044" s="166" t="str">
        <f t="shared" ref="D1044:D1046" si="1664">IFERROR((F1044/E1044),"")</f>
        <v/>
      </c>
      <c r="E1044" s="4"/>
      <c r="F1044" s="3"/>
      <c r="G1044" s="5"/>
      <c r="H1044" s="38"/>
      <c r="I1044" s="34">
        <f t="shared" si="1645"/>
        <v>0</v>
      </c>
      <c r="J1044" s="78" t="str">
        <f>IFERROR(VLOOKUP(C1044,[2]Sheet1!$D:$J,7,0),"")</f>
        <v/>
      </c>
      <c r="K1044" s="80" t="str">
        <f t="shared" si="1648"/>
        <v/>
      </c>
      <c r="L1044" s="7">
        <f t="shared" si="1646"/>
        <v>0</v>
      </c>
      <c r="M1044" s="8" t="str">
        <f t="shared" si="1647"/>
        <v/>
      </c>
      <c r="N1044" s="57" t="str">
        <f t="shared" ref="N1044" si="1665">IFERROR((K1044/H1044),"")</f>
        <v/>
      </c>
      <c r="O1044" s="9"/>
      <c r="P1044" s="10"/>
      <c r="Q1044" s="10"/>
      <c r="R1044" s="10">
        <f t="shared" ref="R1044" si="1666">O1044*P1044*Q1044</f>
        <v>0</v>
      </c>
      <c r="S1044" s="41">
        <f t="shared" si="1640"/>
        <v>0</v>
      </c>
      <c r="W1044" s="190"/>
      <c r="Y1044" s="42"/>
      <c r="Z1044" s="140"/>
      <c r="AA1044" s="206"/>
      <c r="AB1044"/>
      <c r="AC1044"/>
      <c r="AD1044"/>
      <c r="AE1044"/>
      <c r="AF1044"/>
    </row>
    <row r="1045" spans="1:32" ns3:dyDescent="0.3">
      <c r="A1045" s="58"/>
      <c r="B1045" s="2"/>
      <c r="C1045" s="62"/>
      <c r="D1045" s="166" t="str">
        <f t="shared" si="1664"/>
        <v/>
      </c>
      <c r="E1045" s="4"/>
      <c r="F1045" s="3"/>
      <c r="G1045" s="5"/>
      <c r="H1045" s="6"/>
      <c r="I1045" s="34">
        <f t="shared" si="1645"/>
        <v>0</v>
      </c>
      <c r="J1045" s="78" t="str">
        <f>IFERROR(VLOOKUP(C1045,[2]Sheet1!$D:$J,7,0),"")</f>
        <v/>
      </c>
      <c r="K1045" s="80" t="str">
        <f>IFERROR((I1045+J1045),"")</f>
        <v/>
      </c>
      <c r="L1045" s="7">
        <f t="shared" si="1646"/>
        <v>0</v>
      </c>
      <c r="M1045" s="8" t="str">
        <f t="shared" si="1647"/>
        <v/>
      </c>
      <c r="N1045" s="57"/>
      <c r="O1045" s="9"/>
      <c r="P1045" s="10"/>
      <c r="Q1045" s="10"/>
      <c r="R1045" s="10"/>
      <c r="S1045" s="41">
        <f t="shared" si="1640"/>
        <v>0</v>
      </c>
      <c r="U1045" s="190"/>
      <c r="W1045" s="190"/>
      <c r="Y1045" s="42"/>
      <c r="AA1045" s="206"/>
    </row>
    <row r="1046" spans="1:32" ns3:dyDescent="0.3">
      <c r="A1046" s="58"/>
      <c r="B1046" s="2"/>
      <c r="C1046" s="62"/>
      <c r="D1046" s="166" t="str">
        <f t="shared" si="1664"/>
        <v/>
      </c>
      <c r="E1046" s="4"/>
      <c r="F1046" s="3"/>
      <c r="G1046" s="5"/>
      <c r="H1046" s="6"/>
      <c r="I1046" s="34">
        <f t="shared" si="1645"/>
        <v>0</v>
      </c>
      <c r="J1046" s="78" t="str">
        <f>IFERROR(VLOOKUP(C1046,[2]Sheet1!$D:$J,7,0),"")</f>
        <v/>
      </c>
      <c r="K1046" s="80" t="str">
        <f>IFERROR((I1046+J1046),"")</f>
        <v/>
      </c>
      <c r="L1046" s="7">
        <f t="shared" si="1646"/>
        <v>0</v>
      </c>
      <c r="M1046" s="8" t="str">
        <f t="shared" si="1647"/>
        <v/>
      </c>
      <c r="N1046" s="57"/>
      <c r="O1046" s="9"/>
      <c r="P1046" s="10"/>
      <c r="Q1046" s="10"/>
      <c r="R1046" s="10"/>
      <c r="S1046" s="41">
        <f t="shared" si="1640"/>
        <v>0</v>
      </c>
      <c r="U1046" s="190"/>
      <c r="W1046" s="190"/>
      <c r="Y1046" s="42"/>
      <c r="AA1046" s="206"/>
    </row>
    <row r="1047" spans="1:32" ns3:dyDescent="0.3">
      <c r="A1047" s="184" t="s">
        <v>406</v>
      </c>
      <c r="B1047" s="184" t="s">
        <v>213</v>
      </c>
      <c r="C1047" s="152"/>
      <c r="D1047" s="111" t="str">
        <f>IFERROR((F1047/E1047),"")</f>
        <v/>
      </c>
      <c r="E1047" s="4"/>
      <c r="F1047" s="17"/>
      <c r="G1047" s="5"/>
      <c r="H1047" s="6"/>
      <c r="I1047" s="34">
        <f t="shared" si="1645"/>
        <v>0</v>
      </c>
      <c r="J1047" s="78" t="str">
        <f>IFERROR(VLOOKUP(C1047,[2]Sheet1!$D:$J,7,0),"")</f>
        <v/>
      </c>
      <c r="K1047" s="80" t="str">
        <f t="shared" ref="K1047:K1049" si="1667">IFERROR((I1047+J1047),"")</f>
        <v/>
      </c>
      <c r="L1047" s="7">
        <f t="shared" si="1646"/>
        <v>0</v>
      </c>
      <c r="M1047" s="8" t="str">
        <f t="shared" si="1647"/>
        <v/>
      </c>
      <c r="N1047" s="57" t="str">
        <f>IFERROR((K1047/H1047),"")</f>
        <v/>
      </c>
      <c r="O1047" s="9"/>
      <c r="P1047" s="10"/>
      <c r="Q1047" s="10"/>
      <c r="R1047" s="10">
        <f>O1047*P1047*Q1047</f>
        <v>0</v>
      </c>
      <c r="S1047" s="41">
        <f t="shared" si="1640"/>
        <v>0</v>
      </c>
      <c r="W1047" s="190"/>
      <c r="Y1047" s="42"/>
      <c r="AA1047" s="206" t="str">
        <f>IFERROR(H1047*7.5/E1047/7,"")</f>
        <v/>
      </c>
    </row>
    <row r="1048" spans="1:32" ns3:dyDescent="0.3">
      <c r="A1048" s="2"/>
      <c r="B1048" s="11"/>
      <c r="C1048" s="164" t="s">
        <v>453</v>
      </c>
      <c r="D1048" s="166" t="str">
        <f>IFERROR((F1048/E1048),"")</f>
        <v/>
      </c>
      <c r="E1048" s="4">
        <v>1</v>
      </c>
      <c r="F1048" s="3" t="str">
        <f>IFERROR((L1048-K1048),"")</f>
        <v/>
      </c>
      <c r="G1048" s="5">
        <v>10</v>
      </c>
      <c r="H1048" s="39">
        <f>ROUNDUP(SUMPRODUCT(B1049,C1049)/5000,1)</f>
        <v>3.5</v>
      </c>
      <c r="I1048" s="34">
        <f t="shared" si="1645"/>
        <v>24</v>
      </c>
      <c r="J1048" s="78" t="str">
        <f>IFERROR(VLOOKUP(C1048,[2]Sheet1!$D:$J,7,0),"")</f>
        <v/>
      </c>
      <c r="K1048" s="80" t="str">
        <f t="shared" si="1667"/>
        <v/>
      </c>
      <c r="L1048" s="7">
        <f t="shared" si="1646"/>
        <v>35</v>
      </c>
      <c r="M1048" s="8" t="str">
        <f t="shared" si="1647"/>
        <v/>
      </c>
      <c r="N1048" s="57" t="str">
        <f>IFERROR((K1048/H1048),"")</f>
        <v/>
      </c>
      <c r="P1048" s="1"/>
      <c r="Q1048" s="1">
        <v>63663</v>
      </c>
      <c r="R1048" s="1"/>
      <c r="S1048" s="41">
        <f t="shared" si="1640"/>
        <v>24</v>
      </c>
      <c r="V1048" s="183">
        <v>12</v>
      </c>
      <c r="W1048" s="190"/>
      <c r="X1048" s="183">
        <v>12</v>
      </c>
      <c r="Y1048" s="42"/>
      <c r="AA1048" s="206"/>
    </row>
    <row r="1049" spans="1:32" ns3:dyDescent="0.3">
      <c r="A1049" s="43" t="s">
        <v>407</v>
      </c>
      <c r="B1049" s="11">
        <f>ROUNDUP(바코드!$Q$2,0)*1.03</f>
        <v>17340.05</v>
      </c>
      <c r="C1049" s="164">
        <v>1</v>
      </c>
      <c r="D1049" s="166" t="str">
        <f t="shared" ref="D1049:D1051" si="1668">IFERROR((F1049/E1049),"")</f>
        <v/>
      </c>
      <c r="E1049" s="4"/>
      <c r="F1049" s="3"/>
      <c r="G1049" s="5"/>
      <c r="H1049" s="38"/>
      <c r="I1049" s="34">
        <f t="shared" si="1645"/>
        <v>0</v>
      </c>
      <c r="J1049" s="78" t="str">
        <f>IFERROR(VLOOKUP(C1049,[2]Sheet1!$D:$J,7,0),"")</f>
        <v/>
      </c>
      <c r="K1049" s="80" t="str">
        <f t="shared" si="1667"/>
        <v/>
      </c>
      <c r="L1049" s="7">
        <f t="shared" si="1646"/>
        <v>0</v>
      </c>
      <c r="M1049" s="8" t="str">
        <f t="shared" si="1647"/>
        <v/>
      </c>
      <c r="N1049" s="57" t="str">
        <f t="shared" ref="N1049" si="1669">IFERROR((K1049/H1049),"")</f>
        <v/>
      </c>
      <c r="O1049" s="9"/>
      <c r="P1049" s="10"/>
      <c r="Q1049" s="10"/>
      <c r="R1049" s="10">
        <f t="shared" ref="R1049" si="1670">O1049*P1049*Q1049</f>
        <v>0</v>
      </c>
      <c r="S1049" s="41">
        <f t="shared" si="1640"/>
        <v>0</v>
      </c>
      <c r="W1049" s="190"/>
      <c r="X1049" s="137"/>
      <c r="Y1049" s="42"/>
      <c r="Z1049" s="140"/>
      <c r="AA1049" s="206"/>
      <c r="AB1049"/>
      <c r="AC1049"/>
      <c r="AD1049"/>
      <c r="AE1049"/>
      <c r="AF1049"/>
    </row>
    <row r="1050" spans="1:32" ns3:dyDescent="0.3">
      <c r="A1050" s="58"/>
      <c r="B1050" s="2"/>
      <c r="C1050" s="62"/>
      <c r="D1050" s="166" t="str">
        <f t="shared" si="1668"/>
        <v/>
      </c>
      <c r="E1050" s="4"/>
      <c r="F1050" s="3"/>
      <c r="G1050" s="5"/>
      <c r="H1050" s="6"/>
      <c r="I1050" s="34">
        <f t="shared" si="1645"/>
        <v>0</v>
      </c>
      <c r="J1050" s="78" t="str">
        <f>IFERROR(VLOOKUP(C1050,[2]Sheet1!$D:$J,7,0),"")</f>
        <v/>
      </c>
      <c r="K1050" s="80" t="str">
        <f>IFERROR((I1050+J1050),"")</f>
        <v/>
      </c>
      <c r="L1050" s="7">
        <f t="shared" si="1646"/>
        <v>0</v>
      </c>
      <c r="M1050" s="8" t="str">
        <f t="shared" si="1647"/>
        <v/>
      </c>
      <c r="N1050" s="57"/>
      <c r="O1050" s="9"/>
      <c r="P1050" s="10"/>
      <c r="Q1050" s="10"/>
      <c r="R1050" s="10"/>
      <c r="S1050" s="41">
        <f t="shared" si="1640"/>
        <v>0</v>
      </c>
      <c r="U1050" s="190"/>
      <c r="W1050" s="190"/>
      <c r="Y1050" s="42"/>
      <c r="AA1050" s="206"/>
    </row>
    <row r="1051" spans="1:32" ns3:dyDescent="0.3">
      <c r="A1051" s="58"/>
      <c r="B1051" s="2"/>
      <c r="C1051" s="62"/>
      <c r="D1051" s="166" t="str">
        <f t="shared" si="1668"/>
        <v/>
      </c>
      <c r="E1051" s="4"/>
      <c r="F1051" s="3"/>
      <c r="G1051" s="5"/>
      <c r="H1051" s="6"/>
      <c r="I1051" s="34">
        <f t="shared" si="1645"/>
        <v>0</v>
      </c>
      <c r="J1051" s="78" t="str">
        <f>IFERROR(VLOOKUP(C1051,[2]Sheet1!$D:$J,7,0),"")</f>
        <v/>
      </c>
      <c r="K1051" s="80" t="str">
        <f>IFERROR((I1051+J1051),"")</f>
        <v/>
      </c>
      <c r="L1051" s="7">
        <f t="shared" si="1646"/>
        <v>0</v>
      </c>
      <c r="M1051" s="8" t="str">
        <f t="shared" si="1647"/>
        <v/>
      </c>
      <c r="N1051" s="57"/>
      <c r="O1051" s="9"/>
      <c r="P1051" s="10"/>
      <c r="Q1051" s="10"/>
      <c r="R1051" s="10"/>
      <c r="S1051" s="41">
        <f t="shared" si="1640"/>
        <v>0</v>
      </c>
      <c r="U1051" s="190"/>
      <c r="W1051" s="190"/>
      <c r="Y1051" s="42"/>
      <c r="AA1051" s="206"/>
    </row>
    <row r="1052" spans="1:32" ns3:dyDescent="0.3">
      <c r="A1052" s="184" t="s">
        <v>486</v>
      </c>
      <c r="B1052" s="2" t="s">
        <v>213</v>
      </c>
      <c r="C1052" s="152" t="s">
        <v>508</v>
      </c>
      <c r="D1052" s="111" t="str">
        <f>IFERROR((F1052/E1052),"")</f>
        <v/>
      </c>
      <c r="E1052" s="4"/>
      <c r="F1052" s="17"/>
      <c r="G1052" s="5"/>
      <c r="H1052" s="6"/>
      <c r="I1052" s="34">
        <f t="shared" si="1645"/>
        <v>0</v>
      </c>
      <c r="J1052" s="78" t="str">
        <f>IFERROR(VLOOKUP(C1052,[2]Sheet1!$D:$J,7,0),"")</f>
        <v/>
      </c>
      <c r="K1052" s="80" t="str">
        <f t="shared" ref="K1052:K1054" si="1671">IFERROR((I1052+J1052),"")</f>
        <v/>
      </c>
      <c r="L1052" s="7">
        <f t="shared" si="1646"/>
        <v>0</v>
      </c>
      <c r="M1052" s="8" t="str">
        <f t="shared" si="1647"/>
        <v/>
      </c>
      <c r="N1052" s="57" t="str">
        <f>IFERROR((K1052/H1052),"")</f>
        <v/>
      </c>
      <c r="O1052" s="9"/>
      <c r="P1052" s="10"/>
      <c r="Q1052" s="10"/>
      <c r="R1052" s="10">
        <f>O1052*P1052*Q1052</f>
        <v>0</v>
      </c>
      <c r="S1052" s="41">
        <f t="shared" si="1640"/>
        <v>0</v>
      </c>
      <c r="W1052" s="190"/>
      <c r="Y1052" s="42"/>
      <c r="AA1052" s="206" t="str">
        <f>IFERROR(H1052*7.5/E1052/7,"")</f>
        <v/>
      </c>
    </row>
    <row r="1053" spans="1:32" ns3:dyDescent="0.3">
      <c r="A1053" s="2"/>
      <c r="B1053" s="11"/>
      <c r="C1053" s="164" t="s">
        <v>454</v>
      </c>
      <c r="D1053" s="166" t="str">
        <f>IFERROR((F1053/E1053),"")</f>
        <v/>
      </c>
      <c r="E1053" s="4">
        <v>40</v>
      </c>
      <c r="F1053" s="3" t="str">
        <f>IFERROR((L1053-K1053),"")</f>
        <v/>
      </c>
      <c r="G1053" s="5">
        <v>5</v>
      </c>
      <c r="H1053" s="39">
        <f>ROUNDUP(SUMPRODUCT(B1054,C1054)/400,1)</f>
        <v>4</v>
      </c>
      <c r="I1053" s="34">
        <f t="shared" si="1645"/>
        <v>0</v>
      </c>
      <c r="J1053" s="78" t="str">
        <f>IFERROR(VLOOKUP(C1053,[2]Sheet1!$D:$J,7,0),"")</f>
        <v/>
      </c>
      <c r="K1053" s="80" t="str">
        <f t="shared" si="1671"/>
        <v/>
      </c>
      <c r="L1053" s="7">
        <f t="shared" si="1646"/>
        <v>20</v>
      </c>
      <c r="M1053" s="8" t="str">
        <f t="shared" si="1647"/>
        <v/>
      </c>
      <c r="N1053" s="57" t="str">
        <f>IFERROR((K1053/H1053),"")</f>
        <v/>
      </c>
      <c r="P1053" s="1"/>
      <c r="Q1053" s="1"/>
      <c r="R1053" s="1"/>
      <c r="S1053" s="41">
        <f t="shared" si="1640"/>
        <v>0</v>
      </c>
      <c r="T1053" s="173"/>
      <c r="U1053" s="173"/>
      <c r="V1053" s="173"/>
      <c r="W1053" s="173"/>
      <c r="X1053" s="173"/>
      <c r="Y1053" s="220"/>
      <c r="AA1053" s="206"/>
    </row>
    <row r="1054" spans="1:32" ns3:dyDescent="0.3">
      <c r="A1054" s="43" t="s">
        <v>408</v>
      </c>
      <c r="B1054" s="11">
        <v>1600</v>
      </c>
      <c r="C1054" s="164">
        <v>1</v>
      </c>
      <c r="D1054" s="166" t="str">
        <f t="shared" ref="D1054:D1056" si="1672">IFERROR((F1054/E1054),"")</f>
        <v/>
      </c>
      <c r="E1054" s="4"/>
      <c r="F1054" s="3"/>
      <c r="G1054" s="5"/>
      <c r="H1054" s="38"/>
      <c r="I1054" s="34">
        <f t="shared" si="1645"/>
        <v>0</v>
      </c>
      <c r="J1054" s="78" t="str">
        <f>IFERROR(VLOOKUP(C1054,[2]Sheet1!$D:$J,7,0),"")</f>
        <v/>
      </c>
      <c r="K1054" s="80" t="str">
        <f t="shared" si="1671"/>
        <v/>
      </c>
      <c r="L1054" s="7">
        <f t="shared" si="1646"/>
        <v>0</v>
      </c>
      <c r="M1054" s="8" t="str">
        <f t="shared" si="1647"/>
        <v/>
      </c>
      <c r="N1054" s="57" t="str">
        <f t="shared" ref="N1054" si="1673">IFERROR((K1054/H1054),"")</f>
        <v/>
      </c>
      <c r="O1054" s="9"/>
      <c r="P1054" s="10"/>
      <c r="Q1054" s="10"/>
      <c r="R1054" s="10">
        <f t="shared" ref="R1054" si="1674">O1054*P1054*Q1054</f>
        <v>0</v>
      </c>
      <c r="S1054" s="41">
        <f t="shared" si="1640"/>
        <v>0</v>
      </c>
      <c r="W1054" s="190"/>
      <c r="X1054" s="137"/>
      <c r="Y1054" s="42"/>
      <c r="Z1054" s="140"/>
      <c r="AA1054" s="206"/>
      <c r="AB1054"/>
      <c r="AC1054"/>
      <c r="AD1054"/>
      <c r="AE1054"/>
      <c r="AF1054"/>
    </row>
    <row r="1055" spans="1:32" ns3:dyDescent="0.3">
      <c r="A1055" s="58"/>
      <c r="B1055" s="2"/>
      <c r="C1055" s="62"/>
      <c r="D1055" s="166" t="str">
        <f t="shared" si="1672"/>
        <v/>
      </c>
      <c r="E1055" s="4"/>
      <c r="F1055" s="3"/>
      <c r="G1055" s="5"/>
      <c r="H1055" s="6"/>
      <c r="I1055" s="34">
        <f t="shared" si="1645"/>
        <v>0</v>
      </c>
      <c r="J1055" s="78" t="str">
        <f>IFERROR(VLOOKUP(C1055,[2]Sheet1!$D:$J,7,0),"")</f>
        <v/>
      </c>
      <c r="K1055" s="80" t="str">
        <f>IFERROR((I1055+J1055),"")</f>
        <v/>
      </c>
      <c r="L1055" s="7">
        <f t="shared" si="1646"/>
        <v>0</v>
      </c>
      <c r="M1055" s="8" t="str">
        <f t="shared" si="1647"/>
        <v/>
      </c>
      <c r="N1055" s="57"/>
      <c r="O1055" s="9"/>
      <c r="P1055" s="10"/>
      <c r="Q1055" s="10"/>
      <c r="R1055" s="10"/>
      <c r="S1055" s="41">
        <f t="shared" si="1640"/>
        <v>0</v>
      </c>
      <c r="U1055" s="190"/>
      <c r="W1055" s="190"/>
      <c r="Y1055" s="42"/>
      <c r="AA1055" s="206"/>
    </row>
    <row r="1056" spans="1:32" ns3:dyDescent="0.3">
      <c r="A1056" s="58"/>
      <c r="B1056" s="2"/>
      <c r="C1056" s="62"/>
      <c r="D1056" s="166" t="str">
        <f t="shared" si="1672"/>
        <v/>
      </c>
      <c r="E1056" s="4"/>
      <c r="F1056" s="3"/>
      <c r="G1056" s="5"/>
      <c r="H1056" s="6"/>
      <c r="I1056" s="34">
        <f t="shared" si="1645"/>
        <v>0</v>
      </c>
      <c r="J1056" s="78" t="str">
        <f>IFERROR(VLOOKUP(C1056,[2]Sheet1!$D:$J,7,0),"")</f>
        <v/>
      </c>
      <c r="K1056" s="80" t="str">
        <f>IFERROR((I1056+J1056),"")</f>
        <v/>
      </c>
      <c r="L1056" s="7">
        <f t="shared" si="1646"/>
        <v>0</v>
      </c>
      <c r="M1056" s="8" t="str">
        <f t="shared" si="1647"/>
        <v/>
      </c>
      <c r="N1056" s="57"/>
      <c r="O1056" s="9"/>
      <c r="P1056" s="10"/>
      <c r="Q1056" s="10"/>
      <c r="R1056" s="10"/>
      <c r="S1056" s="41">
        <f t="shared" si="1640"/>
        <v>0</v>
      </c>
      <c r="U1056" s="190"/>
      <c r="W1056" s="190"/>
      <c r="Y1056" s="42"/>
      <c r="AA1056" s="206"/>
    </row>
    <row r="1057" spans="1:32" ns3:dyDescent="0.3">
      <c r="A1057" s="184" t="s">
        <v>487</v>
      </c>
      <c r="B1057" s="58" t="s">
        <v>213</v>
      </c>
      <c r="C1057" s="152" t="s">
        <v>459</v>
      </c>
      <c r="D1057" s="111" t="str">
        <f>IFERROR((F1057/E1057),"")</f>
        <v/>
      </c>
      <c r="E1057" s="4"/>
      <c r="F1057" s="17"/>
      <c r="G1057" s="5"/>
      <c r="H1057" s="6"/>
      <c r="I1057" s="34">
        <f t="shared" si="1645"/>
        <v>0</v>
      </c>
      <c r="J1057" s="78" t="str">
        <f>IFERROR(VLOOKUP(C1057,[2]Sheet1!$D:$J,7,0),"")</f>
        <v/>
      </c>
      <c r="K1057" s="80" t="str">
        <f t="shared" ref="K1057:K1063" si="1675">IFERROR((I1057+J1057),"")</f>
        <v/>
      </c>
      <c r="L1057" s="7">
        <f t="shared" si="1646"/>
        <v>0</v>
      </c>
      <c r="M1057" s="8" t="str">
        <f t="shared" si="1647"/>
        <v/>
      </c>
      <c r="N1057" s="57" t="str">
        <f>IFERROR((K1057/H1057),"")</f>
        <v/>
      </c>
      <c r="O1057" s="9"/>
      <c r="P1057" s="10"/>
      <c r="Q1057" s="10"/>
      <c r="R1057" s="10">
        <f>O1057*P1057*Q1057</f>
        <v>0</v>
      </c>
      <c r="S1057" s="41">
        <f t="shared" si="1640"/>
        <v>0</v>
      </c>
      <c r="W1057" s="190"/>
      <c r="Y1057" s="42"/>
      <c r="AA1057" s="206" t="str">
        <f>IFERROR(H1057*7.5/E1057/7,"")</f>
        <v/>
      </c>
    </row>
    <row r="1058" spans="1:32" ns3:dyDescent="0.3">
      <c r="A1058" s="2"/>
      <c r="B1058" s="11"/>
      <c r="C1058" s="182" t="s">
        <v>458</v>
      </c>
      <c r="D1058" s="166" t="str">
        <f>IFERROR((F1058/E1058),"")</f>
        <v/>
      </c>
      <c r="E1058" s="4">
        <v>1</v>
      </c>
      <c r="F1058" s="3" t="str">
        <f>IFERROR((L1058-K1058),"")</f>
        <v/>
      </c>
      <c r="G1058" s="5">
        <v>10</v>
      </c>
      <c r="H1058" s="39">
        <f>ROUNDUP(SUMPRODUCT(B1059,C1059)/900,1)</f>
        <v>1.7000000000000002</v>
      </c>
      <c r="I1058" s="34">
        <f>IFERROR((S1058*E1058),"")</f>
        <v>0</v>
      </c>
      <c r="J1058" s="78" t="str">
        <f>IFERROR(VLOOKUP(C1058,[2]Sheet1!$D:$J,7,0),"")</f>
        <v/>
      </c>
      <c r="K1058" s="80" t="str">
        <f>IFERROR((I1058+J1058),"")</f>
        <v/>
      </c>
      <c r="L1058" s="7">
        <f>IFERROR((G1058*H1058),"")</f>
        <v>17</v>
      </c>
      <c r="M1058" s="8" t="str">
        <f>IFERROR(K1058-L1058,"")</f>
        <v/>
      </c>
      <c r="N1058" s="57" t="str">
        <f>IFERROR((K1058/H1058),"")</f>
        <v/>
      </c>
      <c r="P1058" s="1"/>
      <c r="Q1058" s="1">
        <v>71400</v>
      </c>
      <c r="R1058" s="1"/>
      <c r="S1058" s="41">
        <f t="shared" si="1640"/>
        <v>0</v>
      </c>
      <c r="W1058" s="173"/>
      <c r="Y1058" s="42"/>
      <c r="AA1058" s="206"/>
    </row>
    <row r="1059" spans="1:32" ns3:dyDescent="0.3">
      <c r="A1059" s="43" t="s">
        <v>410</v>
      </c>
      <c r="B1059" s="11">
        <v>1500</v>
      </c>
      <c r="C1059" s="164">
        <v>1</v>
      </c>
      <c r="D1059" s="166" t="str">
        <f t="shared" ref="D1059" si="1676">IFERROR((F1059/E1059),"")</f>
        <v/>
      </c>
      <c r="E1059" s="4"/>
      <c r="F1059" s="3"/>
      <c r="G1059" s="5"/>
      <c r="H1059" s="38"/>
      <c r="I1059" s="34">
        <f>IFERROR((S1059*E1059),"")</f>
        <v>0</v>
      </c>
      <c r="J1059" s="78" t="str">
        <f>IFERROR(VLOOKUP(C1059,[2]Sheet1!$D:$J,7,0),"")</f>
        <v/>
      </c>
      <c r="K1059" s="80" t="str">
        <f>IFERROR((I1059+J1059),"")</f>
        <v/>
      </c>
      <c r="L1059" s="7">
        <f>IFERROR((G1059*H1059),"")</f>
        <v>0</v>
      </c>
      <c r="M1059" s="8" t="str">
        <f>IFERROR(K1059-L1059,"")</f>
        <v/>
      </c>
      <c r="N1059" s="57" t="str">
        <f t="shared" ref="N1059" si="1677">IFERROR((K1059/H1059),"")</f>
        <v/>
      </c>
      <c r="O1059" s="9"/>
      <c r="P1059" s="10"/>
      <c r="Q1059" s="10"/>
      <c r="R1059" s="10">
        <f t="shared" ref="R1059" si="1678">O1059*P1059*Q1059</f>
        <v>0</v>
      </c>
      <c r="S1059" s="41">
        <f t="shared" si="1640"/>
        <v>0</v>
      </c>
      <c r="W1059" s="190"/>
      <c r="X1059" s="137"/>
      <c r="Y1059" s="42"/>
      <c r="Z1059" s="140"/>
      <c r="AA1059" s="206"/>
      <c r="AB1059"/>
      <c r="AC1059"/>
      <c r="AD1059"/>
      <c r="AE1059"/>
      <c r="AF1059"/>
    </row>
    <row r="1060" spans="1:32" ns3:dyDescent="0.3">
      <c r="A1060" s="2"/>
      <c r="B1060" s="11"/>
      <c r="C1060" s="215" t="s">
        <v>457</v>
      </c>
      <c r="D1060" s="166" t="str">
        <f>IFERROR((F1060/E1060),"")</f>
        <v/>
      </c>
      <c r="E1060" s="4">
        <v>1</v>
      </c>
      <c r="F1060" s="3" t="str">
        <f>IFERROR((L1060-K1060),"")</f>
        <v/>
      </c>
      <c r="G1060" s="5">
        <f>G1058</f>
        <v>10</v>
      </c>
      <c r="H1060" s="39">
        <f>ROUNDUP(SUMPRODUCT(B1061,C1061)/900,1)</f>
        <v>2.3000000000000003</v>
      </c>
      <c r="I1060" s="34">
        <f>IFERROR((S1060*E1060),"")</f>
        <v>0</v>
      </c>
      <c r="J1060" s="78" t="str">
        <f>IFERROR(VLOOKUP(C1060,[2]Sheet1!$D:$J,7,0),"")</f>
        <v/>
      </c>
      <c r="K1060" s="80" t="str">
        <f>IFERROR((I1060+J1060),"")</f>
        <v/>
      </c>
      <c r="L1060" s="7">
        <f>IFERROR((G1060*H1060),"")</f>
        <v>23.000000000000004</v>
      </c>
      <c r="M1060" s="8" t="str">
        <f>IFERROR(K1060-L1060,"")</f>
        <v/>
      </c>
      <c r="N1060" s="57" t="str">
        <f>IFERROR((K1060/H1060),"")</f>
        <v/>
      </c>
      <c r="P1060" s="1"/>
      <c r="Q1060" s="1">
        <v>71400</v>
      </c>
      <c r="R1060" s="1"/>
      <c r="S1060" s="41">
        <f t="shared" si="1640"/>
        <v>0</v>
      </c>
      <c r="W1060" s="173"/>
      <c r="Y1060" s="42"/>
      <c r="AA1060" s="206"/>
    </row>
    <row r="1061" spans="1:32" ns3:dyDescent="0.3">
      <c r="A1061" s="43" t="s">
        <v>410</v>
      </c>
      <c r="B1061" s="11">
        <v>2000</v>
      </c>
      <c r="C1061" s="164">
        <v>1</v>
      </c>
      <c r="D1061" s="166" t="str">
        <f t="shared" ref="D1061" si="1679">IFERROR((F1061/E1061),"")</f>
        <v/>
      </c>
      <c r="E1061" s="4"/>
      <c r="F1061" s="3"/>
      <c r="G1061" s="5"/>
      <c r="H1061" s="38"/>
      <c r="I1061" s="34">
        <f>IFERROR((S1061*E1061),"")</f>
        <v>0</v>
      </c>
      <c r="J1061" s="78" t="str">
        <f>IFERROR(VLOOKUP(C1061,[2]Sheet1!$D:$J,7,0),"")</f>
        <v/>
      </c>
      <c r="K1061" s="80" t="str">
        <f>IFERROR((I1061+J1061),"")</f>
        <v/>
      </c>
      <c r="L1061" s="7">
        <f>IFERROR((G1061*H1061),"")</f>
        <v>0</v>
      </c>
      <c r="M1061" s="8" t="str">
        <f>IFERROR(K1061-L1061,"")</f>
        <v/>
      </c>
      <c r="N1061" s="57" t="str">
        <f t="shared" ref="N1061" si="1680">IFERROR((K1061/H1061),"")</f>
        <v/>
      </c>
      <c r="O1061" s="9"/>
      <c r="P1061" s="10"/>
      <c r="Q1061" s="10"/>
      <c r="R1061" s="10">
        <f t="shared" ref="R1061" si="1681">O1061*P1061*Q1061</f>
        <v>0</v>
      </c>
      <c r="S1061" s="41">
        <f t="shared" si="1640"/>
        <v>0</v>
      </c>
      <c r="W1061" s="190"/>
      <c r="Y1061" s="42"/>
      <c r="Z1061" s="140"/>
      <c r="AA1061" s="206"/>
      <c r="AB1061"/>
      <c r="AC1061"/>
      <c r="AD1061"/>
      <c r="AE1061"/>
      <c r="AF1061"/>
    </row>
    <row r="1062" spans="1:32" ns3:dyDescent="0.3">
      <c r="A1062" s="2"/>
      <c r="B1062" s="11"/>
      <c r="C1062" s="182" t="s">
        <v>456</v>
      </c>
      <c r="D1062" s="166" t="str">
        <f>IFERROR((F1062/E1062),"")</f>
        <v/>
      </c>
      <c r="E1062" s="4">
        <v>1</v>
      </c>
      <c r="F1062" s="3" t="str">
        <f>IFERROR((L1062-K1062),"")</f>
        <v/>
      </c>
      <c r="G1062" s="5">
        <f>G1060</f>
        <v>10</v>
      </c>
      <c r="H1062" s="39">
        <f>ROUNDUP(SUMPRODUCT(B1063,C1063)/900,1)</f>
        <v>0.4</v>
      </c>
      <c r="I1062" s="34">
        <f t="shared" si="1645"/>
        <v>0</v>
      </c>
      <c r="J1062" s="78" t="str">
        <f>IFERROR(VLOOKUP(C1062,[2]Sheet1!$D:$J,7,0),"")</f>
        <v/>
      </c>
      <c r="K1062" s="80" t="str">
        <f t="shared" si="1675"/>
        <v/>
      </c>
      <c r="L1062" s="7">
        <f t="shared" si="1646"/>
        <v>4</v>
      </c>
      <c r="M1062" s="8" t="str">
        <f t="shared" si="1647"/>
        <v/>
      </c>
      <c r="N1062" s="57" t="str">
        <f>IFERROR((K1062/H1062),"")</f>
        <v/>
      </c>
      <c r="P1062" s="1"/>
      <c r="Q1062" s="1">
        <v>76980</v>
      </c>
      <c r="R1062" s="1"/>
      <c r="S1062" s="41">
        <f t="shared" si="1640"/>
        <v>0</v>
      </c>
      <c r="W1062" s="173"/>
      <c r="Y1062" s="42"/>
      <c r="AA1062" s="206"/>
    </row>
    <row r="1063" spans="1:32" ns3:dyDescent="0.3">
      <c r="A1063" s="43" t="s">
        <v>409</v>
      </c>
      <c r="B1063" s="11">
        <v>350</v>
      </c>
      <c r="C1063" s="164">
        <v>1</v>
      </c>
      <c r="D1063" s="166" t="str">
        <f t="shared" ref="D1063" si="1682">IFERROR((F1063/E1063),"")</f>
        <v/>
      </c>
      <c r="E1063" s="4"/>
      <c r="F1063" s="3"/>
      <c r="G1063" s="5"/>
      <c r="H1063" s="38"/>
      <c r="I1063" s="34">
        <f t="shared" si="1645"/>
        <v>0</v>
      </c>
      <c r="J1063" s="78" t="str">
        <f>IFERROR(VLOOKUP(C1063,[2]Sheet1!$D:$J,7,0),"")</f>
        <v/>
      </c>
      <c r="K1063" s="80" t="str">
        <f t="shared" si="1675"/>
        <v/>
      </c>
      <c r="L1063" s="7">
        <f t="shared" si="1646"/>
        <v>0</v>
      </c>
      <c r="M1063" s="8" t="str">
        <f t="shared" si="1647"/>
        <v/>
      </c>
      <c r="N1063" s="57" t="str">
        <f t="shared" ref="N1063" si="1683">IFERROR((K1063/H1063),"")</f>
        <v/>
      </c>
      <c r="O1063" s="9"/>
      <c r="P1063" s="10"/>
      <c r="Q1063" s="10"/>
      <c r="R1063" s="10">
        <f t="shared" ref="R1063" si="1684">O1063*P1063*Q1063</f>
        <v>0</v>
      </c>
      <c r="S1063" s="41">
        <f t="shared" si="1640"/>
        <v>0</v>
      </c>
      <c r="W1063" s="190"/>
      <c r="Y1063" s="42"/>
      <c r="Z1063" s="140"/>
      <c r="AA1063" s="206"/>
      <c r="AB1063"/>
      <c r="AC1063"/>
      <c r="AD1063"/>
      <c r="AE1063"/>
      <c r="AF1063"/>
    </row>
    <row r="1064" spans="1:32" ns3:dyDescent="0.3">
      <c r="A1064" s="2"/>
      <c r="B1064" s="11"/>
      <c r="C1064" s="215" t="s">
        <v>455</v>
      </c>
      <c r="D1064" s="166" t="str">
        <f>IFERROR((F1064/E1064),"")</f>
        <v/>
      </c>
      <c r="E1064" s="4">
        <v>1</v>
      </c>
      <c r="F1064" s="3" t="str">
        <f>IFERROR((L1064-K1064),"")</f>
        <v/>
      </c>
      <c r="G1064" s="5">
        <f>G1062</f>
        <v>10</v>
      </c>
      <c r="H1064" s="39">
        <f>ROUNDUP(SUMPRODUCT(B1065,C1065)/900,1)</f>
        <v>0.7</v>
      </c>
      <c r="I1064" s="34">
        <f>IFERROR((S1064*E1064),"")</f>
        <v>0</v>
      </c>
      <c r="J1064" s="78" t="str">
        <f>IFERROR(VLOOKUP(C1064,[2]Sheet1!$D:$J,7,0),"")</f>
        <v/>
      </c>
      <c r="K1064" s="80" t="str">
        <f>IFERROR((I1064+J1064),"")</f>
        <v/>
      </c>
      <c r="L1064" s="7">
        <f>IFERROR((G1064*H1064),"")</f>
        <v>7</v>
      </c>
      <c r="M1064" s="8" t="str">
        <f>IFERROR(K1064-L1064,"")</f>
        <v/>
      </c>
      <c r="N1064" s="57" t="str">
        <f>IFERROR((K1064/H1064),"")</f>
        <v/>
      </c>
      <c r="P1064" s="1"/>
      <c r="Q1064" s="1">
        <v>76980</v>
      </c>
      <c r="R1064" s="1"/>
      <c r="S1064" s="41">
        <f t="shared" si="1640"/>
        <v>0</v>
      </c>
      <c r="W1064" s="173"/>
      <c r="Y1064" s="42"/>
      <c r="AA1064" s="206"/>
    </row>
    <row r="1065" spans="1:32" ns3:dyDescent="0.3">
      <c r="A1065" s="43" t="s">
        <v>409</v>
      </c>
      <c r="B1065" s="11">
        <v>600</v>
      </c>
      <c r="C1065" s="164">
        <v>1</v>
      </c>
      <c r="D1065" s="166" t="str">
        <f>IFERROR((F1065/E1065),"")</f>
        <v/>
      </c>
      <c r="E1065" s="4"/>
      <c r="F1065" s="3"/>
      <c r="G1065" s="5"/>
      <c r="H1065" s="38"/>
      <c r="I1065" s="34">
        <f>IFERROR((S1065*E1065),"")</f>
        <v>0</v>
      </c>
      <c r="J1065" s="78" t="str">
        <f>IFERROR(VLOOKUP(C1065,[2]Sheet1!$D:$J,7,0),"")</f>
        <v/>
      </c>
      <c r="K1065" s="80" t="str">
        <f>IFERROR((I1065+J1065),"")</f>
        <v/>
      </c>
      <c r="L1065" s="7">
        <f>IFERROR((G1065*H1065),"")</f>
        <v>0</v>
      </c>
      <c r="M1065" s="8" t="str">
        <f>IFERROR(K1065-L1065,"")</f>
        <v/>
      </c>
      <c r="N1065" s="57" t="str">
        <f t="shared" ref="N1065" si="1685">IFERROR((K1065/H1065),"")</f>
        <v/>
      </c>
      <c r="O1065" s="9"/>
      <c r="P1065" s="10"/>
      <c r="Q1065" s="10"/>
      <c r="R1065" s="10">
        <f t="shared" ref="R1065" si="1686">O1065*P1065*Q1065</f>
        <v>0</v>
      </c>
      <c r="S1065" s="41">
        <f t="shared" si="1640"/>
        <v>0</v>
      </c>
      <c r="W1065" s="190"/>
      <c r="Y1065" s="42"/>
      <c r="Z1065" s="140"/>
      <c r="AA1065" s="206"/>
      <c r="AB1065"/>
      <c r="AC1065"/>
      <c r="AD1065"/>
      <c r="AE1065"/>
      <c r="AF1065"/>
    </row>
    <row r="1066" spans="1:32" ns3:dyDescent="0.3">
      <c r="A1066" s="58"/>
      <c r="B1066" s="2"/>
      <c r="C1066" s="62"/>
      <c r="D1066" s="166" t="str">
        <f t="shared" ref="D1066:D1067" si="1687">IFERROR((F1066/E1066),"")</f>
        <v/>
      </c>
      <c r="E1066" s="4"/>
      <c r="F1066" s="3"/>
      <c r="G1066" s="5"/>
      <c r="H1066" s="6"/>
      <c r="I1066" s="34">
        <f t="shared" si="1645"/>
        <v>0</v>
      </c>
      <c r="J1066" s="78" t="str">
        <f>IFERROR(VLOOKUP(C1066,[2]Sheet1!$D:$J,7,0),"")</f>
        <v/>
      </c>
      <c r="K1066" s="80" t="str">
        <f>IFERROR((I1066+J1066),"")</f>
        <v/>
      </c>
      <c r="L1066" s="7">
        <f t="shared" si="1646"/>
        <v>0</v>
      </c>
      <c r="M1066" s="8" t="str">
        <f t="shared" si="1647"/>
        <v/>
      </c>
      <c r="N1066" s="57"/>
      <c r="O1066" s="9"/>
      <c r="P1066" s="10"/>
      <c r="Q1066" s="10"/>
      <c r="R1066" s="10"/>
      <c r="S1066" s="41">
        <f t="shared" si="1640"/>
        <v>0</v>
      </c>
      <c r="U1066" s="190"/>
      <c r="W1066" s="190"/>
      <c r="Y1066" s="42"/>
      <c r="AA1066" s="206"/>
    </row>
    <row r="1067" spans="1:32" ns3:dyDescent="0.3">
      <c r="A1067" s="58"/>
      <c r="B1067" s="2"/>
      <c r="C1067" s="62"/>
      <c r="D1067" s="166" t="str">
        <f t="shared" si="1687"/>
        <v/>
      </c>
      <c r="E1067" s="4"/>
      <c r="F1067" s="3"/>
      <c r="G1067" s="5"/>
      <c r="H1067" s="6"/>
      <c r="I1067" s="34">
        <f t="shared" si="1645"/>
        <v>0</v>
      </c>
      <c r="J1067" s="78" t="str">
        <f>IFERROR(VLOOKUP(C1067,[2]Sheet1!$D:$J,7,0),"")</f>
        <v/>
      </c>
      <c r="K1067" s="80" t="str">
        <f>IFERROR((I1067+J1067),"")</f>
        <v/>
      </c>
      <c r="L1067" s="7">
        <f t="shared" si="1646"/>
        <v>0</v>
      </c>
      <c r="M1067" s="8" t="str">
        <f t="shared" si="1647"/>
        <v/>
      </c>
      <c r="N1067" s="57"/>
      <c r="O1067" s="9"/>
      <c r="P1067" s="10"/>
      <c r="Q1067" s="10"/>
      <c r="R1067" s="10"/>
      <c r="S1067" s="41">
        <f t="shared" si="1640"/>
        <v>0</v>
      </c>
      <c r="U1067" s="190"/>
      <c r="W1067" s="190"/>
      <c r="Y1067" s="42"/>
      <c r="AA1067" s="206"/>
    </row>
    <row r="1068" spans="1:32" ns3:dyDescent="0.3">
      <c r="A1068" s="184" t="s">
        <v>411</v>
      </c>
      <c r="B1068" s="184" t="s">
        <v>412</v>
      </c>
      <c r="C1068" s="152" t="s">
        <v>413</v>
      </c>
      <c r="D1068" s="111" t="str">
        <f>IFERROR((F1068/E1068),"")</f>
        <v/>
      </c>
      <c r="E1068" s="4"/>
      <c r="F1068" s="17"/>
      <c r="G1068" s="5"/>
      <c r="H1068" s="6"/>
      <c r="I1068" s="34">
        <f t="shared" si="1645"/>
        <v>0</v>
      </c>
      <c r="J1068" s="78" t="str">
        <f>IFERROR(VLOOKUP(C1068,[2]Sheet1!$D:$J,7,0),"")</f>
        <v/>
      </c>
      <c r="K1068" s="80" t="str">
        <f t="shared" ref="K1068:K1072" si="1688">IFERROR((I1068+J1068),"")</f>
        <v/>
      </c>
      <c r="L1068" s="7">
        <f t="shared" si="1646"/>
        <v>0</v>
      </c>
      <c r="M1068" s="8" t="str">
        <f t="shared" si="1647"/>
        <v/>
      </c>
      <c r="N1068" s="57" t="str">
        <f>IFERROR((K1068/H1068),"")</f>
        <v/>
      </c>
      <c r="O1068" s="9"/>
      <c r="P1068" s="10"/>
      <c r="Q1068" s="10"/>
      <c r="R1068" s="10">
        <f>O1068*P1068*Q1068</f>
        <v>0</v>
      </c>
      <c r="S1068" s="41">
        <f t="shared" si="1640"/>
        <v>0</v>
      </c>
      <c r="W1068" s="190"/>
      <c r="Y1068" s="42"/>
      <c r="AA1068" s="206" t="str">
        <f>IFERROR(H1068*7.5/E1068/7,"")</f>
        <v/>
      </c>
    </row>
    <row r="1069" spans="1:32" ns3:dyDescent="0.3">
      <c r="A1069" s="2"/>
      <c r="B1069" s="11"/>
      <c r="C1069" s="164" t="s">
        <v>415</v>
      </c>
      <c r="D1069" s="166" t="str">
        <f>IFERROR((F1069/E1069),"")</f>
        <v/>
      </c>
      <c r="E1069" s="4">
        <v>12</v>
      </c>
      <c r="F1069" s="3" t="str">
        <f>IFERROR((L1069-K1069),"")</f>
        <v/>
      </c>
      <c r="G1069" s="5">
        <v>8</v>
      </c>
      <c r="H1069" s="39">
        <f>ROUNDUP(SUMPRODUCT(B1070,C1070)/500,1)</f>
        <v>2.2000000000000002</v>
      </c>
      <c r="I1069" s="34">
        <f>IFERROR((S1069*E1069),"")</f>
        <v>0</v>
      </c>
      <c r="J1069" s="78" t="str">
        <f>IFERROR(VLOOKUP(C1069,[2]Sheet1!$D:$J,7,0),"")</f>
        <v/>
      </c>
      <c r="K1069" s="80" t="str">
        <f>IFERROR((I1069+J1069),"")</f>
        <v/>
      </c>
      <c r="L1069" s="7">
        <f>IFERROR((G1069*H1069),"")</f>
        <v>17.600000000000001</v>
      </c>
      <c r="M1069" s="8" t="str">
        <f>IFERROR(K1069-L1069,"")</f>
        <v/>
      </c>
      <c r="N1069" s="57" t="str">
        <f>IFERROR((K1069/H1069),"")</f>
        <v/>
      </c>
      <c r="P1069" s="1"/>
      <c r="Q1069" s="1">
        <v>20625</v>
      </c>
      <c r="R1069" s="1"/>
      <c r="S1069" s="41">
        <f t="shared" si="1640"/>
        <v>0</v>
      </c>
      <c r="V1069" s="183"/>
      <c r="X1069" s="183"/>
      <c r="Y1069" s="42"/>
      <c r="AA1069" s="206"/>
    </row>
    <row r="1070" spans="1:32" ns3:dyDescent="0.3">
      <c r="A1070" s="43" t="s">
        <v>268</v>
      </c>
      <c r="B1070" s="11">
        <f>ROUNDUP(HLOOKUP(A1070,'야채 계산기'!$2:$3,2,0),0)</f>
        <v>1100</v>
      </c>
      <c r="C1070" s="164">
        <v>1</v>
      </c>
      <c r="D1070" s="166" t="str">
        <f>IFERROR((F1070/E1070),"")</f>
        <v/>
      </c>
      <c r="E1070" s="4"/>
      <c r="F1070" s="3"/>
      <c r="G1070" s="5"/>
      <c r="H1070" s="38"/>
      <c r="I1070" s="34">
        <f>IFERROR((S1070*E1070),"")</f>
        <v>0</v>
      </c>
      <c r="J1070" s="78" t="str">
        <f>IFERROR(VLOOKUP(C1070,[2]Sheet1!$D:$J,7,0),"")</f>
        <v/>
      </c>
      <c r="K1070" s="80" t="str">
        <f>IFERROR((I1070+J1070),"")</f>
        <v/>
      </c>
      <c r="L1070" s="7">
        <f>IFERROR((G1070*H1070),"")</f>
        <v>0</v>
      </c>
      <c r="M1070" s="8" t="str">
        <f>IFERROR(K1070-L1070,"")</f>
        <v/>
      </c>
      <c r="N1070" s="57" t="str">
        <f t="shared" ref="N1070" si="1689">IFERROR((K1070/H1070),"")</f>
        <v/>
      </c>
      <c r="O1070" s="9"/>
      <c r="P1070" s="10"/>
      <c r="Q1070" s="10"/>
      <c r="R1070" s="10">
        <f t="shared" ref="R1070" si="1690">O1070*P1070*Q1070</f>
        <v>0</v>
      </c>
      <c r="S1070" s="41">
        <f t="shared" si="1640"/>
        <v>0</v>
      </c>
      <c r="W1070" s="190"/>
      <c r="X1070" s="137"/>
      <c r="Y1070" s="42"/>
      <c r="Z1070" s="140"/>
      <c r="AA1070" s="206"/>
      <c r="AB1070"/>
      <c r="AC1070"/>
      <c r="AD1070"/>
      <c r="AE1070"/>
      <c r="AF1070"/>
    </row>
    <row r="1071" spans="1:32" hidden="1" ns3:dyDescent="0.3">
      <c r="A1071" s="2"/>
      <c r="B1071" s="11"/>
      <c r="C1071" s="262" t="s">
        <v>414</v>
      </c>
      <c r="D1071" s="166" t="str">
        <f>IFERROR((F1071/E1071),"")</f>
        <v/>
      </c>
      <c r="E1071" s="4">
        <v>12</v>
      </c>
      <c r="F1071" s="3" t="str">
        <f>IFERROR((L1071-K1071),"")</f>
        <v/>
      </c>
      <c r="G1071" s="5">
        <f>G1069</f>
        <v>8</v>
      </c>
      <c r="H1071" s="39" t="e">
        <f>ROUNDUP(SUMPRODUCT(B1072,C1072)/500,1)</f>
        <v>#N/A</v>
      </c>
      <c r="I1071" s="34">
        <f t="shared" si="1645"/>
        <v>0</v>
      </c>
      <c r="J1071" s="78" t="str">
        <f>IFERROR(VLOOKUP(C1071,[2]Sheet1!$D:$J,7,0),"")</f>
        <v/>
      </c>
      <c r="K1071" s="80" t="str">
        <f t="shared" si="1688"/>
        <v/>
      </c>
      <c r="L1071" s="7" t="str">
        <f t="shared" si="1646"/>
        <v/>
      </c>
      <c r="M1071" s="8" t="str">
        <f t="shared" si="1647"/>
        <v/>
      </c>
      <c r="N1071" s="57" t="str">
        <f>IFERROR((K1071/H1071),"")</f>
        <v/>
      </c>
      <c r="P1071" s="1"/>
      <c r="Q1071" s="1">
        <v>19186</v>
      </c>
      <c r="R1071" s="1"/>
      <c r="S1071" s="41">
        <f t="shared" si="1640"/>
        <v>0</v>
      </c>
      <c r="V1071" s="183"/>
      <c r="X1071" s="183"/>
      <c r="Y1071" s="42"/>
      <c r="AA1071" s="206"/>
    </row>
    <row r="1072" spans="1:32" hidden="1" ns3:dyDescent="0.3">
      <c r="A1072" s="278" t="s">
        <v>292</v>
      </c>
      <c r="B1072" s="11" t="e">
        <f>ROUNDUP(HLOOKUP(A1072,'야채 계산기'!$2:$3,2,0),0)</f>
        <v>#N/A</v>
      </c>
      <c r="C1072" s="164">
        <v>1</v>
      </c>
      <c r="D1072" s="166" t="str">
        <f t="shared" ref="D1072:D1082" si="1691">IFERROR((F1072/E1072),"")</f>
        <v/>
      </c>
      <c r="E1072" s="4"/>
      <c r="F1072" s="3"/>
      <c r="G1072" s="5"/>
      <c r="H1072" s="38"/>
      <c r="I1072" s="34">
        <f t="shared" si="1645"/>
        <v>0</v>
      </c>
      <c r="J1072" s="78" t="str">
        <f>IFERROR(VLOOKUP(C1072,[2]Sheet1!$D:$J,7,0),"")</f>
        <v/>
      </c>
      <c r="K1072" s="80" t="str">
        <f t="shared" si="1688"/>
        <v/>
      </c>
      <c r="L1072" s="7">
        <f t="shared" si="1646"/>
        <v>0</v>
      </c>
      <c r="M1072" s="8" t="str">
        <f t="shared" si="1647"/>
        <v/>
      </c>
      <c r="N1072" s="57" t="str">
        <f t="shared" ref="N1072" si="1692">IFERROR((K1072/H1072),"")</f>
        <v/>
      </c>
      <c r="O1072" s="9"/>
      <c r="P1072" s="10"/>
      <c r="Q1072" s="10"/>
      <c r="R1072" s="10">
        <f t="shared" ref="R1072" si="1693">O1072*P1072*Q1072</f>
        <v>0</v>
      </c>
      <c r="S1072" s="41">
        <f t="shared" si="1640"/>
        <v>0</v>
      </c>
      <c r="W1072" s="190"/>
      <c r="X1072" s="137"/>
      <c r="Y1072" s="42"/>
      <c r="Z1072" s="140"/>
      <c r="AA1072" s="206"/>
      <c r="AB1072"/>
      <c r="AC1072"/>
      <c r="AD1072"/>
      <c r="AE1072"/>
      <c r="AF1072"/>
    </row>
    <row r="1073" spans="1:32" hidden="1" ns3:dyDescent="0.3">
      <c r="A1073" s="2"/>
      <c r="B1073" s="11"/>
      <c r="C1073" s="262" t="s">
        <v>554</v>
      </c>
      <c r="D1073" s="166" t="str">
        <f t="shared" ref="D1073:D1080" si="1694">IFERROR((F1073/E1073),"")</f>
        <v/>
      </c>
      <c r="E1073" s="4">
        <v>1</v>
      </c>
      <c r="F1073" s="3" t="str">
        <f>IFERROR((L1073-K1073),"")</f>
        <v/>
      </c>
      <c r="G1073" s="5">
        <f>G1071</f>
        <v>8</v>
      </c>
      <c r="H1073" s="39" t="e">
        <f>ROUNDUP(SUMPRODUCT(B1074,C1074)/800,1)</f>
        <v>#N/A</v>
      </c>
      <c r="I1073" s="34">
        <f t="shared" ref="I1073:I1080" si="1695">IFERROR((S1073*E1073),"")</f>
        <v>0</v>
      </c>
      <c r="J1073" s="78" t="str">
        <f>IFERROR(VLOOKUP(C1073,[2]Sheet1!$D:$J,7,0),"")</f>
        <v/>
      </c>
      <c r="K1073" s="80" t="str">
        <f t="shared" ref="K1073:K1082" si="1696">IFERROR((I1073+J1073),"")</f>
        <v/>
      </c>
      <c r="L1073" s="7" t="str">
        <f t="shared" ref="L1073:L1080" si="1697">IFERROR((G1073*H1073),"")</f>
        <v/>
      </c>
      <c r="M1073" s="8" t="str">
        <f t="shared" ref="M1073:M1080" si="1698">IFERROR(K1073-L1073,"")</f>
        <v/>
      </c>
      <c r="N1073" s="57" t="str">
        <f>IFERROR((K1073/H1073),"")</f>
        <v/>
      </c>
      <c r="P1073" s="1"/>
      <c r="Q1073" s="1"/>
      <c r="R1073" s="1"/>
      <c r="S1073" s="41">
        <f t="shared" si="1640"/>
        <v>0</v>
      </c>
      <c r="V1073" s="183"/>
      <c r="X1073" s="183"/>
      <c r="Y1073" s="42"/>
      <c r="AA1073" s="206"/>
    </row>
    <row r="1074" spans="1:32" hidden="1" ns3:dyDescent="0.3">
      <c r="A1074" s="278" t="s">
        <v>574</v>
      </c>
      <c r="B1074" s="11" t="e">
        <f>ROUNDUP(HLOOKUP(A1074,'야채 계산기'!$2:$3,2,0),0)</f>
        <v>#N/A</v>
      </c>
      <c r="C1074" s="164">
        <v>1</v>
      </c>
      <c r="D1074" s="166" t="str">
        <f t="shared" si="1694"/>
        <v/>
      </c>
      <c r="E1074" s="4"/>
      <c r="F1074" s="3"/>
      <c r="G1074" s="5"/>
      <c r="H1074" s="38"/>
      <c r="I1074" s="34">
        <f t="shared" si="1695"/>
        <v>0</v>
      </c>
      <c r="J1074" s="78" t="str">
        <f>IFERROR(VLOOKUP(C1074,[2]Sheet1!$D:$J,7,0),"")</f>
        <v/>
      </c>
      <c r="K1074" s="80" t="str">
        <f t="shared" si="1696"/>
        <v/>
      </c>
      <c r="L1074" s="7">
        <f t="shared" si="1697"/>
        <v>0</v>
      </c>
      <c r="M1074" s="8" t="str">
        <f t="shared" si="1698"/>
        <v/>
      </c>
      <c r="N1074" s="57" t="str">
        <f t="shared" ref="N1074" si="1699">IFERROR((K1074/H1074),"")</f>
        <v/>
      </c>
      <c r="O1074" s="9"/>
      <c r="P1074" s="10"/>
      <c r="Q1074" s="10"/>
      <c r="R1074" s="10">
        <f t="shared" ref="R1074" si="1700">O1074*P1074*Q1074</f>
        <v>0</v>
      </c>
      <c r="S1074" s="41">
        <f t="shared" si="1640"/>
        <v>0</v>
      </c>
      <c r="W1074" s="190"/>
      <c r="X1074" s="137"/>
      <c r="Y1074" s="42"/>
      <c r="Z1074" s="140"/>
      <c r="AA1074" s="206"/>
      <c r="AB1074"/>
      <c r="AC1074"/>
      <c r="AD1074"/>
      <c r="AE1074"/>
      <c r="AF1074"/>
    </row>
    <row r="1075" spans="1:32" hidden="1" ns3:dyDescent="0.3">
      <c r="A1075" s="2"/>
      <c r="B1075" s="11"/>
      <c r="C1075" s="262" t="s">
        <v>560</v>
      </c>
      <c r="D1075" s="166" t="str">
        <f t="shared" si="1694"/>
        <v/>
      </c>
      <c r="E1075" s="4">
        <v>20</v>
      </c>
      <c r="F1075" s="3" t="str">
        <f>IFERROR((L1075-K1075),"")</f>
        <v/>
      </c>
      <c r="G1075" s="5">
        <f>G1073</f>
        <v>8</v>
      </c>
      <c r="H1075" s="39" t="e">
        <f>ROUNDUP(SUMPRODUCT(B1076,C1076)/400,1)</f>
        <v>#N/A</v>
      </c>
      <c r="I1075" s="34">
        <f t="shared" si="1695"/>
        <v>0</v>
      </c>
      <c r="J1075" s="78" t="str">
        <f>IFERROR(VLOOKUP(C1075,[2]Sheet1!$D:$J,7,0),"")</f>
        <v/>
      </c>
      <c r="K1075" s="80" t="str">
        <f t="shared" si="1696"/>
        <v/>
      </c>
      <c r="L1075" s="7" t="str">
        <f t="shared" si="1697"/>
        <v/>
      </c>
      <c r="M1075" s="8" t="str">
        <f t="shared" si="1698"/>
        <v/>
      </c>
      <c r="N1075" s="57" t="str">
        <f>IFERROR((K1075/H1075),"")</f>
        <v/>
      </c>
      <c r="P1075" s="1"/>
      <c r="Q1075" s="1"/>
      <c r="R1075" s="1"/>
      <c r="S1075" s="41">
        <f t="shared" si="1640"/>
        <v>0</v>
      </c>
      <c r="V1075" s="183"/>
      <c r="X1075" s="183"/>
      <c r="Y1075" s="42"/>
      <c r="AA1075" s="206"/>
    </row>
    <row r="1076" spans="1:32" hidden="1" ns3:dyDescent="0.3">
      <c r="A1076" s="278" t="s">
        <v>574</v>
      </c>
      <c r="B1076" s="11" t="e">
        <f>ROUNDUP(HLOOKUP(A1076,'야채 계산기'!$2:$3,2,0),0)</f>
        <v>#N/A</v>
      </c>
      <c r="C1076" s="164">
        <v>1</v>
      </c>
      <c r="D1076" s="166" t="str">
        <f t="shared" si="1694"/>
        <v/>
      </c>
      <c r="E1076" s="4"/>
      <c r="F1076" s="3"/>
      <c r="G1076" s="5"/>
      <c r="H1076" s="38"/>
      <c r="I1076" s="34">
        <f t="shared" si="1695"/>
        <v>0</v>
      </c>
      <c r="J1076" s="78" t="str">
        <f>IFERROR(VLOOKUP(C1076,[2]Sheet1!$D:$J,7,0),"")</f>
        <v/>
      </c>
      <c r="K1076" s="80" t="str">
        <f t="shared" si="1696"/>
        <v/>
      </c>
      <c r="L1076" s="7">
        <f t="shared" si="1697"/>
        <v>0</v>
      </c>
      <c r="M1076" s="8" t="str">
        <f t="shared" si="1698"/>
        <v/>
      </c>
      <c r="N1076" s="57" t="str">
        <f t="shared" ref="N1076" si="1701">IFERROR((K1076/H1076),"")</f>
        <v/>
      </c>
      <c r="O1076" s="9"/>
      <c r="P1076" s="10"/>
      <c r="Q1076" s="10"/>
      <c r="R1076" s="10">
        <f t="shared" ref="R1076" si="1702">O1076*P1076*Q1076</f>
        <v>0</v>
      </c>
      <c r="S1076" s="41">
        <f t="shared" si="1640"/>
        <v>0</v>
      </c>
      <c r="W1076" s="190"/>
      <c r="X1076" s="137"/>
      <c r="Y1076" s="42"/>
      <c r="Z1076" s="140"/>
      <c r="AA1076" s="206"/>
      <c r="AB1076"/>
      <c r="AC1076"/>
      <c r="AD1076"/>
      <c r="AE1076"/>
      <c r="AF1076"/>
    </row>
    <row r="1077" spans="1:32" ns3:dyDescent="0.3">
      <c r="A1077" s="2"/>
      <c r="B1077" s="11"/>
      <c r="C1077" s="62" t="s">
        <v>567</v>
      </c>
      <c r="D1077" s="166" t="str">
        <f t="shared" ref="D1077:D1078" si="1703">IFERROR((F1077/E1077),"")</f>
        <v/>
      </c>
      <c r="E1077" s="4">
        <v>12</v>
      </c>
      <c r="F1077" s="3" t="str">
        <f>IFERROR((L1077-K1077),"")</f>
        <v/>
      </c>
      <c r="G1077" s="5">
        <f>G1073</f>
        <v>8</v>
      </c>
      <c r="H1077" s="39">
        <f>ROUNDUP(SUMPRODUCT(B1078,C1078)/500,1)</f>
        <v>3.6</v>
      </c>
      <c r="I1077" s="34">
        <f t="shared" ref="I1077:I1078" si="1704">IFERROR((S1077*E1077),"")</f>
        <v>12</v>
      </c>
      <c r="J1077" s="78" t="str">
        <f>IFERROR(VLOOKUP(C1077,[2]Sheet1!$D:$J,7,0),"")</f>
        <v/>
      </c>
      <c r="K1077" s="80" t="str">
        <f t="shared" si="1696"/>
        <v/>
      </c>
      <c r="L1077" s="7">
        <f t="shared" ref="L1077:L1078" si="1705">IFERROR((G1077*H1077),"")</f>
        <v>28.8</v>
      </c>
      <c r="M1077" s="8" t="str">
        <f t="shared" ref="M1077:M1078" si="1706">IFERROR(K1077-L1077,"")</f>
        <v/>
      </c>
      <c r="N1077" s="57" t="str">
        <f>IFERROR((K1077/H1077),"")</f>
        <v/>
      </c>
      <c r="P1077" s="1"/>
      <c r="Q1077" s="1">
        <v>18827</v>
      </c>
      <c r="R1077" s="1"/>
      <c r="S1077" s="41">
        <f t="shared" ref="S1077:S1078" si="1707">SUM(Y1077,T1077:X1077)</f>
        <v>1</v>
      </c>
      <c r="V1077" s="183">
        <v>1</v>
      </c>
      <c r="X1077" s="183"/>
      <c r="Y1077" s="42"/>
      <c r="AA1077" s="206"/>
    </row>
    <row r="1078" spans="1:32" ns3:dyDescent="0.3">
      <c r="A1078" s="297" t="s">
        <v>563</v>
      </c>
      <c r="B1078" s="11">
        <f>ROUNDUP(HLOOKUP(A1078,'야채 계산기'!$2:$3,2,0),0)</f>
        <v>1780</v>
      </c>
      <c r="C1078" s="164">
        <v>1</v>
      </c>
      <c r="D1078" s="166" t="str">
        <f t="shared" si="1703"/>
        <v/>
      </c>
      <c r="E1078" s="4"/>
      <c r="F1078" s="3"/>
      <c r="G1078" s="5"/>
      <c r="H1078" s="38"/>
      <c r="I1078" s="34">
        <f t="shared" si="1704"/>
        <v>0</v>
      </c>
      <c r="J1078" s="78" t="str">
        <f>IFERROR(VLOOKUP(C1078,[2]Sheet1!$D:$J,7,0),"")</f>
        <v/>
      </c>
      <c r="K1078" s="80" t="str">
        <f t="shared" si="1696"/>
        <v/>
      </c>
      <c r="L1078" s="7">
        <f t="shared" si="1705"/>
        <v>0</v>
      </c>
      <c r="M1078" s="8" t="str">
        <f t="shared" si="1706"/>
        <v/>
      </c>
      <c r="N1078" s="57" t="str">
        <f t="shared" ref="N1078" si="1708">IFERROR((K1078/H1078),"")</f>
        <v/>
      </c>
      <c r="O1078" s="9"/>
      <c r="P1078" s="10"/>
      <c r="Q1078" s="10"/>
      <c r="R1078" s="10">
        <f t="shared" ref="R1078" si="1709">O1078*P1078*Q1078</f>
        <v>0</v>
      </c>
      <c r="S1078" s="41">
        <f t="shared" si="1707"/>
        <v>0</v>
      </c>
      <c r="W1078" s="190"/>
      <c r="X1078" s="137"/>
      <c r="Y1078" s="42"/>
      <c r="Z1078" s="140"/>
      <c r="AA1078" s="206"/>
      <c r="AB1078"/>
      <c r="AC1078"/>
      <c r="AD1078"/>
      <c r="AE1078"/>
      <c r="AF1078"/>
    </row>
    <row r="1079" spans="1:32" ns3:dyDescent="0.3">
      <c r="A1079" s="2"/>
      <c r="B1079" s="11"/>
      <c r="C1079" s="62" t="s">
        <v>650</v>
      </c>
      <c r="D1079" s="166" t="str">
        <f t="shared" si="1694"/>
        <v/>
      </c>
      <c r="E1079" s="4">
        <v>12</v>
      </c>
      <c r="F1079" s="3" t="str">
        <f>IFERROR((L1079-K1079),"")</f>
        <v/>
      </c>
      <c r="G1079" s="5">
        <f>G1075</f>
        <v>8</v>
      </c>
      <c r="H1079" s="39">
        <f>ROUNDUP(SUMPRODUCT(B1080,C1080)/500,1)</f>
        <v>1.5</v>
      </c>
      <c r="I1079" s="34">
        <f t="shared" si="1695"/>
        <v>0</v>
      </c>
      <c r="J1079" s="78" t="str">
        <f>IFERROR(VLOOKUP(C1079,[2]Sheet1!$D:$J,7,0),"")</f>
        <v/>
      </c>
      <c r="K1079" s="80" t="str">
        <f t="shared" ref="K1079:K1080" si="1710">IFERROR((I1079+J1079),"")</f>
        <v/>
      </c>
      <c r="L1079" s="7">
        <f t="shared" si="1697"/>
        <v>12</v>
      </c>
      <c r="M1079" s="8" t="str">
        <f t="shared" si="1698"/>
        <v/>
      </c>
      <c r="N1079" s="57" t="str">
        <f>IFERROR((K1079/H1079),"")</f>
        <v/>
      </c>
      <c r="P1079" s="1"/>
      <c r="Q1079" s="1">
        <v>22500</v>
      </c>
      <c r="R1079" s="1"/>
      <c r="S1079" s="41">
        <f t="shared" si="1640"/>
        <v>0</v>
      </c>
      <c r="V1079" s="183"/>
      <c r="X1079" s="183"/>
      <c r="Y1079" s="42"/>
      <c r="AA1079" s="206"/>
    </row>
    <row r="1080" spans="1:32" ns3:dyDescent="0.3">
      <c r="A1080" s="297" t="s">
        <v>649</v>
      </c>
      <c r="B1080" s="11">
        <f>ROUNDUP(HLOOKUP(A1080,'야채 계산기'!$2:$3,2,0),0)</f>
        <v>720</v>
      </c>
      <c r="C1080" s="164">
        <v>1</v>
      </c>
      <c r="D1080" s="166" t="str">
        <f t="shared" si="1694"/>
        <v/>
      </c>
      <c r="E1080" s="4"/>
      <c r="F1080" s="3"/>
      <c r="G1080" s="5"/>
      <c r="H1080" s="38"/>
      <c r="I1080" s="34">
        <f t="shared" si="1695"/>
        <v>0</v>
      </c>
      <c r="J1080" s="78" t="str">
        <f>IFERROR(VLOOKUP(C1080,[2]Sheet1!$D:$J,7,0),"")</f>
        <v/>
      </c>
      <c r="K1080" s="80" t="str">
        <f t="shared" si="1710"/>
        <v/>
      </c>
      <c r="L1080" s="7">
        <f t="shared" si="1697"/>
        <v>0</v>
      </c>
      <c r="M1080" s="8" t="str">
        <f t="shared" si="1698"/>
        <v/>
      </c>
      <c r="N1080" s="57" t="str">
        <f t="shared" ref="N1080" si="1711">IFERROR((K1080/H1080),"")</f>
        <v/>
      </c>
      <c r="O1080" s="9"/>
      <c r="P1080" s="10"/>
      <c r="Q1080" s="10"/>
      <c r="R1080" s="10">
        <f t="shared" ref="R1080" si="1712">O1080*P1080*Q1080</f>
        <v>0</v>
      </c>
      <c r="S1080" s="41">
        <f t="shared" si="1640"/>
        <v>0</v>
      </c>
      <c r="W1080" s="190"/>
      <c r="X1080" s="137"/>
      <c r="Y1080" s="42"/>
      <c r="Z1080" s="140"/>
      <c r="AA1080" s="206"/>
      <c r="AB1080"/>
      <c r="AC1080"/>
      <c r="AD1080"/>
      <c r="AE1080"/>
      <c r="AF1080"/>
    </row>
    <row r="1081" spans="1:32" ns3:dyDescent="0.3">
      <c r="A1081" s="58"/>
      <c r="B1081" s="11"/>
      <c r="C1081" s="62"/>
      <c r="D1081" s="166" t="str">
        <f t="shared" si="1691"/>
        <v/>
      </c>
      <c r="E1081" s="4"/>
      <c r="F1081" s="3"/>
      <c r="G1081" s="5"/>
      <c r="H1081" s="6"/>
      <c r="I1081" s="34">
        <f t="shared" si="1645"/>
        <v>0</v>
      </c>
      <c r="J1081" s="78" t="str">
        <f>IFERROR(VLOOKUP(C1081,[2]Sheet1!$D:$J,7,0),"")</f>
        <v/>
      </c>
      <c r="K1081" s="80" t="str">
        <f t="shared" si="1696"/>
        <v/>
      </c>
      <c r="L1081" s="7">
        <f t="shared" si="1646"/>
        <v>0</v>
      </c>
      <c r="M1081" s="8" t="str">
        <f t="shared" si="1647"/>
        <v/>
      </c>
      <c r="N1081" s="57"/>
      <c r="O1081" s="9"/>
      <c r="P1081" s="10"/>
      <c r="Q1081" s="10"/>
      <c r="R1081" s="10"/>
      <c r="S1081" s="41">
        <f t="shared" si="1640"/>
        <v>0</v>
      </c>
      <c r="U1081" s="190"/>
      <c r="W1081" s="190"/>
      <c r="Y1081" s="42"/>
      <c r="AA1081" s="206"/>
    </row>
    <row r="1082" spans="1:32" ns3:dyDescent="0.3">
      <c r="A1082" s="58"/>
      <c r="B1082" s="2"/>
      <c r="C1082" s="62"/>
      <c r="D1082" s="166" t="str">
        <f t="shared" si="1691"/>
        <v/>
      </c>
      <c r="E1082" s="4"/>
      <c r="F1082" s="3"/>
      <c r="G1082" s="5"/>
      <c r="H1082" s="6"/>
      <c r="I1082" s="34">
        <f t="shared" si="1645"/>
        <v>0</v>
      </c>
      <c r="J1082" s="78" t="str">
        <f>IFERROR(VLOOKUP(C1082,[2]Sheet1!$D:$J,7,0),"")</f>
        <v/>
      </c>
      <c r="K1082" s="80" t="str">
        <f t="shared" si="1696"/>
        <v/>
      </c>
      <c r="L1082" s="7">
        <f t="shared" si="1646"/>
        <v>0</v>
      </c>
      <c r="M1082" s="8" t="str">
        <f t="shared" si="1647"/>
        <v/>
      </c>
      <c r="N1082" s="57"/>
      <c r="O1082" s="9"/>
      <c r="P1082" s="10"/>
      <c r="Q1082" s="10"/>
      <c r="R1082" s="10"/>
      <c r="S1082" s="41">
        <f t="shared" si="1640"/>
        <v>0</v>
      </c>
      <c r="U1082" s="190"/>
      <c r="W1082" s="190"/>
      <c r="Y1082" s="42"/>
      <c r="AA1082" s="206"/>
    </row>
    <row r="1083" spans="1:32" ns3:dyDescent="0.3">
      <c r="A1083" s="184" t="s">
        <v>416</v>
      </c>
      <c r="B1083" s="58" t="s">
        <v>385</v>
      </c>
      <c r="C1083" s="152"/>
      <c r="D1083" s="111" t="str">
        <f>IFERROR((F1083/E1083),"")</f>
        <v/>
      </c>
      <c r="E1083" s="4"/>
      <c r="F1083" s="17"/>
      <c r="G1083" s="5"/>
      <c r="H1083" s="6"/>
      <c r="I1083" s="34">
        <f t="shared" si="1645"/>
        <v>0</v>
      </c>
      <c r="J1083" s="78" t="str">
        <f>IFERROR(VLOOKUP(C1083,[2]Sheet1!$D:$J,7,0),"")</f>
        <v/>
      </c>
      <c r="K1083" s="80" t="str">
        <f t="shared" ref="K1083:K1116" si="1713">IFERROR((I1083+J1083),"")</f>
        <v/>
      </c>
      <c r="L1083" s="7">
        <f t="shared" si="1646"/>
        <v>0</v>
      </c>
      <c r="M1083" s="8" t="str">
        <f t="shared" si="1647"/>
        <v/>
      </c>
      <c r="N1083" s="57" t="str">
        <f>IFERROR((K1083/H1083),"")</f>
        <v/>
      </c>
      <c r="O1083" s="9"/>
      <c r="P1083" s="10"/>
      <c r="Q1083" s="10"/>
      <c r="R1083" s="10">
        <f>O1083*P1083*Q1083</f>
        <v>0</v>
      </c>
      <c r="S1083" s="41">
        <f t="shared" si="1640"/>
        <v>0</v>
      </c>
      <c r="W1083" s="190"/>
      <c r="Y1083" s="42"/>
      <c r="AA1083" s="206" t="str">
        <f>IFERROR(H1083*7.5/E1083/7,"")</f>
        <v/>
      </c>
    </row>
    <row r="1084" spans="1:32" ns3:dyDescent="0.3">
      <c r="A1084" s="2"/>
      <c r="B1084" s="11"/>
      <c r="C1084" s="241" t="s">
        <v>420</v>
      </c>
      <c r="D1084" s="166" t="str">
        <f>IFERROR((F1084/E1084),"")</f>
        <v/>
      </c>
      <c r="E1084" s="4">
        <v>1</v>
      </c>
      <c r="F1084" s="3" t="str">
        <f>IFERROR((L1084-K1084),"")</f>
        <v/>
      </c>
      <c r="G1084" s="5">
        <v>10</v>
      </c>
      <c r="H1084" s="39">
        <f>ROUNDUP(SUMPRODUCT(B1085:B1086,C1085:C1086)/1000,2)</f>
        <v>0.24000000000000002</v>
      </c>
      <c r="I1084" s="34">
        <f t="shared" ref="I1084:I1100" si="1714">IFERROR((S1084*E1084),"")</f>
        <v>1</v>
      </c>
      <c r="J1084" s="78" t="str">
        <f>IFERROR(VLOOKUP(C1084,[2]Sheet1!$D:$J,7,0),"")</f>
        <v/>
      </c>
      <c r="K1084" s="80" t="str">
        <f t="shared" ref="K1084:K1100" si="1715">IFERROR((I1084+J1084),"")</f>
        <v/>
      </c>
      <c r="L1084" s="7">
        <f t="shared" ref="L1084:L1100" si="1716">IFERROR((G1084*H1084),"")</f>
        <v>2.4000000000000004</v>
      </c>
      <c r="M1084" s="8" t="str">
        <f t="shared" ref="M1084:M1100" si="1717">IFERROR(K1084-L1084,"")</f>
        <v/>
      </c>
      <c r="N1084" s="57" t="str">
        <f>IFERROR((K1084/H1084),"")</f>
        <v/>
      </c>
      <c r="P1084" s="1"/>
      <c r="Q1084" s="1"/>
      <c r="R1084" s="1"/>
      <c r="S1084" s="41">
        <f t="shared" si="1640"/>
        <v>1</v>
      </c>
      <c r="V1084" s="183">
        <v>1</v>
      </c>
      <c r="W1084" s="190"/>
      <c r="X1084" s="173"/>
      <c r="Y1084" s="42"/>
      <c r="AA1084" s="206"/>
    </row>
    <row r="1085" spans="1:32" ns3:dyDescent="0.3">
      <c r="A1085" s="43" t="s">
        <v>210</v>
      </c>
      <c r="B1085" s="11">
        <f>ROUNDUP(HLOOKUP(A1085,'야채 계산기'!$2:$3,2,0),0)</f>
        <v>129</v>
      </c>
      <c r="C1085" s="164">
        <v>1</v>
      </c>
      <c r="D1085" s="166" t="str">
        <f>IFERROR((F1085/E1085),"")</f>
        <v/>
      </c>
      <c r="E1085" s="4"/>
      <c r="F1085" s="3"/>
      <c r="G1085" s="5"/>
      <c r="H1085" s="38"/>
      <c r="I1085" s="34">
        <f t="shared" si="1714"/>
        <v>0</v>
      </c>
      <c r="J1085" s="78" t="str">
        <f>IFERROR(VLOOKUP(C1085,[2]Sheet1!$D:$J,7,0),"")</f>
        <v/>
      </c>
      <c r="K1085" s="80" t="str">
        <f t="shared" si="1715"/>
        <v/>
      </c>
      <c r="L1085" s="7">
        <f t="shared" si="1716"/>
        <v>0</v>
      </c>
      <c r="M1085" s="8" t="str">
        <f t="shared" si="1717"/>
        <v/>
      </c>
      <c r="N1085" s="57" t="str">
        <f t="shared" ref="N1085:N1086" si="1718">IFERROR((K1085/H1085),"")</f>
        <v/>
      </c>
      <c r="O1085" s="9"/>
      <c r="P1085" s="10"/>
      <c r="Q1085" s="10"/>
      <c r="R1085" s="10">
        <f t="shared" ref="R1085:R1086" si="1719">O1085*P1085*Q1085</f>
        <v>0</v>
      </c>
      <c r="S1085" s="41">
        <f t="shared" si="1640"/>
        <v>0</v>
      </c>
      <c r="W1085" s="190"/>
      <c r="Y1085" s="42"/>
      <c r="Z1085" s="140"/>
      <c r="AA1085" s="206"/>
      <c r="AB1085"/>
      <c r="AC1085"/>
      <c r="AD1085"/>
      <c r="AE1085"/>
      <c r="AF1085"/>
    </row>
    <row r="1086" spans="1:32" ns3:dyDescent="0.3">
      <c r="A1086" s="43" t="s">
        <v>208</v>
      </c>
      <c r="B1086" s="11">
        <f>ROUNDUP(HLOOKUP(A1086,'야채 계산기'!$2:$3,2,0),0)</f>
        <v>104</v>
      </c>
      <c r="C1086" s="164">
        <v>1</v>
      </c>
      <c r="D1086" s="166" t="str">
        <f>IFERROR((F1086/E1086),"")</f>
        <v/>
      </c>
      <c r="E1086" s="4"/>
      <c r="F1086" s="3"/>
      <c r="G1086" s="5"/>
      <c r="H1086" s="38"/>
      <c r="I1086" s="34">
        <f t="shared" si="1714"/>
        <v>0</v>
      </c>
      <c r="J1086" s="78" t="str">
        <f>IFERROR(VLOOKUP(C1086,[2]Sheet1!$D:$J,7,0),"")</f>
        <v/>
      </c>
      <c r="K1086" s="80" t="str">
        <f t="shared" si="1715"/>
        <v/>
      </c>
      <c r="L1086" s="7">
        <f t="shared" si="1716"/>
        <v>0</v>
      </c>
      <c r="M1086" s="8" t="str">
        <f t="shared" si="1717"/>
        <v/>
      </c>
      <c r="N1086" s="57" t="str">
        <f t="shared" si="1718"/>
        <v/>
      </c>
      <c r="O1086" s="9"/>
      <c r="P1086" s="10"/>
      <c r="Q1086" s="10"/>
      <c r="R1086" s="10">
        <f t="shared" si="1719"/>
        <v>0</v>
      </c>
      <c r="S1086" s="41">
        <f t="shared" si="1640"/>
        <v>0</v>
      </c>
      <c r="W1086" s="190"/>
      <c r="Y1086" s="42"/>
      <c r="Z1086" s="140"/>
      <c r="AA1086" s="206"/>
      <c r="AB1086"/>
      <c r="AC1086"/>
      <c r="AD1086"/>
      <c r="AE1086"/>
      <c r="AF1086"/>
    </row>
    <row r="1087" spans="1:32" ns3:dyDescent="0.3">
      <c r="A1087" s="2"/>
      <c r="B1087" s="11"/>
      <c r="C1087" s="241" t="s">
        <v>419</v>
      </c>
      <c r="D1087" s="166" t="str">
        <f>IFERROR((F1087/E1087),"")</f>
        <v/>
      </c>
      <c r="E1087" s="4">
        <v>1</v>
      </c>
      <c r="F1087" s="3" t="str">
        <f>IFERROR((L1087-K1087),"")</f>
        <v/>
      </c>
      <c r="G1087" s="5">
        <f>G1084</f>
        <v>10</v>
      </c>
      <c r="H1087" s="39">
        <f>ROUNDUP(SUMPRODUCT(B1088,C1088)/1000,2)</f>
        <v>0.64</v>
      </c>
      <c r="I1087" s="34">
        <f t="shared" ref="I1087:I1088" si="1720">IFERROR((S1087*E1087),"")</f>
        <v>4</v>
      </c>
      <c r="J1087" s="78" t="str">
        <f>IFERROR(VLOOKUP(C1087,[2]Sheet1!$D:$J,7,0),"")</f>
        <v/>
      </c>
      <c r="K1087" s="80" t="str">
        <f t="shared" ref="K1087:K1088" si="1721">IFERROR((I1087+J1087),"")</f>
        <v/>
      </c>
      <c r="L1087" s="7">
        <f t="shared" ref="L1087:L1088" si="1722">IFERROR((G1087*H1087),"")</f>
        <v>6.4</v>
      </c>
      <c r="M1087" s="8" t="str">
        <f t="shared" ref="M1087:M1088" si="1723">IFERROR(K1087-L1087,"")</f>
        <v/>
      </c>
      <c r="N1087" s="57" t="str">
        <f>IFERROR((K1087/H1087),"")</f>
        <v/>
      </c>
      <c r="P1087" s="1"/>
      <c r="Q1087" s="1"/>
      <c r="R1087" s="1"/>
      <c r="S1087" s="41">
        <f t="shared" ref="S1087:S1088" si="1724">SUM(Y1087,T1087:X1087)</f>
        <v>4</v>
      </c>
      <c r="V1087" s="183">
        <v>2</v>
      </c>
      <c r="W1087" s="190"/>
      <c r="X1087" s="173">
        <v>2</v>
      </c>
      <c r="Y1087" s="42"/>
      <c r="AA1087" s="206"/>
    </row>
    <row r="1088" spans="1:32" ns3:dyDescent="0.3">
      <c r="A1088" s="43" t="s">
        <v>494</v>
      </c>
      <c r="B1088" s="11">
        <f>ROUNDUP(HLOOKUP(A1088,'야채 계산기'!$2:$3,2,0),0)</f>
        <v>640</v>
      </c>
      <c r="C1088" s="164">
        <v>1</v>
      </c>
      <c r="D1088" s="166" t="str">
        <f t="shared" ref="D1088" si="1725">IFERROR((F1088/E1088),"")</f>
        <v/>
      </c>
      <c r="E1088" s="4"/>
      <c r="F1088" s="3"/>
      <c r="G1088" s="5"/>
      <c r="H1088" s="38"/>
      <c r="I1088" s="34">
        <f t="shared" si="1720"/>
        <v>0</v>
      </c>
      <c r="J1088" s="78" t="str">
        <f>IFERROR(VLOOKUP(C1088,[2]Sheet1!$D:$J,7,0),"")</f>
        <v/>
      </c>
      <c r="K1088" s="80" t="str">
        <f t="shared" si="1721"/>
        <v/>
      </c>
      <c r="L1088" s="7">
        <f t="shared" si="1722"/>
        <v>0</v>
      </c>
      <c r="M1088" s="8" t="str">
        <f t="shared" si="1723"/>
        <v/>
      </c>
      <c r="N1088" s="57" t="str">
        <f t="shared" ref="N1088" si="1726">IFERROR((K1088/H1088),"")</f>
        <v/>
      </c>
      <c r="O1088" s="9"/>
      <c r="P1088" s="10"/>
      <c r="Q1088" s="10"/>
      <c r="R1088" s="10">
        <f t="shared" ref="R1088" si="1727">O1088*P1088*Q1088</f>
        <v>0</v>
      </c>
      <c r="S1088" s="41">
        <f t="shared" si="1724"/>
        <v>0</v>
      </c>
      <c r="W1088" s="190"/>
      <c r="Y1088" s="42"/>
      <c r="Z1088" s="140"/>
      <c r="AA1088" s="206"/>
      <c r="AB1088"/>
      <c r="AC1088"/>
      <c r="AD1088"/>
      <c r="AE1088"/>
      <c r="AF1088"/>
    </row>
    <row r="1089" spans="1:32" ns3:dyDescent="0.3">
      <c r="A1089" s="2"/>
      <c r="B1089" s="11"/>
      <c r="C1089" s="241" t="s">
        <v>756</v>
      </c>
      <c r="D1089" s="166" t="str">
        <f>IFERROR((F1089/E1089),"")</f>
        <v/>
      </c>
      <c r="E1089" s="4">
        <v>1</v>
      </c>
      <c r="F1089" s="3" t="str">
        <f>IFERROR((L1089-K1089),"")</f>
        <v/>
      </c>
      <c r="G1089" s="5">
        <f>G1084</f>
        <v>10</v>
      </c>
      <c r="H1089" s="39">
        <v>6</v>
      </c>
      <c r="I1089" s="34">
        <f t="shared" si="1714"/>
        <v>32</v>
      </c>
      <c r="J1089" s="78" t="str">
        <f>IFERROR(VLOOKUP(C1089,[2]Sheet1!$D:$J,7,0),"")</f>
        <v/>
      </c>
      <c r="K1089" s="80" t="str">
        <f t="shared" si="1715"/>
        <v/>
      </c>
      <c r="L1089" s="7">
        <f t="shared" si="1716"/>
        <v>60</v>
      </c>
      <c r="M1089" s="8" t="str">
        <f t="shared" si="1717"/>
        <v/>
      </c>
      <c r="N1089" s="57" t="str">
        <f>IFERROR((K1089/H1089),"")</f>
        <v/>
      </c>
      <c r="P1089" s="1"/>
      <c r="Q1089" s="1"/>
      <c r="R1089" s="1"/>
      <c r="S1089" s="41">
        <f t="shared" si="1640"/>
        <v>32</v>
      </c>
      <c r="V1089" s="183">
        <v>16</v>
      </c>
      <c r="W1089" s="190"/>
      <c r="X1089" s="173">
        <v>16</v>
      </c>
      <c r="Y1089" s="42"/>
      <c r="AA1089" s="206"/>
    </row>
    <row r="1090" spans="1:32" ns3:dyDescent="0.3">
      <c r="A1090" s="300" t="s">
        <v>755</v>
      </c>
      <c r="B1090" s="11">
        <f>ROUNDUP(HLOOKUP(A1090,'야채 계산기'!$2:$3,2,0),0)</f>
        <v>2020</v>
      </c>
      <c r="C1090" s="164">
        <v>2</v>
      </c>
      <c r="D1090" s="166" t="str">
        <f t="shared" ref="D1090" si="1728">IFERROR((F1090/E1090),"")</f>
        <v/>
      </c>
      <c r="E1090" s="4"/>
      <c r="F1090" s="3"/>
      <c r="G1090" s="5"/>
      <c r="H1090" s="38"/>
      <c r="I1090" s="34">
        <f t="shared" si="1714"/>
        <v>0</v>
      </c>
      <c r="J1090" s="78" t="str">
        <f>IFERROR(VLOOKUP(C1090,[2]Sheet1!$D:$J,7,0),"")</f>
        <v/>
      </c>
      <c r="K1090" s="80" t="str">
        <f t="shared" si="1715"/>
        <v/>
      </c>
      <c r="L1090" s="7">
        <f t="shared" si="1716"/>
        <v>0</v>
      </c>
      <c r="M1090" s="8" t="str">
        <f t="shared" si="1717"/>
        <v/>
      </c>
      <c r="N1090" s="57" t="str">
        <f t="shared" ref="N1090" si="1729">IFERROR((K1090/H1090),"")</f>
        <v/>
      </c>
      <c r="O1090" s="9"/>
      <c r="P1090" s="10"/>
      <c r="Q1090" s="10"/>
      <c r="R1090" s="10">
        <f t="shared" ref="R1090" si="1730">O1090*P1090*Q1090</f>
        <v>0</v>
      </c>
      <c r="S1090" s="41">
        <f t="shared" si="1640"/>
        <v>0</v>
      </c>
      <c r="W1090" s="190"/>
      <c r="Y1090" s="42"/>
      <c r="Z1090" s="140"/>
      <c r="AA1090" s="206"/>
      <c r="AB1090"/>
      <c r="AC1090"/>
      <c r="AD1090"/>
      <c r="AE1090"/>
      <c r="AF1090"/>
    </row>
    <row r="1091" spans="1:32" ns3:dyDescent="0.3">
      <c r="A1091" s="2"/>
      <c r="B1091" s="11"/>
      <c r="C1091" s="62" t="s">
        <v>463</v>
      </c>
      <c r="D1091" s="166" t="str">
        <f>IFERROR((F1091/E1091),"")</f>
        <v/>
      </c>
      <c r="E1091" s="4">
        <v>20</v>
      </c>
      <c r="F1091" s="3" t="str">
        <f>IFERROR((L1091-K1091),"")</f>
        <v/>
      </c>
      <c r="G1091" s="5">
        <f>G1089</f>
        <v>10</v>
      </c>
      <c r="H1091" s="39">
        <f>ROUNDUP(SUMPRODUCT(B1092,C1092)/500,1)</f>
        <v>5.6999999999999993</v>
      </c>
      <c r="I1091" s="34">
        <f t="shared" si="1714"/>
        <v>40</v>
      </c>
      <c r="J1091" s="78" t="str">
        <f>IFERROR(VLOOKUP(C1091,[2]Sheet1!$D:$J,7,0),"")</f>
        <v/>
      </c>
      <c r="K1091" s="80" t="str">
        <f t="shared" si="1715"/>
        <v/>
      </c>
      <c r="L1091" s="7">
        <f t="shared" si="1716"/>
        <v>56.999999999999993</v>
      </c>
      <c r="M1091" s="8" t="str">
        <f t="shared" si="1717"/>
        <v/>
      </c>
      <c r="N1091" s="57" t="str">
        <f>IFERROR((K1091/H1091),"")</f>
        <v/>
      </c>
      <c r="P1091" s="1"/>
      <c r="Q1091" s="1"/>
      <c r="R1091" s="1"/>
      <c r="S1091" s="41">
        <f t="shared" si="1640"/>
        <v>2</v>
      </c>
      <c r="V1091" s="183">
        <v>1</v>
      </c>
      <c r="W1091" s="190"/>
      <c r="X1091" s="173">
        <v>1</v>
      </c>
      <c r="Y1091" s="42"/>
      <c r="AA1091" s="206"/>
    </row>
    <row r="1092" spans="1:32" ns3:dyDescent="0.3">
      <c r="A1092" s="297" t="s">
        <v>256</v>
      </c>
      <c r="B1092" s="11">
        <f>ROUNDUP(HLOOKUP(A1092,'야채 계산기'!$2:$3,2,0),0)</f>
        <v>2840</v>
      </c>
      <c r="C1092" s="164">
        <v>1</v>
      </c>
      <c r="D1092" s="166" t="str">
        <f>IFERROR((F1092/E1092),"")</f>
        <v/>
      </c>
      <c r="E1092" s="4"/>
      <c r="F1092" s="3"/>
      <c r="G1092" s="5"/>
      <c r="H1092" s="38"/>
      <c r="I1092" s="34">
        <f t="shared" si="1714"/>
        <v>0</v>
      </c>
      <c r="J1092" s="78" t="str">
        <f>IFERROR(VLOOKUP(C1092,[2]Sheet1!$D:$J,7,0),"")</f>
        <v/>
      </c>
      <c r="K1092" s="80" t="str">
        <f t="shared" si="1715"/>
        <v/>
      </c>
      <c r="L1092" s="7">
        <f t="shared" si="1716"/>
        <v>0</v>
      </c>
      <c r="M1092" s="8" t="str">
        <f t="shared" si="1717"/>
        <v/>
      </c>
      <c r="N1092" s="57" t="str">
        <f>IFERROR((K1092/H1092),"")</f>
        <v/>
      </c>
      <c r="O1092" s="9"/>
      <c r="P1092" s="10"/>
      <c r="Q1092" s="10"/>
      <c r="R1092" s="10">
        <f>O1092*P1092*Q1092</f>
        <v>0</v>
      </c>
      <c r="S1092" s="41">
        <f t="shared" si="1640"/>
        <v>0</v>
      </c>
      <c r="W1092" s="190"/>
      <c r="Y1092" s="42"/>
      <c r="Z1092" s="140"/>
      <c r="AA1092" s="206"/>
      <c r="AB1092"/>
      <c r="AC1092"/>
      <c r="AD1092"/>
      <c r="AE1092"/>
      <c r="AF1092"/>
    </row>
    <row r="1093" spans="1:32" ns3:dyDescent="0.3">
      <c r="A1093" s="2"/>
      <c r="B1093" s="11"/>
      <c r="C1093" s="164" t="s">
        <v>464</v>
      </c>
      <c r="D1093" s="166" t="str">
        <f>IFERROR((F1093/E1093),"")</f>
        <v/>
      </c>
      <c r="E1093" s="4">
        <v>20</v>
      </c>
      <c r="F1093" s="3" t="str">
        <f>IFERROR((L1093-K1093),"")</f>
        <v/>
      </c>
      <c r="G1093" s="5">
        <f>G1089</f>
        <v>10</v>
      </c>
      <c r="H1093" s="39">
        <f>ROUNDUP(SUMPRODUCT(B1094,C1094)/500,1)</f>
        <v>2.6</v>
      </c>
      <c r="I1093" s="34">
        <f t="shared" si="1714"/>
        <v>20</v>
      </c>
      <c r="J1093" s="78" t="str">
        <f>IFERROR(VLOOKUP(C1093,[2]Sheet1!$D:$J,7,0),"")</f>
        <v/>
      </c>
      <c r="K1093" s="80" t="str">
        <f t="shared" si="1715"/>
        <v/>
      </c>
      <c r="L1093" s="7">
        <f t="shared" si="1716"/>
        <v>26</v>
      </c>
      <c r="M1093" s="8" t="str">
        <f t="shared" si="1717"/>
        <v/>
      </c>
      <c r="N1093" s="57" t="str">
        <f>IFERROR((K1093/H1093),"")</f>
        <v/>
      </c>
      <c r="P1093" s="1"/>
      <c r="Q1093" s="1"/>
      <c r="R1093" s="1"/>
      <c r="S1093" s="41">
        <f t="shared" si="1640"/>
        <v>1</v>
      </c>
      <c r="V1093" s="183"/>
      <c r="W1093" s="190"/>
      <c r="X1093" s="173">
        <v>1</v>
      </c>
      <c r="Y1093" s="42"/>
      <c r="AA1093" s="206"/>
    </row>
    <row r="1094" spans="1:32" ns3:dyDescent="0.3">
      <c r="A1094" s="43" t="s">
        <v>261</v>
      </c>
      <c r="B1094" s="11">
        <f>ROUNDUP(HLOOKUP(A1094,'야채 계산기'!$2:$3,2,0),0)</f>
        <v>1290</v>
      </c>
      <c r="C1094" s="164">
        <v>1</v>
      </c>
      <c r="D1094" s="166" t="str">
        <f t="shared" ref="D1094" si="1731">IFERROR((F1094/E1094),"")</f>
        <v/>
      </c>
      <c r="E1094" s="4"/>
      <c r="F1094" s="3"/>
      <c r="G1094" s="5"/>
      <c r="H1094" s="38"/>
      <c r="I1094" s="34">
        <f t="shared" si="1714"/>
        <v>0</v>
      </c>
      <c r="J1094" s="78" t="str">
        <f>IFERROR(VLOOKUP(C1094,[2]Sheet1!$D:$J,7,0),"")</f>
        <v/>
      </c>
      <c r="K1094" s="80" t="str">
        <f t="shared" si="1715"/>
        <v/>
      </c>
      <c r="L1094" s="7">
        <f t="shared" si="1716"/>
        <v>0</v>
      </c>
      <c r="M1094" s="8" t="str">
        <f t="shared" si="1717"/>
        <v/>
      </c>
      <c r="N1094" s="57" t="str">
        <f t="shared" ref="N1094" si="1732">IFERROR((K1094/H1094),"")</f>
        <v/>
      </c>
      <c r="O1094" s="9"/>
      <c r="P1094" s="10"/>
      <c r="Q1094" s="10"/>
      <c r="R1094" s="10">
        <f t="shared" ref="R1094" si="1733">O1094*P1094*Q1094</f>
        <v>0</v>
      </c>
      <c r="S1094" s="41">
        <f t="shared" si="1640"/>
        <v>0</v>
      </c>
      <c r="W1094" s="190"/>
      <c r="Y1094" s="42"/>
      <c r="Z1094" s="140"/>
      <c r="AA1094" s="206"/>
      <c r="AB1094"/>
      <c r="AC1094"/>
      <c r="AD1094"/>
      <c r="AE1094"/>
      <c r="AF1094"/>
    </row>
    <row r="1095" spans="1:32" ns3:dyDescent="0.3">
      <c r="A1095" s="2"/>
      <c r="B1095" s="11"/>
      <c r="C1095" s="236" t="s">
        <v>465</v>
      </c>
      <c r="D1095" s="166" t="str">
        <f>IFERROR((F1095/E1095),"")</f>
        <v/>
      </c>
      <c r="E1095" s="4">
        <v>20</v>
      </c>
      <c r="F1095" s="3" t="str">
        <f>IFERROR((L1095-K1095),"")</f>
        <v/>
      </c>
      <c r="G1095" s="5">
        <f>G1091</f>
        <v>10</v>
      </c>
      <c r="H1095" s="39">
        <f>ROUNDUP(SUMPRODUCT(B1096,C1096)/500,1)</f>
        <v>2.1</v>
      </c>
      <c r="I1095" s="34">
        <f t="shared" ref="I1095:I1096" si="1734">IFERROR((S1095*E1095),"")</f>
        <v>20</v>
      </c>
      <c r="J1095" s="78" t="str">
        <f>IFERROR(VLOOKUP(C1095,[2]Sheet1!$D:$J,7,0),"")</f>
        <v/>
      </c>
      <c r="K1095" s="80" t="str">
        <f t="shared" ref="K1095:K1096" si="1735">IFERROR((I1095+J1095),"")</f>
        <v/>
      </c>
      <c r="L1095" s="7">
        <f t="shared" ref="L1095:L1096" si="1736">IFERROR((G1095*H1095),"")</f>
        <v>21</v>
      </c>
      <c r="M1095" s="8" t="str">
        <f t="shared" ref="M1095:M1096" si="1737">IFERROR(K1095-L1095,"")</f>
        <v/>
      </c>
      <c r="N1095" s="57" t="str">
        <f>IFERROR((K1095/H1095),"")</f>
        <v/>
      </c>
      <c r="P1095" s="1"/>
      <c r="Q1095" s="1"/>
      <c r="R1095" s="1"/>
      <c r="S1095" s="41">
        <f t="shared" si="1640"/>
        <v>1</v>
      </c>
      <c r="U1095" s="1">
        <v>1</v>
      </c>
      <c r="V1095" s="183"/>
      <c r="W1095" s="190"/>
      <c r="X1095" s="173"/>
      <c r="Y1095" s="42"/>
      <c r="AA1095" s="206"/>
    </row>
    <row r="1096" spans="1:32" ns3:dyDescent="0.3">
      <c r="A1096" s="43" t="s">
        <v>269</v>
      </c>
      <c r="B1096" s="11">
        <f>ROUNDUP(HLOOKUP(A1096,'야채 계산기'!$2:$3,2,0),0)</f>
        <v>1050</v>
      </c>
      <c r="C1096" s="164">
        <v>1</v>
      </c>
      <c r="D1096" s="166" t="str">
        <f t="shared" ref="D1096" si="1738">IFERROR((F1096/E1096),"")</f>
        <v/>
      </c>
      <c r="E1096" s="4"/>
      <c r="F1096" s="3"/>
      <c r="G1096" s="5"/>
      <c r="H1096" s="38"/>
      <c r="I1096" s="34">
        <f t="shared" si="1734"/>
        <v>0</v>
      </c>
      <c r="J1096" s="78" t="str">
        <f>IFERROR(VLOOKUP(C1096,[2]Sheet1!$D:$J,7,0),"")</f>
        <v/>
      </c>
      <c r="K1096" s="80" t="str">
        <f t="shared" si="1735"/>
        <v/>
      </c>
      <c r="L1096" s="7">
        <f t="shared" si="1736"/>
        <v>0</v>
      </c>
      <c r="M1096" s="8" t="str">
        <f t="shared" si="1737"/>
        <v/>
      </c>
      <c r="N1096" s="57" t="str">
        <f t="shared" ref="N1096" si="1739">IFERROR((K1096/H1096),"")</f>
        <v/>
      </c>
      <c r="O1096" s="9"/>
      <c r="P1096" s="10"/>
      <c r="Q1096" s="10"/>
      <c r="R1096" s="10">
        <f t="shared" ref="R1096" si="1740">O1096*P1096*Q1096</f>
        <v>0</v>
      </c>
      <c r="S1096" s="41">
        <f t="shared" ref="S1096:S1163" si="1741">SUM(Y1096,T1096:X1096)</f>
        <v>0</v>
      </c>
      <c r="W1096" s="190"/>
      <c r="Y1096" s="42"/>
      <c r="Z1096" s="140"/>
      <c r="AA1096" s="206"/>
      <c r="AB1096"/>
      <c r="AC1096"/>
      <c r="AD1096"/>
      <c r="AE1096"/>
      <c r="AF1096"/>
    </row>
    <row r="1097" spans="1:32" ns3:dyDescent="0.3">
      <c r="A1097" s="2"/>
      <c r="B1097" s="11"/>
      <c r="C1097" s="164" t="s">
        <v>501</v>
      </c>
      <c r="D1097" s="166" t="str">
        <f>IFERROR((F1097/E1097),"")</f>
        <v/>
      </c>
      <c r="E1097" s="4">
        <v>20</v>
      </c>
      <c r="F1097" s="3" t="str">
        <f>IFERROR((L1097-K1097),"")</f>
        <v/>
      </c>
      <c r="G1097" s="5">
        <f>G1093</f>
        <v>10</v>
      </c>
      <c r="H1097" s="39">
        <f>ROUNDUP(SUMPRODUCT(B1098,C1098)/500,1)</f>
        <v>2.7</v>
      </c>
      <c r="I1097" s="34">
        <f t="shared" si="1714"/>
        <v>20</v>
      </c>
      <c r="J1097" s="78" t="str">
        <f>IFERROR(VLOOKUP(C1097,[2]Sheet1!$D:$J,7,0),"")</f>
        <v/>
      </c>
      <c r="K1097" s="80" t="str">
        <f t="shared" si="1715"/>
        <v/>
      </c>
      <c r="L1097" s="7">
        <f t="shared" si="1716"/>
        <v>27</v>
      </c>
      <c r="M1097" s="8" t="str">
        <f t="shared" si="1717"/>
        <v/>
      </c>
      <c r="N1097" s="57" t="str">
        <f>IFERROR((K1097/H1097),"")</f>
        <v/>
      </c>
      <c r="P1097" s="1"/>
      <c r="Q1097" s="1"/>
      <c r="R1097" s="1"/>
      <c r="S1097" s="41">
        <f t="shared" si="1741"/>
        <v>1</v>
      </c>
      <c r="V1097" s="183">
        <v>1</v>
      </c>
      <c r="W1097" s="190"/>
      <c r="X1097" s="173"/>
      <c r="Y1097" s="42"/>
      <c r="AA1097" s="206"/>
    </row>
    <row r="1098" spans="1:32" ns3:dyDescent="0.3">
      <c r="A1098" s="43" t="s">
        <v>443</v>
      </c>
      <c r="B1098" s="11">
        <f>ROUNDUP(HLOOKUP(A1098,'야채 계산기'!$2:$3,2,0),0)</f>
        <v>1340</v>
      </c>
      <c r="C1098" s="164">
        <v>1</v>
      </c>
      <c r="D1098" s="166" t="str">
        <f t="shared" ref="D1098" si="1742">IFERROR((F1098/E1098),"")</f>
        <v/>
      </c>
      <c r="E1098" s="4"/>
      <c r="F1098" s="3"/>
      <c r="G1098" s="5"/>
      <c r="H1098" s="38"/>
      <c r="I1098" s="34">
        <f t="shared" si="1714"/>
        <v>0</v>
      </c>
      <c r="J1098" s="78" t="str">
        <f>IFERROR(VLOOKUP(C1098,[2]Sheet1!$D:$J,7,0),"")</f>
        <v/>
      </c>
      <c r="K1098" s="80" t="str">
        <f t="shared" si="1715"/>
        <v/>
      </c>
      <c r="L1098" s="7">
        <f t="shared" si="1716"/>
        <v>0</v>
      </c>
      <c r="M1098" s="8" t="str">
        <f t="shared" si="1717"/>
        <v/>
      </c>
      <c r="N1098" s="57" t="str">
        <f t="shared" ref="N1098" si="1743">IFERROR((K1098/H1098),"")</f>
        <v/>
      </c>
      <c r="O1098" s="9"/>
      <c r="P1098" s="10"/>
      <c r="Q1098" s="10"/>
      <c r="R1098" s="10">
        <f t="shared" ref="R1098" si="1744">O1098*P1098*Q1098</f>
        <v>0</v>
      </c>
      <c r="S1098" s="41">
        <f t="shared" si="1741"/>
        <v>0</v>
      </c>
      <c r="W1098" s="190"/>
      <c r="Y1098" s="42"/>
      <c r="Z1098" s="140"/>
      <c r="AA1098" s="206"/>
      <c r="AB1098"/>
      <c r="AC1098"/>
      <c r="AD1098"/>
      <c r="AE1098"/>
      <c r="AF1098"/>
    </row>
    <row r="1099" spans="1:32" ns3:dyDescent="0.3">
      <c r="A1099" s="2"/>
      <c r="B1099" s="11"/>
      <c r="C1099" s="164" t="s">
        <v>460</v>
      </c>
      <c r="D1099" s="166" t="str">
        <f>IFERROR((F1099/E1099),"")</f>
        <v/>
      </c>
      <c r="E1099" s="4">
        <v>20</v>
      </c>
      <c r="F1099" s="3" t="str">
        <f>IFERROR((L1099-K1099),"")</f>
        <v/>
      </c>
      <c r="G1099" s="5">
        <f>G1093</f>
        <v>10</v>
      </c>
      <c r="H1099" s="39">
        <f>ROUNDUP(SUMPRODUCT(B1100,C1100)/500,1)</f>
        <v>2.4</v>
      </c>
      <c r="I1099" s="34">
        <f t="shared" si="1714"/>
        <v>0</v>
      </c>
      <c r="J1099" s="78" t="str">
        <f>IFERROR(VLOOKUP(C1099,[2]Sheet1!$D:$J,7,0),"")</f>
        <v/>
      </c>
      <c r="K1099" s="80" t="str">
        <f t="shared" si="1715"/>
        <v/>
      </c>
      <c r="L1099" s="7">
        <f t="shared" si="1716"/>
        <v>24</v>
      </c>
      <c r="M1099" s="8" t="str">
        <f t="shared" si="1717"/>
        <v/>
      </c>
      <c r="N1099" s="57" t="str">
        <f>IFERROR((K1099/H1099),"")</f>
        <v/>
      </c>
      <c r="P1099" s="1"/>
      <c r="Q1099" s="1"/>
      <c r="R1099" s="1"/>
      <c r="S1099" s="41">
        <f t="shared" ref="S1099:S1100" si="1745">SUM(Y1099,T1099:X1099)</f>
        <v>0</v>
      </c>
      <c r="V1099" s="183"/>
      <c r="W1099" s="190"/>
      <c r="X1099" s="173"/>
      <c r="Y1099" s="42"/>
      <c r="AA1099" s="206"/>
    </row>
    <row r="1100" spans="1:32" ns3:dyDescent="0.3">
      <c r="A1100" s="43" t="s">
        <v>324</v>
      </c>
      <c r="B1100" s="11">
        <f>ROUNDUP(HLOOKUP(A1100,'야채 계산기'!$2:$3,2,0),0)</f>
        <v>1190</v>
      </c>
      <c r="C1100" s="164">
        <v>1</v>
      </c>
      <c r="D1100" s="166" t="str">
        <f t="shared" ref="D1100" si="1746">IFERROR((F1100/E1100),"")</f>
        <v/>
      </c>
      <c r="E1100" s="4"/>
      <c r="F1100" s="3"/>
      <c r="G1100" s="5"/>
      <c r="H1100" s="38"/>
      <c r="I1100" s="34">
        <f t="shared" si="1714"/>
        <v>0</v>
      </c>
      <c r="J1100" s="78" t="str">
        <f>IFERROR(VLOOKUP(C1100,[2]Sheet1!$D:$J,7,0),"")</f>
        <v/>
      </c>
      <c r="K1100" s="80" t="str">
        <f t="shared" si="1715"/>
        <v/>
      </c>
      <c r="L1100" s="7">
        <f t="shared" si="1716"/>
        <v>0</v>
      </c>
      <c r="M1100" s="8" t="str">
        <f t="shared" si="1717"/>
        <v/>
      </c>
      <c r="N1100" s="57" t="str">
        <f t="shared" ref="N1100" si="1747">IFERROR((K1100/H1100),"")</f>
        <v/>
      </c>
      <c r="O1100" s="9"/>
      <c r="P1100" s="10"/>
      <c r="Q1100" s="10"/>
      <c r="R1100" s="10">
        <f t="shared" ref="R1100" si="1748">O1100*P1100*Q1100</f>
        <v>0</v>
      </c>
      <c r="S1100" s="41">
        <f t="shared" si="1745"/>
        <v>0</v>
      </c>
      <c r="W1100" s="190"/>
      <c r="Y1100" s="42"/>
      <c r="Z1100" s="140"/>
      <c r="AA1100" s="206"/>
      <c r="AB1100"/>
      <c r="AC1100"/>
      <c r="AD1100"/>
      <c r="AE1100"/>
      <c r="AF1100"/>
    </row>
    <row r="1101" spans="1:32" ns3:dyDescent="0.3">
      <c r="A1101" s="2"/>
      <c r="B1101" s="11"/>
      <c r="C1101" s="247" t="s">
        <v>794</v>
      </c>
      <c r="D1101" s="166" t="str">
        <f>IFERROR((F1101/E1101),"")</f>
        <v/>
      </c>
      <c r="E1101" s="4">
        <v>20</v>
      </c>
      <c r="F1101" s="3" t="str">
        <f>IFERROR((L1101-K1101),"")</f>
        <v/>
      </c>
      <c r="G1101" s="5">
        <f>G1095</f>
        <v>10</v>
      </c>
      <c r="H1101" s="39">
        <f>ROUNDUP(SUMPRODUCT(B1102,C1102)/500,1)</f>
        <v>3.7</v>
      </c>
      <c r="I1101" s="34">
        <f t="shared" si="1645"/>
        <v>0</v>
      </c>
      <c r="J1101" s="78" t="str">
        <f>IFERROR(VLOOKUP(C1101,[2]Sheet1!$D:$J,7,0),"")</f>
        <v/>
      </c>
      <c r="K1101" s="80" t="str">
        <f t="shared" si="1713"/>
        <v/>
      </c>
      <c r="L1101" s="7">
        <f t="shared" si="1646"/>
        <v>37</v>
      </c>
      <c r="M1101" s="8" t="str">
        <f t="shared" si="1647"/>
        <v/>
      </c>
      <c r="N1101" s="57" t="str">
        <f>IFERROR((K1101/H1101),"")</f>
        <v/>
      </c>
      <c r="P1101" s="1"/>
      <c r="Q1101" s="1"/>
      <c r="R1101" s="1"/>
      <c r="S1101" s="41">
        <f t="shared" si="1741"/>
        <v>0</v>
      </c>
      <c r="V1101" s="183"/>
      <c r="W1101" s="190"/>
      <c r="X1101" s="173"/>
      <c r="Y1101" s="42"/>
      <c r="AA1101" s="206"/>
    </row>
    <row r="1102" spans="1:32" ns3:dyDescent="0.3">
      <c r="A1102" s="300" t="s">
        <v>793</v>
      </c>
      <c r="B1102" s="11">
        <f>ROUNDUP(HLOOKUP(A1102,'야채 계산기'!$2:$3,2,0),0)</f>
        <v>1820</v>
      </c>
      <c r="C1102" s="164">
        <v>1</v>
      </c>
      <c r="D1102" s="166" t="str">
        <f t="shared" ref="D1102" si="1749">IFERROR((F1102/E1102),"")</f>
        <v/>
      </c>
      <c r="E1102" s="4"/>
      <c r="F1102" s="3"/>
      <c r="G1102" s="5"/>
      <c r="H1102" s="38"/>
      <c r="I1102" s="34">
        <f t="shared" si="1645"/>
        <v>0</v>
      </c>
      <c r="J1102" s="78" t="str">
        <f>IFERROR(VLOOKUP(C1102,[2]Sheet1!$D:$J,7,0),"")</f>
        <v/>
      </c>
      <c r="K1102" s="80" t="str">
        <f t="shared" si="1713"/>
        <v/>
      </c>
      <c r="L1102" s="7">
        <f t="shared" si="1646"/>
        <v>0</v>
      </c>
      <c r="M1102" s="8" t="str">
        <f t="shared" si="1647"/>
        <v/>
      </c>
      <c r="N1102" s="57" t="str">
        <f t="shared" ref="N1102" si="1750">IFERROR((K1102/H1102),"")</f>
        <v/>
      </c>
      <c r="O1102" s="9"/>
      <c r="P1102" s="10"/>
      <c r="Q1102" s="10"/>
      <c r="R1102" s="10">
        <f t="shared" ref="R1102" si="1751">O1102*P1102*Q1102</f>
        <v>0</v>
      </c>
      <c r="S1102" s="41">
        <f t="shared" si="1741"/>
        <v>0</v>
      </c>
      <c r="W1102" s="190"/>
      <c r="Y1102" s="42"/>
      <c r="Z1102" s="140"/>
      <c r="AA1102" s="206"/>
      <c r="AB1102"/>
      <c r="AC1102"/>
      <c r="AD1102"/>
      <c r="AE1102"/>
      <c r="AF1102"/>
    </row>
    <row r="1103" spans="1:32" ns3:dyDescent="0.3">
      <c r="A1103" s="2"/>
      <c r="B1103" s="11"/>
      <c r="C1103" s="164" t="s">
        <v>462</v>
      </c>
      <c r="D1103" s="166" t="str">
        <f>IFERROR((F1103/E1103),"")</f>
        <v/>
      </c>
      <c r="E1103" s="4">
        <v>20</v>
      </c>
      <c r="F1103" s="3" t="str">
        <f>IFERROR((L1103-K1103),"")</f>
        <v/>
      </c>
      <c r="G1103" s="5">
        <f>G1097</f>
        <v>10</v>
      </c>
      <c r="H1103" s="39">
        <f>ROUNDUP(SUMPRODUCT(B1104,C1104)/500,1)</f>
        <v>0.30000000000000004</v>
      </c>
      <c r="I1103" s="34">
        <f>IFERROR((S1103*E1103),"")</f>
        <v>0</v>
      </c>
      <c r="J1103" s="78" t="str">
        <f>IFERROR(VLOOKUP(C1103,[2]Sheet1!$D:$J,7,0),"")</f>
        <v/>
      </c>
      <c r="K1103" s="80" t="str">
        <f>IFERROR((I1103+J1103),"")</f>
        <v/>
      </c>
      <c r="L1103" s="7">
        <f>IFERROR((G1103*H1103),"")</f>
        <v>3.0000000000000004</v>
      </c>
      <c r="M1103" s="8" t="str">
        <f>IFERROR(K1103-L1103,"")</f>
        <v/>
      </c>
      <c r="N1103" s="57" t="str">
        <f>IFERROR((K1103/H1103),"")</f>
        <v/>
      </c>
      <c r="P1103" s="1"/>
      <c r="Q1103" s="1"/>
      <c r="R1103" s="1"/>
      <c r="S1103" s="41">
        <f t="shared" si="1741"/>
        <v>0</v>
      </c>
      <c r="V1103" s="183"/>
      <c r="W1103" s="190"/>
      <c r="X1103" s="173"/>
      <c r="Y1103" s="42"/>
      <c r="AA1103" s="206"/>
    </row>
    <row r="1104" spans="1:32" ns3:dyDescent="0.3">
      <c r="A1104" s="43" t="s">
        <v>190</v>
      </c>
      <c r="B1104" s="11">
        <f>ROUNDUP(HLOOKUP(A1104,'야채 계산기'!$2:$3,2,0),0)</f>
        <v>140</v>
      </c>
      <c r="C1104" s="164">
        <v>1</v>
      </c>
      <c r="D1104" s="166" t="str">
        <f t="shared" ref="D1104" si="1752">IFERROR((F1104/E1104),"")</f>
        <v/>
      </c>
      <c r="E1104" s="4"/>
      <c r="F1104" s="3"/>
      <c r="G1104" s="5"/>
      <c r="H1104" s="38"/>
      <c r="I1104" s="34">
        <f>IFERROR((S1104*E1104),"")</f>
        <v>0</v>
      </c>
      <c r="J1104" s="78" t="str">
        <f>IFERROR(VLOOKUP(C1104,[2]Sheet1!$D:$J,7,0),"")</f>
        <v/>
      </c>
      <c r="K1104" s="80" t="str">
        <f>IFERROR((I1104+J1104),"")</f>
        <v/>
      </c>
      <c r="L1104" s="7">
        <f>IFERROR((G1104*H1104),"")</f>
        <v>0</v>
      </c>
      <c r="M1104" s="8" t="str">
        <f>IFERROR(K1104-L1104,"")</f>
        <v/>
      </c>
      <c r="N1104" s="57" t="str">
        <f t="shared" ref="N1104" si="1753">IFERROR((K1104/H1104),"")</f>
        <v/>
      </c>
      <c r="O1104" s="9"/>
      <c r="P1104" s="10"/>
      <c r="Q1104" s="10"/>
      <c r="R1104" s="10">
        <f t="shared" ref="R1104" si="1754">O1104*P1104*Q1104</f>
        <v>0</v>
      </c>
      <c r="S1104" s="41">
        <f t="shared" si="1741"/>
        <v>0</v>
      </c>
      <c r="W1104" s="190"/>
      <c r="Y1104" s="42"/>
      <c r="Z1104" s="140"/>
      <c r="AA1104" s="206"/>
      <c r="AB1104"/>
      <c r="AC1104"/>
      <c r="AD1104"/>
      <c r="AE1104"/>
      <c r="AF1104"/>
    </row>
    <row r="1105" spans="1:33" ns3:dyDescent="0.3">
      <c r="A1105" s="2"/>
      <c r="B1105" s="11"/>
      <c r="C1105" s="164" t="s">
        <v>461</v>
      </c>
      <c r="D1105" s="166" t="str">
        <f>IFERROR((F1105/E1105),"")</f>
        <v/>
      </c>
      <c r="E1105" s="4">
        <v>20</v>
      </c>
      <c r="F1105" s="3" t="str">
        <f>IFERROR((L1105-K1105),"")</f>
        <v/>
      </c>
      <c r="G1105" s="5">
        <f>G1101</f>
        <v>10</v>
      </c>
      <c r="H1105" s="39">
        <f>ROUNDUP(SUMPRODUCT(B1106,C1106)/500,1)</f>
        <v>0.4</v>
      </c>
      <c r="I1105" s="34">
        <f t="shared" si="1645"/>
        <v>0</v>
      </c>
      <c r="J1105" s="78" t="str">
        <f>IFERROR(VLOOKUP(C1105,[2]Sheet1!$D:$J,7,0),"")</f>
        <v/>
      </c>
      <c r="K1105" s="80" t="str">
        <f t="shared" si="1713"/>
        <v/>
      </c>
      <c r="L1105" s="7">
        <f t="shared" si="1646"/>
        <v>4</v>
      </c>
      <c r="M1105" s="8" t="str">
        <f t="shared" si="1647"/>
        <v/>
      </c>
      <c r="N1105" s="57" t="str">
        <f>IFERROR((K1105/H1105),"")</f>
        <v/>
      </c>
      <c r="P1105" s="1"/>
      <c r="Q1105" s="1"/>
      <c r="R1105" s="1"/>
      <c r="S1105" s="41">
        <f t="shared" si="1741"/>
        <v>0</v>
      </c>
      <c r="V1105" s="183"/>
      <c r="W1105" s="190"/>
      <c r="X1105" s="173"/>
      <c r="Y1105" s="42"/>
      <c r="AA1105" s="206"/>
    </row>
    <row r="1106" spans="1:33" ns3:dyDescent="0.3">
      <c r="A1106" s="43" t="s">
        <v>175</v>
      </c>
      <c r="B1106" s="11">
        <f>ROUNDUP(HLOOKUP(A1106,'야채 계산기'!$2:$3,2,0),0)</f>
        <v>170</v>
      </c>
      <c r="C1106" s="164">
        <v>1</v>
      </c>
      <c r="D1106" s="166" t="str">
        <f t="shared" ref="D1106" si="1755">IFERROR((F1106/E1106),"")</f>
        <v/>
      </c>
      <c r="E1106" s="4"/>
      <c r="F1106" s="3"/>
      <c r="G1106" s="5"/>
      <c r="H1106" s="38"/>
      <c r="I1106" s="34">
        <f t="shared" si="1645"/>
        <v>0</v>
      </c>
      <c r="J1106" s="78" t="str">
        <f>IFERROR(VLOOKUP(C1106,[2]Sheet1!$D:$J,7,0),"")</f>
        <v/>
      </c>
      <c r="K1106" s="80" t="str">
        <f t="shared" si="1713"/>
        <v/>
      </c>
      <c r="L1106" s="7">
        <f t="shared" si="1646"/>
        <v>0</v>
      </c>
      <c r="M1106" s="8" t="str">
        <f t="shared" si="1647"/>
        <v/>
      </c>
      <c r="N1106" s="57" t="str">
        <f t="shared" ref="N1106" si="1756">IFERROR((K1106/H1106),"")</f>
        <v/>
      </c>
      <c r="O1106" s="9"/>
      <c r="P1106" s="10"/>
      <c r="Q1106" s="10"/>
      <c r="R1106" s="10">
        <f t="shared" ref="R1106" si="1757">O1106*P1106*Q1106</f>
        <v>0</v>
      </c>
      <c r="S1106" s="41">
        <f t="shared" si="1741"/>
        <v>0</v>
      </c>
      <c r="W1106" s="190"/>
      <c r="Y1106" s="42"/>
      <c r="Z1106" s="140"/>
      <c r="AA1106" s="206"/>
      <c r="AB1106"/>
      <c r="AC1106"/>
      <c r="AD1106"/>
      <c r="AE1106"/>
      <c r="AF1106"/>
    </row>
    <row r="1107" spans="1:33" ns3:dyDescent="0.3">
      <c r="A1107" s="2"/>
      <c r="B1107" s="11"/>
      <c r="C1107" s="240" t="s">
        <v>585</v>
      </c>
      <c r="D1107" s="166" t="str">
        <f>IFERROR((F1107/E1107),"")</f>
        <v/>
      </c>
      <c r="E1107" s="4">
        <v>1</v>
      </c>
      <c r="F1107" s="3" t="str">
        <f>IFERROR((L1107-K1107),"")</f>
        <v/>
      </c>
      <c r="G1107" s="5">
        <f>G1084</f>
        <v>10</v>
      </c>
      <c r="H1107" s="39">
        <f>ROUNDUP(SUMPRODUCT(B1108,C1108)/5000,2)</f>
        <v>0.22</v>
      </c>
      <c r="I1107" s="34">
        <f>IFERROR((S1107*E1107),"")</f>
        <v>0</v>
      </c>
      <c r="J1107" s="78" t="str">
        <f>IFERROR(VLOOKUP(C1107,[2]Sheet1!$D:$J,7,0),"")</f>
        <v/>
      </c>
      <c r="K1107" s="80" t="str">
        <f>IFERROR((I1107+J1107),"")</f>
        <v/>
      </c>
      <c r="L1107" s="7">
        <f>IFERROR((G1107*H1107),"")</f>
        <v>2.2000000000000002</v>
      </c>
      <c r="M1107" s="8" t="str">
        <f>IFERROR(K1107-L1107,"")</f>
        <v/>
      </c>
      <c r="N1107" s="57" t="str">
        <f>IFERROR((K1107/H1107),"")</f>
        <v/>
      </c>
      <c r="P1107" s="1"/>
      <c r="Q1107" s="1"/>
      <c r="R1107" s="1"/>
      <c r="S1107" s="41">
        <f t="shared" si="1741"/>
        <v>0</v>
      </c>
      <c r="V1107" s="183"/>
      <c r="W1107" s="190"/>
      <c r="X1107" s="173"/>
      <c r="Y1107" s="42"/>
      <c r="AA1107" s="206"/>
    </row>
    <row r="1108" spans="1:33" ns3:dyDescent="0.3">
      <c r="A1108" s="279" t="s">
        <v>575</v>
      </c>
      <c r="B1108" s="11">
        <f>ROUNDUP(HLOOKUP(A1108,'야채 계산기'!$2:$3,2,0),0)</f>
        <v>1100</v>
      </c>
      <c r="C1108" s="164">
        <v>1</v>
      </c>
      <c r="D1108" s="166" t="str">
        <f>IFERROR((F1108/E1108),"")</f>
        <v/>
      </c>
      <c r="E1108" s="4"/>
      <c r="F1108" s="3"/>
      <c r="G1108" s="5"/>
      <c r="H1108" s="38"/>
      <c r="I1108" s="34">
        <f>IFERROR((S1108*E1108),"")</f>
        <v>0</v>
      </c>
      <c r="J1108" s="78" t="str">
        <f>IFERROR(VLOOKUP(C1108,[2]Sheet1!$D:$J,7,0),"")</f>
        <v/>
      </c>
      <c r="K1108" s="80" t="str">
        <f>IFERROR((I1108+J1108),"")</f>
        <v/>
      </c>
      <c r="L1108" s="7">
        <f>IFERROR((G1108*H1108),"")</f>
        <v>0</v>
      </c>
      <c r="M1108" s="8" t="str">
        <f>IFERROR(K1108-L1108,"")</f>
        <v/>
      </c>
      <c r="N1108" s="57" t="str">
        <f t="shared" ref="N1108" si="1758">IFERROR((K1108/H1108),"")</f>
        <v/>
      </c>
      <c r="O1108" s="9"/>
      <c r="P1108" s="10"/>
      <c r="Q1108" s="10"/>
      <c r="R1108" s="10">
        <f t="shared" ref="R1108" si="1759">O1108*P1108*Q1108</f>
        <v>0</v>
      </c>
      <c r="S1108" s="41">
        <f t="shared" si="1741"/>
        <v>0</v>
      </c>
      <c r="W1108" s="190"/>
      <c r="X1108" s="137"/>
      <c r="Y1108" s="42"/>
      <c r="Z1108" s="140"/>
      <c r="AA1108" s="206"/>
      <c r="AB1108"/>
      <c r="AC1108"/>
      <c r="AD1108"/>
      <c r="AE1108"/>
      <c r="AF1108"/>
    </row>
    <row r="1109" spans="1:33" ns3:dyDescent="0.3">
      <c r="A1109" s="91"/>
      <c r="B1109" s="11"/>
      <c r="C1109" s="240" t="s">
        <v>598</v>
      </c>
      <c r="D1109" s="166" t="str">
        <f>IFERROR((F1109/E1109),"")</f>
        <v/>
      </c>
      <c r="E1109" s="4">
        <v>1</v>
      </c>
      <c r="F1109" s="3" t="str">
        <f>IFERROR((L1109-K1109),"")</f>
        <v/>
      </c>
      <c r="G1109" s="5">
        <f>G1084</f>
        <v>10</v>
      </c>
      <c r="H1109" s="39">
        <f>ROUNDUP(SUMPRODUCT(B1110,C1110)/5000,2)</f>
        <v>0.09</v>
      </c>
      <c r="I1109" s="34">
        <f>IFERROR((S1109*E1109),"")</f>
        <v>1</v>
      </c>
      <c r="J1109" s="78" t="str">
        <f>IFERROR(VLOOKUP(C1109,[2]Sheet1!$D:$J,7,0),"")</f>
        <v/>
      </c>
      <c r="K1109" s="80" t="str">
        <f>IFERROR((I1109+J1109),"")</f>
        <v/>
      </c>
      <c r="L1109" s="7">
        <f>IFERROR((G1109*H1109),"")</f>
        <v>0.89999999999999991</v>
      </c>
      <c r="M1109" s="8" t="str">
        <f>IFERROR(K1109-L1109,"")</f>
        <v/>
      </c>
      <c r="N1109" s="57" t="str">
        <f>IFERROR((K1109/H1109),"")</f>
        <v/>
      </c>
      <c r="P1109" s="1"/>
      <c r="Q1109" s="1"/>
      <c r="R1109" s="1"/>
      <c r="S1109" s="41">
        <f t="shared" si="1741"/>
        <v>1</v>
      </c>
      <c r="V1109" s="183"/>
      <c r="W1109" s="190"/>
      <c r="X1109" s="173">
        <v>1</v>
      </c>
      <c r="Y1109" s="42"/>
      <c r="AA1109" s="206"/>
    </row>
    <row r="1110" spans="1:33" ns3:dyDescent="0.3">
      <c r="A1110" s="279" t="s">
        <v>599</v>
      </c>
      <c r="B1110" s="11">
        <f>ROUNDUP(HLOOKUP(A1110,'야채 계산기'!$2:$3,2,0),0)</f>
        <v>440</v>
      </c>
      <c r="C1110" s="164">
        <v>1</v>
      </c>
      <c r="D1110" s="166" t="str">
        <f>IFERROR((F1110/E1110),"")</f>
        <v/>
      </c>
      <c r="E1110" s="4"/>
      <c r="F1110" s="3"/>
      <c r="G1110" s="5"/>
      <c r="H1110" s="38"/>
      <c r="I1110" s="34">
        <f>IFERROR((S1110*E1110),"")</f>
        <v>0</v>
      </c>
      <c r="J1110" s="78" t="str">
        <f>IFERROR(VLOOKUP(C1110,[2]Sheet1!$D:$J,7,0),"")</f>
        <v/>
      </c>
      <c r="K1110" s="80" t="str">
        <f>IFERROR((I1110+J1110),"")</f>
        <v/>
      </c>
      <c r="L1110" s="7">
        <f>IFERROR((G1110*H1110),"")</f>
        <v>0</v>
      </c>
      <c r="M1110" s="8" t="str">
        <f>IFERROR(K1110-L1110,"")</f>
        <v/>
      </c>
      <c r="N1110" s="57" t="str">
        <f t="shared" ref="N1110" si="1760">IFERROR((K1110/H1110),"")</f>
        <v/>
      </c>
      <c r="O1110" s="9"/>
      <c r="P1110" s="10"/>
      <c r="Q1110" s="10"/>
      <c r="R1110" s="10">
        <f t="shared" ref="R1110" si="1761">O1110*P1110*Q1110</f>
        <v>0</v>
      </c>
      <c r="S1110" s="41">
        <f t="shared" si="1741"/>
        <v>0</v>
      </c>
      <c r="W1110" s="190"/>
      <c r="X1110" s="137"/>
      <c r="Y1110" s="42"/>
      <c r="Z1110" s="140"/>
      <c r="AA1110" s="206"/>
      <c r="AB1110"/>
      <c r="AC1110"/>
      <c r="AD1110"/>
      <c r="AE1110"/>
      <c r="AF1110"/>
    </row>
    <row r="1111" spans="1:33" ns3:dyDescent="0.3">
      <c r="A1111" s="91"/>
      <c r="B1111" s="11"/>
      <c r="C1111" s="240" t="s">
        <v>466</v>
      </c>
      <c r="D1111" s="166" t="str">
        <f>IFERROR((F1111/E1111),"")</f>
        <v/>
      </c>
      <c r="E1111" s="4">
        <v>1</v>
      </c>
      <c r="F1111" s="3" t="str">
        <f>IFERROR((L1111-K1111),"")</f>
        <v/>
      </c>
      <c r="G1111" s="5">
        <f>G1103</f>
        <v>10</v>
      </c>
      <c r="H1111" s="39">
        <f>ROUNDUP(SUMPRODUCT(B1112,C1112)/5000,2)</f>
        <v>0.42</v>
      </c>
      <c r="I1111" s="34">
        <f t="shared" si="1645"/>
        <v>2</v>
      </c>
      <c r="J1111" s="78" t="str">
        <f>IFERROR(VLOOKUP(C1111,[2]Sheet1!$D:$J,7,0),"")</f>
        <v/>
      </c>
      <c r="K1111" s="80" t="str">
        <f t="shared" si="1713"/>
        <v/>
      </c>
      <c r="L1111" s="7">
        <f t="shared" si="1646"/>
        <v>4.2</v>
      </c>
      <c r="M1111" s="8" t="str">
        <f t="shared" si="1647"/>
        <v/>
      </c>
      <c r="N1111" s="57" t="str">
        <f>IFERROR((K1111/H1111),"")</f>
        <v/>
      </c>
      <c r="P1111" s="1"/>
      <c r="Q1111" s="1"/>
      <c r="R1111" s="1"/>
      <c r="S1111" s="41">
        <f t="shared" si="1741"/>
        <v>2</v>
      </c>
      <c r="V1111" s="183">
        <v>1</v>
      </c>
      <c r="W1111" s="190"/>
      <c r="X1111" s="173">
        <v>1</v>
      </c>
      <c r="Y1111" s="42"/>
      <c r="AA1111" s="206"/>
    </row>
    <row r="1112" spans="1:33" ns3:dyDescent="0.3">
      <c r="A1112" s="43" t="s">
        <v>489</v>
      </c>
      <c r="B1112" s="11">
        <f>ROUNDUP(HLOOKUP(A1112,'야채 계산기'!$2:$3,2,0),0)</f>
        <v>2090</v>
      </c>
      <c r="C1112" s="164">
        <v>1</v>
      </c>
      <c r="D1112" s="166" t="str">
        <f t="shared" ref="D1112" si="1762">IFERROR((F1112/E1112),"")</f>
        <v/>
      </c>
      <c r="E1112" s="4"/>
      <c r="F1112" s="3"/>
      <c r="G1112" s="5"/>
      <c r="H1112" s="38"/>
      <c r="I1112" s="34">
        <f t="shared" ref="I1112:I1231" si="1763">IFERROR((S1112*E1112),"")</f>
        <v>0</v>
      </c>
      <c r="J1112" s="78" t="str">
        <f>IFERROR(VLOOKUP(C1112,[2]Sheet1!$D:$J,7,0),"")</f>
        <v/>
      </c>
      <c r="K1112" s="80" t="str">
        <f t="shared" si="1713"/>
        <v/>
      </c>
      <c r="L1112" s="7">
        <f t="shared" ref="L1112:L1231" si="1764">IFERROR((G1112*H1112),"")</f>
        <v>0</v>
      </c>
      <c r="M1112" s="8" t="str">
        <f t="shared" ref="M1112:M1231" si="1765">IFERROR(K1112-L1112,"")</f>
        <v/>
      </c>
      <c r="N1112" s="57" t="str">
        <f t="shared" ref="N1112" si="1766">IFERROR((K1112/H1112),"")</f>
        <v/>
      </c>
      <c r="O1112" s="9"/>
      <c r="P1112" s="10"/>
      <c r="Q1112" s="10"/>
      <c r="R1112" s="10">
        <f t="shared" ref="R1112" si="1767">O1112*P1112*Q1112</f>
        <v>0</v>
      </c>
      <c r="S1112" s="41">
        <f t="shared" si="1741"/>
        <v>0</v>
      </c>
      <c r="W1112" s="190"/>
      <c r="Y1112" s="42"/>
      <c r="Z1112" s="140"/>
      <c r="AA1112" s="206"/>
      <c r="AB1112"/>
      <c r="AC1112"/>
      <c r="AD1112"/>
      <c r="AE1112"/>
      <c r="AF1112"/>
    </row>
    <row r="1113" spans="1:33" ns3:dyDescent="0.3">
      <c r="A1113" s="2"/>
      <c r="B1113" s="11"/>
      <c r="C1113" s="240" t="s">
        <v>418</v>
      </c>
      <c r="D1113" s="166" t="str">
        <f>IFERROR((F1113/E1113),"")</f>
        <v/>
      </c>
      <c r="E1113" s="4">
        <v>1</v>
      </c>
      <c r="F1113" s="3" t="str">
        <f>IFERROR((L1113-K1113),"")</f>
        <v/>
      </c>
      <c r="G1113" s="5">
        <f>G1105</f>
        <v>10</v>
      </c>
      <c r="H1113" s="39">
        <f>ROUNDUP(SUMPRODUCT(B1114,C1114)/3700,2)</f>
        <v>0.03</v>
      </c>
      <c r="I1113" s="34">
        <f>IFERROR((S1113*E1113),"")</f>
        <v>0</v>
      </c>
      <c r="J1113" s="78" t="str">
        <f>IFERROR(VLOOKUP(C1113,[2]Sheet1!$D:$J,7,0),"")</f>
        <v/>
      </c>
      <c r="K1113" s="80" t="str">
        <f>IFERROR((I1113+J1113),"")</f>
        <v/>
      </c>
      <c r="L1113" s="7">
        <f>IFERROR((G1113*H1113),"")</f>
        <v>0.3</v>
      </c>
      <c r="M1113" s="8" t="str">
        <f>IFERROR(K1113-L1113,"")</f>
        <v/>
      </c>
      <c r="N1113" s="57" t="str">
        <f>IFERROR((K1113/H1113),"")</f>
        <v/>
      </c>
      <c r="P1113" s="1"/>
      <c r="Q1113" s="1"/>
      <c r="R1113" s="1"/>
      <c r="S1113" s="41">
        <f t="shared" si="1741"/>
        <v>0</v>
      </c>
      <c r="V1113" s="183"/>
      <c r="W1113" s="190"/>
      <c r="X1113" s="173"/>
      <c r="Y1113" s="42"/>
      <c r="AA1113" s="206"/>
    </row>
    <row r="1114" spans="1:33" ns3:dyDescent="0.3">
      <c r="A1114" s="43" t="s">
        <v>208</v>
      </c>
      <c r="B1114" s="11">
        <f>ROUNDUP(HLOOKUP(A1114,'야채 계산기'!$2:$3,2,0),0)</f>
        <v>104</v>
      </c>
      <c r="C1114" s="164">
        <v>1</v>
      </c>
      <c r="D1114" s="166" t="str">
        <f t="shared" ref="D1114" si="1768">IFERROR((F1114/E1114),"")</f>
        <v/>
      </c>
      <c r="E1114" s="4"/>
      <c r="F1114" s="3"/>
      <c r="G1114" s="5"/>
      <c r="H1114" s="38"/>
      <c r="I1114" s="34">
        <f>IFERROR((S1114*E1114),"")</f>
        <v>0</v>
      </c>
      <c r="J1114" s="78" t="str">
        <f>IFERROR(VLOOKUP(C1114,[2]Sheet1!$D:$J,7,0),"")</f>
        <v/>
      </c>
      <c r="K1114" s="80" t="str">
        <f>IFERROR((I1114+J1114),"")</f>
        <v/>
      </c>
      <c r="L1114" s="7">
        <f>IFERROR((G1114*H1114),"")</f>
        <v>0</v>
      </c>
      <c r="M1114" s="8" t="str">
        <f>IFERROR(K1114-L1114,"")</f>
        <v/>
      </c>
      <c r="N1114" s="57" t="str">
        <f t="shared" ref="N1114" si="1769">IFERROR((K1114/H1114),"")</f>
        <v/>
      </c>
      <c r="O1114" s="9"/>
      <c r="P1114" s="10"/>
      <c r="Q1114" s="10"/>
      <c r="R1114" s="10">
        <f t="shared" ref="R1114" si="1770">O1114*P1114*Q1114</f>
        <v>0</v>
      </c>
      <c r="S1114" s="41">
        <f t="shared" si="1741"/>
        <v>0</v>
      </c>
      <c r="W1114" s="190"/>
      <c r="Y1114" s="42"/>
      <c r="Z1114" s="140"/>
      <c r="AA1114" s="206"/>
      <c r="AB1114"/>
      <c r="AC1114"/>
      <c r="AD1114"/>
      <c r="AE1114"/>
      <c r="AF1114"/>
    </row>
    <row r="1115" spans="1:33" ns3:dyDescent="0.3">
      <c r="A1115" s="2"/>
      <c r="B1115" s="11"/>
      <c r="C1115" s="240" t="s">
        <v>417</v>
      </c>
      <c r="D1115" s="166" t="str">
        <f>IFERROR((F1115/E1115),"")</f>
        <v/>
      </c>
      <c r="E1115" s="4">
        <v>1</v>
      </c>
      <c r="F1115" s="3" t="str">
        <f>IFERROR((L1115-K1115),"")</f>
        <v/>
      </c>
      <c r="G1115" s="5">
        <f>G1111</f>
        <v>10</v>
      </c>
      <c r="H1115" s="39">
        <f>ROUNDUP(SUMPRODUCT(B1116,C1116)/3700,2)</f>
        <v>0.04</v>
      </c>
      <c r="I1115" s="34">
        <f t="shared" si="1763"/>
        <v>0</v>
      </c>
      <c r="J1115" s="78" t="str">
        <f>IFERROR(VLOOKUP(C1115,[2]Sheet1!$D:$J,7,0),"")</f>
        <v/>
      </c>
      <c r="K1115" s="80" t="str">
        <f t="shared" si="1713"/>
        <v/>
      </c>
      <c r="L1115" s="7">
        <f t="shared" si="1764"/>
        <v>0.4</v>
      </c>
      <c r="M1115" s="8" t="str">
        <f t="shared" si="1765"/>
        <v/>
      </c>
      <c r="N1115" s="57" t="str">
        <f>IFERROR((K1115/H1115),"")</f>
        <v/>
      </c>
      <c r="P1115" s="1"/>
      <c r="Q1115" s="1"/>
      <c r="R1115" s="1"/>
      <c r="S1115" s="41">
        <f t="shared" si="1741"/>
        <v>0</v>
      </c>
      <c r="V1115" s="183"/>
      <c r="W1115" s="190"/>
      <c r="X1115" s="173"/>
      <c r="Y1115" s="42"/>
      <c r="AA1115" s="206"/>
    </row>
    <row r="1116" spans="1:33" ns3:dyDescent="0.3">
      <c r="A1116" s="43" t="s">
        <v>210</v>
      </c>
      <c r="B1116" s="11">
        <f>ROUNDUP(HLOOKUP(A1116,'야채 계산기'!$2:$3,2,0),0)</f>
        <v>129</v>
      </c>
      <c r="C1116" s="164">
        <v>1</v>
      </c>
      <c r="D1116" s="166" t="str">
        <f t="shared" ref="D1116" si="1771">IFERROR((F1116/E1116),"")</f>
        <v/>
      </c>
      <c r="E1116" s="4"/>
      <c r="F1116" s="3"/>
      <c r="G1116" s="5"/>
      <c r="H1116" s="38"/>
      <c r="I1116" s="34">
        <f t="shared" si="1763"/>
        <v>0</v>
      </c>
      <c r="J1116" s="78" t="str">
        <f>IFERROR(VLOOKUP(C1116,[2]Sheet1!$D:$J,7,0),"")</f>
        <v/>
      </c>
      <c r="K1116" s="80" t="str">
        <f t="shared" si="1713"/>
        <v/>
      </c>
      <c r="L1116" s="7">
        <f t="shared" si="1764"/>
        <v>0</v>
      </c>
      <c r="M1116" s="8" t="str">
        <f t="shared" si="1765"/>
        <v/>
      </c>
      <c r="N1116" s="57" t="str">
        <f t="shared" ref="N1116" si="1772">IFERROR((K1116/H1116),"")</f>
        <v/>
      </c>
      <c r="O1116" s="9"/>
      <c r="P1116" s="10"/>
      <c r="Q1116" s="10"/>
      <c r="R1116" s="10">
        <f t="shared" ref="R1116" si="1773">O1116*P1116*Q1116</f>
        <v>0</v>
      </c>
      <c r="S1116" s="41">
        <f t="shared" si="1741"/>
        <v>0</v>
      </c>
      <c r="W1116" s="190"/>
      <c r="Y1116" s="42"/>
      <c r="Z1116" s="140"/>
      <c r="AA1116" s="206"/>
      <c r="AB1116"/>
      <c r="AC1116"/>
      <c r="AD1116"/>
      <c r="AE1116"/>
      <c r="AF1116"/>
    </row>
    <row r="1117" spans="1:33" ns3:dyDescent="0.3">
      <c r="A1117" s="58"/>
      <c r="B1117" s="2"/>
      <c r="C1117" s="62"/>
      <c r="D1117" s="166" t="str">
        <f t="shared" ref="D1117:D1118" si="1774">IFERROR((F1117/E1117),"")</f>
        <v/>
      </c>
      <c r="E1117" s="4"/>
      <c r="F1117" s="3"/>
      <c r="G1117" s="5"/>
      <c r="H1117" s="6"/>
      <c r="I1117" s="34">
        <f t="shared" si="1763"/>
        <v>0</v>
      </c>
      <c r="J1117" s="78" t="str">
        <f>IFERROR(VLOOKUP(C1117,[2]Sheet1!$D:$J,7,0),"")</f>
        <v/>
      </c>
      <c r="K1117" s="80" t="str">
        <f>IFERROR((I1117+J1117),"")</f>
        <v/>
      </c>
      <c r="L1117" s="7">
        <f t="shared" si="1764"/>
        <v>0</v>
      </c>
      <c r="M1117" s="8" t="str">
        <f t="shared" si="1765"/>
        <v/>
      </c>
      <c r="N1117" s="57"/>
      <c r="O1117" s="9"/>
      <c r="P1117" s="10"/>
      <c r="Q1117" s="10"/>
      <c r="R1117" s="10"/>
      <c r="S1117" s="41">
        <f t="shared" si="1741"/>
        <v>0</v>
      </c>
      <c r="U1117" s="190"/>
      <c r="W1117" s="190"/>
      <c r="Y1117" s="42"/>
      <c r="AA1117" s="206"/>
    </row>
    <row r="1118" spans="1:33" ns3:dyDescent="0.3">
      <c r="A1118" s="58"/>
      <c r="B1118" s="2"/>
      <c r="C1118" s="62"/>
      <c r="D1118" s="166" t="str">
        <f t="shared" si="1774"/>
        <v/>
      </c>
      <c r="E1118" s="4"/>
      <c r="F1118" s="3"/>
      <c r="G1118" s="5"/>
      <c r="H1118" s="6"/>
      <c r="I1118" s="34">
        <f t="shared" si="1763"/>
        <v>0</v>
      </c>
      <c r="J1118" s="78" t="str">
        <f>IFERROR(VLOOKUP(C1118,[2]Sheet1!$D:$J,7,0),"")</f>
        <v/>
      </c>
      <c r="K1118" s="80" t="str">
        <f>IFERROR((I1118+J1118),"")</f>
        <v/>
      </c>
      <c r="L1118" s="7">
        <f t="shared" si="1764"/>
        <v>0</v>
      </c>
      <c r="M1118" s="8" t="str">
        <f t="shared" si="1765"/>
        <v/>
      </c>
      <c r="N1118" s="57"/>
      <c r="O1118" s="9"/>
      <c r="P1118" s="10"/>
      <c r="Q1118" s="10"/>
      <c r="R1118" s="10"/>
      <c r="S1118" s="41">
        <f t="shared" si="1741"/>
        <v>0</v>
      </c>
      <c r="U1118" s="190"/>
      <c r="W1118" s="190"/>
      <c r="Y1118" s="42"/>
      <c r="AA1118" s="206"/>
    </row>
    <row r="1119" spans="1:33" hidden="1" ns3:dyDescent="0.3">
      <c r="A1119" s="184" t="s">
        <v>421</v>
      </c>
      <c r="B1119" s="2" t="s">
        <v>213</v>
      </c>
      <c r="C1119" s="152"/>
      <c r="D1119" s="111" t="str">
        <f>IFERROR((F1119/E1119),"")</f>
        <v/>
      </c>
      <c r="E1119" s="4"/>
      <c r="F1119" s="17"/>
      <c r="G1119" s="5"/>
      <c r="H1119" s="6"/>
      <c r="I1119" s="34">
        <f t="shared" si="1763"/>
        <v>0</v>
      </c>
      <c r="J1119" s="78" t="str">
        <f>IFERROR(VLOOKUP(C1119,[2]Sheet1!$D:$J,7,0),"")</f>
        <v/>
      </c>
      <c r="K1119" s="80" t="str">
        <f t="shared" ref="K1119:K1121" si="1775">IFERROR((I1119+J1119),"")</f>
        <v/>
      </c>
      <c r="L1119" s="7">
        <f t="shared" si="1764"/>
        <v>0</v>
      </c>
      <c r="M1119" s="8" t="str">
        <f t="shared" si="1765"/>
        <v/>
      </c>
      <c r="N1119" s="57" t="str">
        <f>IFERROR((K1119/H1119),"")</f>
        <v/>
      </c>
      <c r="O1119" s="9"/>
      <c r="P1119" s="10"/>
      <c r="Q1119" s="10"/>
      <c r="R1119" s="10">
        <f>O1119*P1119*Q1119</f>
        <v>0</v>
      </c>
      <c r="S1119" s="41">
        <f t="shared" si="1741"/>
        <v>0</v>
      </c>
      <c r="W1119" s="190"/>
      <c r="Y1119" s="42"/>
      <c r="AA1119" s="206" t="str">
        <f>IFERROR(H1119*7.5/E1119/7,"")</f>
        <v/>
      </c>
    </row>
    <row r="1120" spans="1:33" hidden="1" ns3:dyDescent="0.3">
      <c r="A1120" s="2"/>
      <c r="B1120" s="11"/>
      <c r="C1120" s="262" t="s">
        <v>467</v>
      </c>
      <c r="D1120" s="166" t="str">
        <f>IFERROR((F1120/E1120),"")</f>
        <v/>
      </c>
      <c r="E1120" s="4">
        <v>1</v>
      </c>
      <c r="F1120" s="3" t="str">
        <f>IFERROR((L1120-K1120),"")</f>
        <v/>
      </c>
      <c r="G1120" s="5">
        <v>10</v>
      </c>
      <c r="H1120" s="39" t="e">
        <f>ROUNDUP(SUMPRODUCT(B1121,C1121)/1000,2)</f>
        <v>#N/A</v>
      </c>
      <c r="I1120" s="34">
        <f t="shared" si="1763"/>
        <v>0</v>
      </c>
      <c r="J1120" s="78" t="str">
        <f>IFERROR(VLOOKUP(C1120,[2]Sheet1!$D:$J,7,0),"")</f>
        <v/>
      </c>
      <c r="K1120" s="80" t="str">
        <f t="shared" si="1775"/>
        <v/>
      </c>
      <c r="L1120" s="7" t="str">
        <f t="shared" si="1764"/>
        <v/>
      </c>
      <c r="M1120" s="8" t="str">
        <f t="shared" si="1765"/>
        <v/>
      </c>
      <c r="N1120" s="57" t="str">
        <f>IFERROR((K1120/H1120),"")</f>
        <v/>
      </c>
      <c r="P1120" s="1"/>
      <c r="Q1120" s="1">
        <v>35427</v>
      </c>
      <c r="R1120" s="1"/>
      <c r="S1120" s="41">
        <f t="shared" si="1741"/>
        <v>0</v>
      </c>
      <c r="V1120" s="183"/>
      <c r="X1120" s="183"/>
      <c r="Y1120" s="42"/>
      <c r="AA1120" s="206"/>
      <c r="AB1120" s="206"/>
      <c r="AC1120" s="206"/>
      <c r="AD1120" s="206"/>
      <c r="AE1120" s="206"/>
      <c r="AF1120" s="206"/>
      <c r="AG1120" s="206"/>
    </row>
    <row r="1121" spans="1:32" hidden="1" ns3:dyDescent="0.3">
      <c r="A1121" s="280" t="s">
        <v>493</v>
      </c>
      <c r="B1121" s="11" t="e">
        <f>ROUNDUP(HLOOKUP(A1121,'야채 계산기'!$2:$3,2,0),0)</f>
        <v>#N/A</v>
      </c>
      <c r="C1121" s="164">
        <v>1</v>
      </c>
      <c r="D1121" s="166" t="str">
        <f t="shared" ref="D1121:D1125" si="1776">IFERROR((F1121/E1121),"")</f>
        <v/>
      </c>
      <c r="E1121" s="4"/>
      <c r="F1121" s="3"/>
      <c r="G1121" s="5"/>
      <c r="H1121" s="38"/>
      <c r="I1121" s="34">
        <f t="shared" si="1763"/>
        <v>0</v>
      </c>
      <c r="J1121" s="78" t="str">
        <f>IFERROR(VLOOKUP(C1121,[2]Sheet1!$D:$J,7,0),"")</f>
        <v/>
      </c>
      <c r="K1121" s="80" t="str">
        <f t="shared" si="1775"/>
        <v/>
      </c>
      <c r="L1121" s="7">
        <f t="shared" si="1764"/>
        <v>0</v>
      </c>
      <c r="M1121" s="8" t="str">
        <f t="shared" si="1765"/>
        <v/>
      </c>
      <c r="N1121" s="57" t="str">
        <f t="shared" ref="N1121" si="1777">IFERROR((K1121/H1121),"")</f>
        <v/>
      </c>
      <c r="O1121" s="9"/>
      <c r="P1121" s="10"/>
      <c r="Q1121" s="10"/>
      <c r="R1121" s="10">
        <f t="shared" ref="R1121" si="1778">O1121*P1121*Q1121</f>
        <v>0</v>
      </c>
      <c r="S1121" s="41">
        <f>SUM(Y1121,T1121:X1121)</f>
        <v>0</v>
      </c>
      <c r="W1121" s="190"/>
      <c r="X1121" s="137"/>
      <c r="Y1121" s="42"/>
      <c r="Z1121" s="140"/>
      <c r="AA1121" s="206"/>
      <c r="AB1121"/>
      <c r="AC1121"/>
      <c r="AD1121"/>
      <c r="AE1121"/>
      <c r="AF1121"/>
    </row>
    <row r="1122" spans="1:32" hidden="1" ns3:dyDescent="0.3">
      <c r="A1122" s="2"/>
      <c r="B1122" s="11"/>
      <c r="C1122" s="164" t="s">
        <v>521</v>
      </c>
      <c r="D1122" s="166" t="str">
        <f>IFERROR((F1122/E1122),"")</f>
        <v/>
      </c>
      <c r="E1122" s="4">
        <v>1</v>
      </c>
      <c r="F1122" s="3" t="str">
        <f>IFERROR((L1122-K1122),"")</f>
        <v/>
      </c>
      <c r="G1122" s="5">
        <v>6.5</v>
      </c>
      <c r="H1122" s="39">
        <f>ROUNDUP(SUMPRODUCT(B1123,C1123)/1000,2)</f>
        <v>1.17</v>
      </c>
      <c r="I1122" s="34">
        <f t="shared" ref="I1122:I1123" si="1779">IFERROR((S1122*E1122),"")</f>
        <v>0</v>
      </c>
      <c r="J1122" s="78" t="str">
        <f>IFERROR(VLOOKUP(C1122,[2]Sheet1!$D:$J,7,0),"")</f>
        <v/>
      </c>
      <c r="K1122" s="80" t="str">
        <f t="shared" ref="K1122:K1123" si="1780">IFERROR((I1122+J1122),"")</f>
        <v/>
      </c>
      <c r="L1122" s="7">
        <f t="shared" ref="L1122:L1123" si="1781">IFERROR((G1122*H1122),"")</f>
        <v>7.6049999999999995</v>
      </c>
      <c r="M1122" s="8" t="str">
        <f t="shared" ref="M1122:M1123" si="1782">IFERROR(K1122-L1122,"")</f>
        <v/>
      </c>
      <c r="N1122" s="57" t="str">
        <f>IFERROR((K1122/H1122),"")</f>
        <v/>
      </c>
      <c r="P1122" s="1"/>
      <c r="Q1122" s="1">
        <v>39100</v>
      </c>
      <c r="R1122" s="1"/>
      <c r="S1122" s="41">
        <f>SUM(Y1122,T1122:X1122)</f>
        <v>0</v>
      </c>
      <c r="V1122" s="183"/>
      <c r="X1122" s="183"/>
      <c r="Y1122" s="42"/>
      <c r="AA1122" s="206"/>
    </row>
    <row r="1123" spans="1:32" hidden="1" ns3:dyDescent="0.3">
      <c r="A1123" s="43" t="s">
        <v>624</v>
      </c>
      <c r="B1123" s="11">
        <f>ROUNDUP(HLOOKUP(A1123,'야채 계산기'!$2:$3,2,0),0)</f>
        <v>1170</v>
      </c>
      <c r="C1123" s="164">
        <v>1</v>
      </c>
      <c r="D1123" s="166" t="str">
        <f t="shared" ref="D1123" si="1783">IFERROR((F1123/E1123),"")</f>
        <v/>
      </c>
      <c r="E1123" s="4"/>
      <c r="F1123" s="3"/>
      <c r="G1123" s="5"/>
      <c r="H1123" s="38"/>
      <c r="I1123" s="34">
        <f t="shared" si="1779"/>
        <v>0</v>
      </c>
      <c r="J1123" s="78" t="str">
        <f>IFERROR(VLOOKUP(C1123,[2]Sheet1!$D:$J,7,0),"")</f>
        <v/>
      </c>
      <c r="K1123" s="80" t="str">
        <f t="shared" si="1780"/>
        <v/>
      </c>
      <c r="L1123" s="7">
        <f t="shared" si="1781"/>
        <v>0</v>
      </c>
      <c r="M1123" s="8" t="str">
        <f t="shared" si="1782"/>
        <v/>
      </c>
      <c r="N1123" s="57" t="str">
        <f t="shared" ref="N1123" si="1784">IFERROR((K1123/H1123),"")</f>
        <v/>
      </c>
      <c r="O1123" s="9"/>
      <c r="P1123" s="10"/>
      <c r="Q1123" s="10"/>
      <c r="R1123" s="10">
        <f t="shared" ref="R1123" si="1785">O1123*P1123*Q1123</f>
        <v>0</v>
      </c>
      <c r="S1123" s="41">
        <f>SUM(AB1120,T1123:X1123)</f>
        <v>0</v>
      </c>
      <c r="W1123" s="190"/>
      <c r="AE1123"/>
      <c r="AF1123"/>
    </row>
    <row r="1124" spans="1:32" hidden="1" ns3:dyDescent="0.3">
      <c r="A1124" s="58"/>
      <c r="B1124" s="2"/>
      <c r="C1124" s="62"/>
      <c r="D1124" s="166" t="str">
        <f t="shared" si="1776"/>
        <v/>
      </c>
      <c r="E1124" s="4"/>
      <c r="F1124" s="3"/>
      <c r="G1124" s="5"/>
      <c r="H1124" s="6"/>
      <c r="I1124" s="34">
        <f t="shared" si="1763"/>
        <v>0</v>
      </c>
      <c r="J1124" s="78" t="str">
        <f>IFERROR(VLOOKUP(C1124,[2]Sheet1!$D:$J,7,0),"")</f>
        <v/>
      </c>
      <c r="K1124" s="80" t="str">
        <f>IFERROR((I1124+J1124),"")</f>
        <v/>
      </c>
      <c r="L1124" s="7">
        <f t="shared" si="1764"/>
        <v>0</v>
      </c>
      <c r="M1124" s="8" t="str">
        <f t="shared" si="1765"/>
        <v/>
      </c>
      <c r="N1124" s="57"/>
      <c r="O1124" s="9"/>
      <c r="P1124" s="10"/>
      <c r="Q1124" s="10"/>
      <c r="R1124" s="10"/>
      <c r="S1124" s="41">
        <f t="shared" si="1741"/>
        <v>0</v>
      </c>
      <c r="U1124" s="190"/>
      <c r="W1124" s="190"/>
      <c r="X1124" s="190"/>
      <c r="Y1124" s="42"/>
      <c r="AA1124" s="206"/>
    </row>
    <row r="1125" spans="1:32" ns3:dyDescent="0.3">
      <c r="A1125" s="58"/>
      <c r="B1125" s="2"/>
      <c r="C1125" s="62"/>
      <c r="D1125" s="166" t="str">
        <f t="shared" si="1776"/>
        <v/>
      </c>
      <c r="E1125" s="4"/>
      <c r="F1125" s="3"/>
      <c r="G1125" s="5"/>
      <c r="H1125" s="6"/>
      <c r="I1125" s="34">
        <f t="shared" si="1763"/>
        <v>0</v>
      </c>
      <c r="J1125" s="78" t="str">
        <f>IFERROR(VLOOKUP(C1125,[2]Sheet1!$D:$J,7,0),"")</f>
        <v/>
      </c>
      <c r="K1125" s="80" t="str">
        <f>IFERROR((I1125+J1125),"")</f>
        <v/>
      </c>
      <c r="L1125" s="7">
        <f t="shared" si="1764"/>
        <v>0</v>
      </c>
      <c r="M1125" s="8" t="str">
        <f t="shared" si="1765"/>
        <v/>
      </c>
      <c r="N1125" s="57"/>
      <c r="O1125" s="9"/>
      <c r="P1125" s="10"/>
      <c r="Q1125" s="10"/>
      <c r="R1125" s="10"/>
      <c r="S1125" s="41">
        <f t="shared" si="1741"/>
        <v>0</v>
      </c>
      <c r="U1125" s="190"/>
      <c r="W1125" s="190"/>
      <c r="X1125" s="137"/>
      <c r="Y1125" s="42"/>
      <c r="Z1125" s="140"/>
      <c r="AA1125" s="206"/>
      <c r="AB1125"/>
      <c r="AC1125"/>
      <c r="AD1125"/>
      <c r="AE1125"/>
      <c r="AF1125"/>
    </row>
    <row r="1126" spans="1:32" ns3:dyDescent="0.3">
      <c r="A1126" s="184" t="s">
        <v>422</v>
      </c>
      <c r="B1126" s="2" t="s">
        <v>213</v>
      </c>
      <c r="C1126" s="152"/>
      <c r="D1126" s="111" t="str">
        <f>IFERROR((F1126/E1126),"")</f>
        <v/>
      </c>
      <c r="E1126" s="4"/>
      <c r="F1126" s="17"/>
      <c r="G1126" s="5"/>
      <c r="H1126" s="6"/>
      <c r="I1126" s="34">
        <f t="shared" si="1763"/>
        <v>0</v>
      </c>
      <c r="J1126" s="78" t="str">
        <f>IFERROR(VLOOKUP(C1126,[2]Sheet1!$D:$J,7,0),"")</f>
        <v/>
      </c>
      <c r="K1126" s="80" t="str">
        <f t="shared" ref="K1126:K1161" si="1786">IFERROR((I1126+J1126),"")</f>
        <v/>
      </c>
      <c r="L1126" s="7">
        <f t="shared" si="1764"/>
        <v>0</v>
      </c>
      <c r="M1126" s="8" t="str">
        <f t="shared" si="1765"/>
        <v/>
      </c>
      <c r="N1126" s="57" t="str">
        <f>IFERROR((K1126/H1126),"")</f>
        <v/>
      </c>
      <c r="O1126" s="9"/>
      <c r="P1126" s="10"/>
      <c r="Q1126" s="10"/>
      <c r="R1126" s="10">
        <f>O1126*P1126*Q1126</f>
        <v>0</v>
      </c>
      <c r="S1126" s="41">
        <f t="shared" si="1741"/>
        <v>0</v>
      </c>
      <c r="W1126" s="190"/>
      <c r="Y1126" s="42"/>
      <c r="AA1126" s="206"/>
    </row>
    <row r="1127" spans="1:32" ns3:dyDescent="0.3">
      <c r="A1127" s="2"/>
      <c r="B1127" s="11"/>
      <c r="C1127" s="164" t="s">
        <v>470</v>
      </c>
      <c r="D1127" s="166" t="str">
        <f>IFERROR((F1127/E1127),"")</f>
        <v/>
      </c>
      <c r="E1127" s="4">
        <v>1</v>
      </c>
      <c r="F1127" s="3" t="str">
        <f>IFERROR((L1127-K1127),"")</f>
        <v/>
      </c>
      <c r="G1127" s="5">
        <v>10</v>
      </c>
      <c r="H1127" s="39">
        <f>ROUNDUP(SUMPRODUCT(B1128,C1128)/3000,2)</f>
        <v>1.21</v>
      </c>
      <c r="I1127" s="34">
        <f t="shared" ref="I1127:I1140" si="1787">IFERROR((S1127*E1127),"")</f>
        <v>8</v>
      </c>
      <c r="J1127" s="78" t="str">
        <f>IFERROR(VLOOKUP(C1127,[2]Sheet1!$D:$J,7,0),"")</f>
        <v/>
      </c>
      <c r="K1127" s="80" t="str">
        <f t="shared" ref="K1127:K1140" si="1788">IFERROR((I1127+J1127),"")</f>
        <v/>
      </c>
      <c r="L1127" s="7">
        <f t="shared" ref="L1127:L1140" si="1789">IFERROR((G1127*H1127),"")</f>
        <v>12.1</v>
      </c>
      <c r="M1127" s="8" t="str">
        <f t="shared" ref="M1127:M1140" si="1790">IFERROR(K1127-L1127,"")</f>
        <v/>
      </c>
      <c r="N1127" s="57" t="str">
        <f>IFERROR((K1127/H1127),"")</f>
        <v/>
      </c>
      <c r="P1127" s="1"/>
      <c r="Q1127" s="1">
        <v>35520</v>
      </c>
      <c r="R1127" s="1"/>
      <c r="S1127" s="41">
        <f t="shared" si="1741"/>
        <v>8</v>
      </c>
      <c r="T1127" s="1">
        <v>2</v>
      </c>
      <c r="V1127" s="173">
        <v>6</v>
      </c>
      <c r="W1127" s="190"/>
      <c r="X1127" s="183"/>
      <c r="Y1127" s="42"/>
      <c r="Z1127" s="140"/>
      <c r="AA1127" s="206"/>
      <c r="AB1127"/>
      <c r="AC1127"/>
      <c r="AD1127"/>
      <c r="AE1127"/>
      <c r="AF1127"/>
    </row>
    <row r="1128" spans="1:32" ns3:dyDescent="0.3">
      <c r="A1128" s="43" t="s">
        <v>391</v>
      </c>
      <c r="B1128" s="11">
        <f>ROUNDUP(HLOOKUP(A1128,'야채 계산기'!$2:$3,2,0),0)</f>
        <v>3620</v>
      </c>
      <c r="C1128" s="164">
        <v>1</v>
      </c>
      <c r="D1128" s="166" t="str">
        <f t="shared" ref="D1128" si="1791">IFERROR((F1128/E1128),"")</f>
        <v/>
      </c>
      <c r="E1128" s="4"/>
      <c r="F1128" s="3"/>
      <c r="G1128" s="5"/>
      <c r="H1128" s="38"/>
      <c r="I1128" s="34">
        <f t="shared" si="1787"/>
        <v>0</v>
      </c>
      <c r="J1128" s="78" t="str">
        <f>IFERROR(VLOOKUP(C1128,[2]Sheet1!$D:$J,7,0),"")</f>
        <v/>
      </c>
      <c r="K1128" s="80" t="str">
        <f t="shared" si="1788"/>
        <v/>
      </c>
      <c r="L1128" s="7">
        <f t="shared" si="1789"/>
        <v>0</v>
      </c>
      <c r="M1128" s="8" t="str">
        <f t="shared" si="1790"/>
        <v/>
      </c>
      <c r="N1128" s="57" t="str">
        <f t="shared" ref="N1128" si="1792">IFERROR((K1128/H1128),"")</f>
        <v/>
      </c>
      <c r="O1128" s="9"/>
      <c r="P1128" s="10"/>
      <c r="Q1128" s="10"/>
      <c r="R1128" s="10">
        <f t="shared" ref="R1128" si="1793">O1128*P1128*Q1128</f>
        <v>0</v>
      </c>
      <c r="S1128" s="41">
        <f t="shared" si="1741"/>
        <v>0</v>
      </c>
      <c r="V1128" s="137"/>
      <c r="W1128" s="190"/>
      <c r="X1128" s="137"/>
      <c r="Y1128" s="42"/>
      <c r="AA1128" s="206"/>
    </row>
    <row r="1129" spans="1:32" ns3:dyDescent="0.3">
      <c r="A1129" s="2"/>
      <c r="B1129" s="11"/>
      <c r="C1129" s="310" t="s">
        <v>729</v>
      </c>
      <c r="D1129" s="166" t="str">
        <f>IFERROR((F1129/E1129),"")</f>
        <v/>
      </c>
      <c r="E1129" s="4">
        <v>1</v>
      </c>
      <c r="F1129" s="3" t="str">
        <f>IFERROR((L1129-K1129),"")</f>
        <v/>
      </c>
      <c r="G1129" s="5">
        <f>G1127</f>
        <v>10</v>
      </c>
      <c r="H1129" s="39">
        <f>ROUNDUP(SUMPRODUCT(B1130,C1130)/3000,2)</f>
        <v>0.55000000000000004</v>
      </c>
      <c r="I1129" s="34">
        <f t="shared" ref="I1129:I1130" si="1794">IFERROR((S1129*E1129),"")</f>
        <v>3</v>
      </c>
      <c r="J1129" s="78" t="str">
        <f>IFERROR(VLOOKUP(C1129,[2]Sheet1!$D:$J,7,0),"")</f>
        <v/>
      </c>
      <c r="K1129" s="80" t="str">
        <f t="shared" ref="K1129:K1130" si="1795">IFERROR((I1129+J1129),"")</f>
        <v/>
      </c>
      <c r="L1129" s="7">
        <f t="shared" ref="L1129:L1130" si="1796">IFERROR((G1129*H1129),"")</f>
        <v>5.5</v>
      </c>
      <c r="M1129" s="8" t="str">
        <f t="shared" ref="M1129:M1130" si="1797">IFERROR(K1129-L1129,"")</f>
        <v/>
      </c>
      <c r="N1129" s="57" t="str">
        <f>IFERROR((K1129/H1129),"")</f>
        <v/>
      </c>
      <c r="P1129" s="1"/>
      <c r="Q1129" s="1">
        <v>32694</v>
      </c>
      <c r="R1129" s="1"/>
      <c r="S1129" s="41">
        <f t="shared" ref="S1129:S1130" si="1798">SUM(Y1129,T1129:X1129)</f>
        <v>3</v>
      </c>
      <c r="V1129" s="173">
        <v>3</v>
      </c>
      <c r="W1129" s="190"/>
      <c r="X1129" s="183"/>
      <c r="Y1129" s="42"/>
      <c r="Z1129" s="140"/>
      <c r="AA1129" s="206"/>
      <c r="AB1129"/>
      <c r="AC1129"/>
      <c r="AD1129"/>
      <c r="AE1129"/>
      <c r="AF1129"/>
    </row>
    <row r="1130" spans="1:32" ns3:dyDescent="0.3">
      <c r="A1130" s="43" t="s">
        <v>730</v>
      </c>
      <c r="B1130" s="11">
        <f>ROUNDUP(HLOOKUP(A1130,'야채 계산기'!$2:$3,2,0),0)</f>
        <v>1630</v>
      </c>
      <c r="C1130" s="164">
        <v>1</v>
      </c>
      <c r="D1130" s="166" t="str">
        <f t="shared" ref="D1130" si="1799">IFERROR((F1130/E1130),"")</f>
        <v/>
      </c>
      <c r="E1130" s="4"/>
      <c r="F1130" s="3"/>
      <c r="G1130" s="5"/>
      <c r="H1130" s="38"/>
      <c r="I1130" s="34">
        <f t="shared" si="1794"/>
        <v>0</v>
      </c>
      <c r="J1130" s="78" t="str">
        <f>IFERROR(VLOOKUP(C1130,[2]Sheet1!$D:$J,7,0),"")</f>
        <v/>
      </c>
      <c r="K1130" s="80" t="str">
        <f t="shared" si="1795"/>
        <v/>
      </c>
      <c r="L1130" s="7">
        <f t="shared" si="1796"/>
        <v>0</v>
      </c>
      <c r="M1130" s="8" t="str">
        <f t="shared" si="1797"/>
        <v/>
      </c>
      <c r="N1130" s="57" t="str">
        <f t="shared" ref="N1130" si="1800">IFERROR((K1130/H1130),"")</f>
        <v/>
      </c>
      <c r="O1130" s="9"/>
      <c r="P1130" s="10"/>
      <c r="Q1130" s="10"/>
      <c r="R1130" s="10">
        <f t="shared" ref="R1130" si="1801">O1130*P1130*Q1130</f>
        <v>0</v>
      </c>
      <c r="S1130" s="41">
        <f t="shared" si="1798"/>
        <v>0</v>
      </c>
      <c r="V1130" s="137"/>
      <c r="W1130" s="190"/>
      <c r="X1130" s="137"/>
      <c r="Y1130" s="42"/>
      <c r="AA1130" s="206"/>
    </row>
    <row r="1131" spans="1:32" ns3:dyDescent="0.3">
      <c r="A1131" s="2"/>
      <c r="B1131" s="11"/>
      <c r="C1131" s="164" t="s">
        <v>472</v>
      </c>
      <c r="D1131" s="166" t="str">
        <f>IFERROR((F1131/E1131),"")</f>
        <v/>
      </c>
      <c r="E1131" s="4">
        <v>1</v>
      </c>
      <c r="F1131" s="3" t="str">
        <f>IFERROR((L1131-K1131),"")</f>
        <v/>
      </c>
      <c r="G1131" s="5">
        <f>G1127</f>
        <v>10</v>
      </c>
      <c r="H1131" s="39">
        <f>ROUNDUP(SUMPRODUCT(B1132,C1132)/3000,2)</f>
        <v>1.64</v>
      </c>
      <c r="I1131" s="34">
        <f t="shared" si="1787"/>
        <v>10</v>
      </c>
      <c r="J1131" s="78" t="str">
        <f>IFERROR(VLOOKUP(C1131,[2]Sheet1!$D:$J,7,0),"")</f>
        <v/>
      </c>
      <c r="K1131" s="80" t="str">
        <f t="shared" si="1788"/>
        <v/>
      </c>
      <c r="L1131" s="7">
        <f t="shared" si="1789"/>
        <v>16.399999999999999</v>
      </c>
      <c r="M1131" s="8" t="str">
        <f t="shared" si="1790"/>
        <v/>
      </c>
      <c r="N1131" s="57" t="str">
        <f>IFERROR((K1131/H1131),"")</f>
        <v/>
      </c>
      <c r="P1131" s="1"/>
      <c r="Q1131" s="1">
        <v>35445</v>
      </c>
      <c r="R1131" s="1"/>
      <c r="S1131" s="41">
        <f t="shared" si="1741"/>
        <v>10</v>
      </c>
      <c r="V1131" s="173">
        <v>10</v>
      </c>
      <c r="W1131" s="190"/>
      <c r="X1131" s="183"/>
      <c r="Y1131" s="42"/>
      <c r="Z1131" s="140"/>
      <c r="AA1131" s="206"/>
      <c r="AB1131"/>
      <c r="AC1131"/>
      <c r="AD1131"/>
      <c r="AE1131"/>
      <c r="AF1131"/>
    </row>
    <row r="1132" spans="1:32" ns3:dyDescent="0.3">
      <c r="A1132" s="43" t="s">
        <v>297</v>
      </c>
      <c r="B1132" s="11">
        <f>ROUNDUP(HLOOKUP(A1132,'야채 계산기'!$2:$3,2,0),0)</f>
        <v>4900</v>
      </c>
      <c r="C1132" s="164">
        <v>1</v>
      </c>
      <c r="D1132" s="166" t="str">
        <f t="shared" ref="D1132" si="1802">IFERROR((F1132/E1132),"")</f>
        <v/>
      </c>
      <c r="E1132" s="4"/>
      <c r="F1132" s="3"/>
      <c r="G1132" s="5"/>
      <c r="H1132" s="38"/>
      <c r="I1132" s="34">
        <f t="shared" si="1787"/>
        <v>0</v>
      </c>
      <c r="J1132" s="78" t="str">
        <f>IFERROR(VLOOKUP(C1132,[2]Sheet1!$D:$J,7,0),"")</f>
        <v/>
      </c>
      <c r="K1132" s="80" t="str">
        <f t="shared" si="1788"/>
        <v/>
      </c>
      <c r="L1132" s="7">
        <f t="shared" si="1789"/>
        <v>0</v>
      </c>
      <c r="M1132" s="8" t="str">
        <f t="shared" si="1790"/>
        <v/>
      </c>
      <c r="N1132" s="57" t="str">
        <f t="shared" ref="N1132" si="1803">IFERROR((K1132/H1132),"")</f>
        <v/>
      </c>
      <c r="O1132" s="9"/>
      <c r="P1132" s="10"/>
      <c r="Q1132" s="10"/>
      <c r="R1132" s="10">
        <f t="shared" ref="R1132" si="1804">O1132*P1132*Q1132</f>
        <v>0</v>
      </c>
      <c r="S1132" s="41">
        <f t="shared" si="1741"/>
        <v>0</v>
      </c>
      <c r="V1132" s="137"/>
      <c r="W1132" s="190"/>
      <c r="X1132" s="137"/>
      <c r="Y1132" s="42"/>
      <c r="AA1132" s="206"/>
    </row>
    <row r="1133" spans="1:32" ns3:dyDescent="0.3">
      <c r="A1133" s="2"/>
      <c r="B1133" s="11"/>
      <c r="C1133" s="164" t="s">
        <v>471</v>
      </c>
      <c r="D1133" s="166" t="str">
        <f>IFERROR((F1133/E1133),"")</f>
        <v/>
      </c>
      <c r="E1133" s="4">
        <v>1</v>
      </c>
      <c r="F1133" s="3" t="str">
        <f>IFERROR((L1133-K1133),"")</f>
        <v/>
      </c>
      <c r="G1133" s="5">
        <f>G1131</f>
        <v>10</v>
      </c>
      <c r="H1133" s="39">
        <f>ROUNDUP(SUMPRODUCT(B1134,C1134)/3000,2)</f>
        <v>2.0099999999999998</v>
      </c>
      <c r="I1133" s="34">
        <f t="shared" si="1787"/>
        <v>13</v>
      </c>
      <c r="J1133" s="78" t="str">
        <f>IFERROR(VLOOKUP(C1133,[2]Sheet1!$D:$J,7,0),"")</f>
        <v/>
      </c>
      <c r="K1133" s="80" t="str">
        <f t="shared" si="1788"/>
        <v/>
      </c>
      <c r="L1133" s="7">
        <f t="shared" si="1789"/>
        <v>20.099999999999998</v>
      </c>
      <c r="M1133" s="8" t="str">
        <f t="shared" si="1790"/>
        <v/>
      </c>
      <c r="N1133" s="57" t="str">
        <f>IFERROR((K1133/H1133),"")</f>
        <v/>
      </c>
      <c r="P1133" s="1"/>
      <c r="Q1133" s="1">
        <v>35364</v>
      </c>
      <c r="R1133" s="1"/>
      <c r="S1133" s="41">
        <f t="shared" si="1741"/>
        <v>13</v>
      </c>
      <c r="V1133" s="173">
        <v>13</v>
      </c>
      <c r="W1133" s="190"/>
      <c r="X1133" s="183"/>
      <c r="Y1133" s="42"/>
      <c r="Z1133" s="140"/>
      <c r="AA1133" s="206"/>
      <c r="AB1133"/>
      <c r="AC1133"/>
      <c r="AD1133"/>
      <c r="AE1133"/>
      <c r="AF1133"/>
    </row>
    <row r="1134" spans="1:32" ns3:dyDescent="0.3">
      <c r="A1134" s="43" t="s">
        <v>318</v>
      </c>
      <c r="B1134" s="11">
        <f>ROUNDUP(HLOOKUP(A1134,'야채 계산기'!$2:$3,2,0),0)</f>
        <v>6030</v>
      </c>
      <c r="C1134" s="164">
        <v>1</v>
      </c>
      <c r="D1134" s="166" t="str">
        <f t="shared" ref="D1134" si="1805">IFERROR((F1134/E1134),"")</f>
        <v/>
      </c>
      <c r="E1134" s="4"/>
      <c r="F1134" s="3"/>
      <c r="G1134" s="5"/>
      <c r="H1134" s="38"/>
      <c r="I1134" s="34">
        <f t="shared" si="1787"/>
        <v>0</v>
      </c>
      <c r="J1134" s="78" t="str">
        <f>IFERROR(VLOOKUP(C1134,[2]Sheet1!$D:$J,7,0),"")</f>
        <v/>
      </c>
      <c r="K1134" s="80" t="str">
        <f t="shared" si="1788"/>
        <v/>
      </c>
      <c r="L1134" s="7">
        <f t="shared" si="1789"/>
        <v>0</v>
      </c>
      <c r="M1134" s="8" t="str">
        <f t="shared" si="1790"/>
        <v/>
      </c>
      <c r="N1134" s="57" t="str">
        <f t="shared" ref="N1134" si="1806">IFERROR((K1134/H1134),"")</f>
        <v/>
      </c>
      <c r="O1134" s="9"/>
      <c r="P1134" s="10"/>
      <c r="Q1134" s="10"/>
      <c r="R1134" s="10">
        <f t="shared" ref="R1134" si="1807">O1134*P1134*Q1134</f>
        <v>0</v>
      </c>
      <c r="S1134" s="41">
        <f t="shared" si="1741"/>
        <v>0</v>
      </c>
      <c r="V1134" s="137"/>
      <c r="W1134" s="190"/>
      <c r="X1134" s="137"/>
      <c r="Y1134" s="42"/>
      <c r="AA1134" s="206"/>
    </row>
    <row r="1135" spans="1:32" ht="16.5" customHeight="1" ns3:dyDescent="0.3">
      <c r="A1135" s="2"/>
      <c r="B1135" s="11"/>
      <c r="C1135" s="164" t="s">
        <v>582</v>
      </c>
      <c r="D1135" s="166" t="str">
        <f>IFERROR((F1135/E1135),"")</f>
        <v/>
      </c>
      <c r="E1135" s="4">
        <v>1</v>
      </c>
      <c r="F1135" s="3" t="str">
        <f>IFERROR((L1135-K1135),"")</f>
        <v/>
      </c>
      <c r="G1135" s="5">
        <f>G1127</f>
        <v>10</v>
      </c>
      <c r="H1135" s="39">
        <f>ROUNDUP(SUMPRODUCT(B1136,C1136)/3000,2)</f>
        <v>0.62</v>
      </c>
      <c r="I1135" s="34">
        <f>IFERROR((S1135*E1135),"")</f>
        <v>3</v>
      </c>
      <c r="J1135" s="78" t="str">
        <f>IFERROR(VLOOKUP(C1135,[2]Sheet1!$D:$J,7,0),"")</f>
        <v/>
      </c>
      <c r="K1135" s="80" t="str">
        <f>IFERROR((I1135+J1135),"")</f>
        <v/>
      </c>
      <c r="L1135" s="7">
        <f>IFERROR((G1135*H1135),"")</f>
        <v>6.2</v>
      </c>
      <c r="M1135" s="8" t="str">
        <f>IFERROR(K1135-L1135,"")</f>
        <v/>
      </c>
      <c r="N1135" s="57" t="str">
        <f>IFERROR((K1135/H1135),"")</f>
        <v/>
      </c>
      <c r="P1135" s="1"/>
      <c r="Q1135" s="1"/>
      <c r="R1135" s="1"/>
      <c r="S1135" s="41">
        <f>SUM(Y1135,T1135:X1135)</f>
        <v>3</v>
      </c>
      <c r="V1135" s="173">
        <v>3</v>
      </c>
      <c r="X1135" s="183"/>
      <c r="Y1135" s="42"/>
      <c r="Z1135" s="140"/>
      <c r="AA1135" s="206"/>
      <c r="AB1135"/>
      <c r="AC1135"/>
      <c r="AD1135"/>
      <c r="AE1135"/>
      <c r="AF1135"/>
    </row>
    <row r="1136" spans="1:32" ht="16.5" customHeight="1" ns3:dyDescent="0.3">
      <c r="A1136" s="279" t="s">
        <v>581</v>
      </c>
      <c r="B1136" s="11">
        <f>ROUNDUP(HLOOKUP(A1136,'야채 계산기'!$2:$3,2,0),0)</f>
        <v>1840</v>
      </c>
      <c r="C1136" s="164">
        <v>1</v>
      </c>
      <c r="D1136" s="166" t="str">
        <f t="shared" ref="D1136" si="1808">IFERROR((F1136/E1136),"")</f>
        <v/>
      </c>
      <c r="E1136" s="4"/>
      <c r="F1136" s="3"/>
      <c r="G1136" s="5"/>
      <c r="H1136" s="38"/>
      <c r="I1136" s="34">
        <f>IFERROR((S1136*E1136),"")</f>
        <v>0</v>
      </c>
      <c r="J1136" s="78" t="str">
        <f>IFERROR(VLOOKUP(C1136,[2]Sheet1!$D:$J,7,0),"")</f>
        <v/>
      </c>
      <c r="K1136" s="80" t="str">
        <f>IFERROR((I1136+J1136),"")</f>
        <v/>
      </c>
      <c r="L1136" s="7">
        <f>IFERROR((G1136*H1136),"")</f>
        <v>0</v>
      </c>
      <c r="M1136" s="8" t="str">
        <f>IFERROR(K1136-L1136,"")</f>
        <v/>
      </c>
      <c r="N1136" s="57" t="str">
        <f t="shared" ref="N1136" si="1809">IFERROR((K1136/H1136),"")</f>
        <v/>
      </c>
      <c r="O1136" s="9"/>
      <c r="P1136" s="10"/>
      <c r="Q1136" s="10"/>
      <c r="R1136" s="10">
        <f t="shared" ref="R1136" si="1810">O1136*P1136*Q1136</f>
        <v>0</v>
      </c>
      <c r="S1136" s="41">
        <f>SUM(Y1136,T1136:X1136)</f>
        <v>0</v>
      </c>
      <c r="V1136" s="137"/>
      <c r="W1136" s="190"/>
      <c r="X1136" s="137"/>
      <c r="Y1136" s="42"/>
      <c r="AA1136" s="206"/>
    </row>
    <row r="1137" spans="1:32" ns3:dyDescent="0.3">
      <c r="A1137" s="2"/>
      <c r="B1137" s="11"/>
      <c r="C1137" s="164" t="s">
        <v>479</v>
      </c>
      <c r="D1137" s="166" t="str">
        <f>IFERROR((F1137/E1137),"")</f>
        <v/>
      </c>
      <c r="E1137" s="4">
        <v>1</v>
      </c>
      <c r="F1137" s="3" t="str">
        <f>IFERROR((L1137-K1137),"")</f>
        <v/>
      </c>
      <c r="G1137" s="5">
        <f>G1135</f>
        <v>10</v>
      </c>
      <c r="H1137" s="39">
        <f>ROUNDUP(SUMPRODUCT(B1138,C1138)/1500,2)</f>
        <v>0.72</v>
      </c>
      <c r="I1137" s="34">
        <f t="shared" si="1787"/>
        <v>5</v>
      </c>
      <c r="J1137" s="78" t="str">
        <f>IFERROR(VLOOKUP(C1137,[2]Sheet1!$D:$J,7,0),"")</f>
        <v/>
      </c>
      <c r="K1137" s="80" t="str">
        <f t="shared" si="1788"/>
        <v/>
      </c>
      <c r="L1137" s="7">
        <f t="shared" si="1789"/>
        <v>7.1999999999999993</v>
      </c>
      <c r="M1137" s="8" t="str">
        <f t="shared" si="1790"/>
        <v/>
      </c>
      <c r="N1137" s="57" t="str">
        <f>IFERROR((K1137/H1137),"")</f>
        <v/>
      </c>
      <c r="P1137" s="1"/>
      <c r="Q1137" s="1">
        <v>65596</v>
      </c>
      <c r="R1137" s="1"/>
      <c r="S1137" s="41">
        <f t="shared" si="1741"/>
        <v>5</v>
      </c>
      <c r="V1137" s="183">
        <v>5</v>
      </c>
      <c r="W1137" s="190"/>
      <c r="X1137" s="183"/>
      <c r="Y1137" s="42"/>
      <c r="Z1137" s="140"/>
      <c r="AA1137" s="206"/>
      <c r="AB1137"/>
      <c r="AC1137"/>
      <c r="AD1137"/>
      <c r="AE1137"/>
      <c r="AF1137"/>
    </row>
    <row r="1138" spans="1:32" ns3:dyDescent="0.3">
      <c r="A1138" s="43" t="s">
        <v>496</v>
      </c>
      <c r="B1138" s="11">
        <f>ROUNDUP(HLOOKUP(A1138,'야채 계산기'!$2:$3,2,0),0)</f>
        <v>1080</v>
      </c>
      <c r="C1138" s="164">
        <v>1</v>
      </c>
      <c r="D1138" s="166" t="str">
        <f t="shared" ref="D1138" si="1811">IFERROR((F1138/E1138),"")</f>
        <v/>
      </c>
      <c r="E1138" s="4"/>
      <c r="F1138" s="3"/>
      <c r="G1138" s="5"/>
      <c r="H1138" s="38"/>
      <c r="I1138" s="34">
        <f t="shared" si="1787"/>
        <v>0</v>
      </c>
      <c r="J1138" s="78" t="str">
        <f>IFERROR(VLOOKUP(C1138,[2]Sheet1!$D:$J,7,0),"")</f>
        <v/>
      </c>
      <c r="K1138" s="80" t="str">
        <f t="shared" si="1788"/>
        <v/>
      </c>
      <c r="L1138" s="7">
        <f t="shared" si="1789"/>
        <v>0</v>
      </c>
      <c r="M1138" s="8" t="str">
        <f t="shared" si="1790"/>
        <v/>
      </c>
      <c r="N1138" s="57" t="str">
        <f t="shared" ref="N1138" si="1812">IFERROR((K1138/H1138),"")</f>
        <v/>
      </c>
      <c r="O1138" s="9"/>
      <c r="P1138" s="10"/>
      <c r="Q1138" s="10"/>
      <c r="R1138" s="10">
        <f t="shared" ref="R1138" si="1813">O1138*P1138*Q1138</f>
        <v>0</v>
      </c>
      <c r="S1138" s="41">
        <f t="shared" si="1741"/>
        <v>0</v>
      </c>
      <c r="V1138" s="137"/>
      <c r="W1138" s="190"/>
      <c r="X1138" s="137"/>
      <c r="Y1138" s="42"/>
      <c r="AA1138" s="206"/>
    </row>
    <row r="1139" spans="1:32" ht="16.5" hidden="1" customHeight="1" ns3:dyDescent="0.3">
      <c r="A1139" s="2"/>
      <c r="B1139" s="11"/>
      <c r="C1139" s="274" t="s">
        <v>481</v>
      </c>
      <c r="D1139" s="166" t="str">
        <f>IFERROR((F1139/E1139),"")</f>
        <v/>
      </c>
      <c r="E1139" s="4">
        <v>1</v>
      </c>
      <c r="F1139" s="3" t="str">
        <f>IFERROR((L1139-K1139),"")</f>
        <v/>
      </c>
      <c r="G1139" s="5">
        <f>G1135</f>
        <v>10</v>
      </c>
      <c r="H1139" s="39" t="e">
        <f>ROUNDUP(SUMPRODUCT(B1140,C1140)/4000,2)</f>
        <v>#N/A</v>
      </c>
      <c r="I1139" s="34">
        <f t="shared" si="1787"/>
        <v>0</v>
      </c>
      <c r="J1139" s="78" t="str">
        <f>IFERROR(VLOOKUP(C1139,[2]Sheet1!$D:$J,7,0),"")</f>
        <v/>
      </c>
      <c r="K1139" s="80" t="str">
        <f t="shared" si="1788"/>
        <v/>
      </c>
      <c r="L1139" s="7" t="str">
        <f t="shared" si="1789"/>
        <v/>
      </c>
      <c r="M1139" s="8" t="str">
        <f t="shared" si="1790"/>
        <v/>
      </c>
      <c r="N1139" s="57" t="str">
        <f>IFERROR((K1139/H1139),"")</f>
        <v/>
      </c>
      <c r="P1139" s="1"/>
      <c r="Q1139" s="1">
        <v>25167</v>
      </c>
      <c r="R1139" s="1"/>
      <c r="S1139" s="41">
        <f t="shared" si="1741"/>
        <v>0</v>
      </c>
      <c r="V1139" s="183"/>
      <c r="W1139" s="190"/>
      <c r="X1139" s="183"/>
      <c r="Y1139" s="42"/>
      <c r="Z1139" s="140"/>
      <c r="AA1139" s="206"/>
      <c r="AB1139"/>
      <c r="AC1139"/>
      <c r="AD1139"/>
      <c r="AE1139"/>
      <c r="AF1139"/>
    </row>
    <row r="1140" spans="1:32" ht="16.5" hidden="1" customHeight="1" ns3:dyDescent="0.3">
      <c r="A1140" s="280" t="s">
        <v>306</v>
      </c>
      <c r="B1140" s="11" t="e">
        <f>ROUNDUP(HLOOKUP(A1140,'야채 계산기'!$2:$3,2,0),0)</f>
        <v>#N/A</v>
      </c>
      <c r="C1140" s="164">
        <v>1</v>
      </c>
      <c r="D1140" s="166" t="str">
        <f t="shared" ref="D1140" si="1814">IFERROR((F1140/E1140),"")</f>
        <v/>
      </c>
      <c r="E1140" s="4"/>
      <c r="F1140" s="3"/>
      <c r="G1140" s="5"/>
      <c r="H1140" s="38"/>
      <c r="I1140" s="34">
        <f t="shared" si="1787"/>
        <v>0</v>
      </c>
      <c r="J1140" s="78" t="str">
        <f>IFERROR(VLOOKUP(C1140,[2]Sheet1!$D:$J,7,0),"")</f>
        <v/>
      </c>
      <c r="K1140" s="80" t="str">
        <f t="shared" si="1788"/>
        <v/>
      </c>
      <c r="L1140" s="7">
        <f t="shared" si="1789"/>
        <v>0</v>
      </c>
      <c r="M1140" s="8" t="str">
        <f t="shared" si="1790"/>
        <v/>
      </c>
      <c r="N1140" s="57" t="str">
        <f t="shared" ref="N1140" si="1815">IFERROR((K1140/H1140),"")</f>
        <v/>
      </c>
      <c r="O1140" s="9"/>
      <c r="P1140" s="10"/>
      <c r="Q1140" s="10"/>
      <c r="R1140" s="10">
        <f t="shared" ref="R1140" si="1816">O1140*P1140*Q1140</f>
        <v>0</v>
      </c>
      <c r="S1140" s="41">
        <f t="shared" si="1741"/>
        <v>0</v>
      </c>
      <c r="V1140" s="137"/>
      <c r="W1140" s="190"/>
      <c r="X1140" s="137"/>
      <c r="Y1140" s="42"/>
      <c r="AA1140" s="206"/>
    </row>
    <row r="1141" spans="1:32" ns3:dyDescent="0.3">
      <c r="A1141" s="2"/>
      <c r="B1141" s="11"/>
      <c r="C1141" s="164" t="s">
        <v>468</v>
      </c>
      <c r="D1141" s="166" t="str">
        <f>IFERROR((F1141/E1141),"")</f>
        <v/>
      </c>
      <c r="E1141" s="4">
        <v>1</v>
      </c>
      <c r="F1141" s="3" t="str">
        <f>IFERROR((L1141-K1141),"")</f>
        <v/>
      </c>
      <c r="G1141" s="5">
        <f>G1135</f>
        <v>10</v>
      </c>
      <c r="H1141" s="39">
        <f>ROUNDUP(SUMPRODUCT(B1142,C1142)/4000,2)</f>
        <v>0.79</v>
      </c>
      <c r="I1141" s="34">
        <f t="shared" si="1763"/>
        <v>6</v>
      </c>
      <c r="J1141" s="78" t="str">
        <f>IFERROR(VLOOKUP(C1141,[2]Sheet1!$D:$J,7,0),"")</f>
        <v/>
      </c>
      <c r="K1141" s="80" t="str">
        <f t="shared" si="1786"/>
        <v/>
      </c>
      <c r="L1141" s="7">
        <f t="shared" si="1764"/>
        <v>7.9</v>
      </c>
      <c r="M1141" s="8" t="str">
        <f t="shared" si="1765"/>
        <v/>
      </c>
      <c r="N1141" s="57" t="str">
        <f>IFERROR((K1141/H1141),"")</f>
        <v/>
      </c>
      <c r="P1141" s="1"/>
      <c r="Q1141" s="1">
        <v>33750</v>
      </c>
      <c r="R1141" s="1"/>
      <c r="S1141" s="41">
        <f t="shared" si="1741"/>
        <v>6</v>
      </c>
      <c r="T1141" s="1">
        <v>1</v>
      </c>
      <c r="V1141" s="173">
        <v>5</v>
      </c>
      <c r="W1141" s="190"/>
      <c r="X1141" s="183"/>
      <c r="Y1141" s="42"/>
      <c r="Z1141" s="140"/>
      <c r="AA1141" s="206"/>
      <c r="AB1141"/>
      <c r="AC1141"/>
      <c r="AD1141"/>
      <c r="AE1141"/>
      <c r="AF1141"/>
    </row>
    <row r="1142" spans="1:32" ns3:dyDescent="0.3">
      <c r="A1142" s="43" t="s">
        <v>18</v>
      </c>
      <c r="B1142" s="11">
        <f>ROUNDUP(HLOOKUP(A1142,'야채 계산기'!$2:$3,2,0),0)</f>
        <v>3150</v>
      </c>
      <c r="C1142" s="164">
        <v>1</v>
      </c>
      <c r="D1142" s="166" t="str">
        <f t="shared" ref="D1142" si="1817">IFERROR((F1142/E1142),"")</f>
        <v/>
      </c>
      <c r="E1142" s="4"/>
      <c r="F1142" s="3"/>
      <c r="G1142" s="5"/>
      <c r="H1142" s="38"/>
      <c r="I1142" s="34">
        <f t="shared" si="1763"/>
        <v>0</v>
      </c>
      <c r="J1142" s="78" t="str">
        <f>IFERROR(VLOOKUP(C1142,[2]Sheet1!$D:$J,7,0),"")</f>
        <v/>
      </c>
      <c r="K1142" s="80" t="str">
        <f t="shared" si="1786"/>
        <v/>
      </c>
      <c r="L1142" s="7">
        <f t="shared" si="1764"/>
        <v>0</v>
      </c>
      <c r="M1142" s="8" t="str">
        <f t="shared" si="1765"/>
        <v/>
      </c>
      <c r="N1142" s="57" t="str">
        <f t="shared" ref="N1142" si="1818">IFERROR((K1142/H1142),"")</f>
        <v/>
      </c>
      <c r="O1142" s="9"/>
      <c r="P1142" s="10"/>
      <c r="Q1142" s="10"/>
      <c r="R1142" s="10">
        <f t="shared" ref="R1142" si="1819">O1142*P1142*Q1142</f>
        <v>0</v>
      </c>
      <c r="S1142" s="41">
        <f t="shared" si="1741"/>
        <v>0</v>
      </c>
      <c r="V1142" s="137"/>
      <c r="W1142" s="190"/>
      <c r="X1142" s="137"/>
      <c r="Y1142" s="42"/>
      <c r="AA1142" s="206"/>
    </row>
    <row r="1143" spans="1:32" ht="16.5" hidden="1" customHeight="1" ns3:dyDescent="0.3">
      <c r="A1143" s="2"/>
      <c r="B1143" s="11"/>
      <c r="C1143" s="182" t="s">
        <v>482</v>
      </c>
      <c r="D1143" s="166" t="str">
        <f>IFERROR((F1143/E1143),"")</f>
        <v/>
      </c>
      <c r="E1143" s="4">
        <v>1</v>
      </c>
      <c r="F1143" s="3" t="str">
        <f>IFERROR((L1143-K1143),"")</f>
        <v/>
      </c>
      <c r="G1143" s="5">
        <f>G1141</f>
        <v>10</v>
      </c>
      <c r="H1143" s="39" t="e">
        <f>ROUNDUP(SUMPRODUCT(B1144,C1144)/1500,2)</f>
        <v>#N/A</v>
      </c>
      <c r="I1143" s="34">
        <f>IFERROR((S1143*E1143),"")</f>
        <v>0</v>
      </c>
      <c r="J1143" s="78" t="str">
        <f>IFERROR(VLOOKUP(C1143,[2]Sheet1!$D:$J,7,0),"")</f>
        <v/>
      </c>
      <c r="K1143" s="80" t="str">
        <f>IFERROR((I1143+J1143),"")</f>
        <v/>
      </c>
      <c r="L1143" s="7" t="str">
        <f>IFERROR((G1143*H1143),"")</f>
        <v/>
      </c>
      <c r="M1143" s="8" t="str">
        <f>IFERROR(K1143-L1143,"")</f>
        <v/>
      </c>
      <c r="N1143" s="57" t="str">
        <f>IFERROR((K1143/H1143),"")</f>
        <v/>
      </c>
      <c r="P1143" s="1"/>
      <c r="Q1143" s="1">
        <v>38571</v>
      </c>
      <c r="R1143" s="1"/>
      <c r="S1143" s="41">
        <f t="shared" si="1741"/>
        <v>0</v>
      </c>
      <c r="V1143" s="183"/>
      <c r="W1143" s="190"/>
      <c r="X1143" s="183"/>
      <c r="Y1143" s="42"/>
      <c r="Z1143" s="140"/>
      <c r="AA1143" s="206"/>
      <c r="AB1143"/>
      <c r="AC1143"/>
      <c r="AD1143"/>
      <c r="AE1143"/>
      <c r="AF1143"/>
    </row>
    <row r="1144" spans="1:32" ht="16.5" hidden="1" customHeight="1" ns3:dyDescent="0.3">
      <c r="A1144" s="43" t="s">
        <v>334</v>
      </c>
      <c r="B1144" s="11" t="e">
        <f>ROUNDUP(HLOOKUP(A1144,'야채 계산기'!$2:$3,2,0),0)</f>
        <v>#N/A</v>
      </c>
      <c r="C1144" s="164">
        <v>1</v>
      </c>
      <c r="D1144" s="166" t="str">
        <f>IFERROR((F1144/E1144),"")</f>
        <v/>
      </c>
      <c r="E1144" s="4"/>
      <c r="F1144" s="3"/>
      <c r="G1144" s="5"/>
      <c r="H1144" s="38"/>
      <c r="I1144" s="34">
        <f>IFERROR((S1144*E1144),"")</f>
        <v>0</v>
      </c>
      <c r="J1144" s="78" t="str">
        <f>IFERROR(VLOOKUP(C1144,[2]Sheet1!$D:$J,7,0),"")</f>
        <v/>
      </c>
      <c r="K1144" s="80" t="str">
        <f>IFERROR((I1144+J1144),"")</f>
        <v/>
      </c>
      <c r="L1144" s="7">
        <f>IFERROR((G1144*H1144),"")</f>
        <v>0</v>
      </c>
      <c r="M1144" s="8" t="str">
        <f>IFERROR(K1144-L1144,"")</f>
        <v/>
      </c>
      <c r="N1144" s="57" t="str">
        <f t="shared" ref="N1144" si="1820">IFERROR((K1144/H1144),"")</f>
        <v/>
      </c>
      <c r="O1144" s="9"/>
      <c r="P1144" s="10"/>
      <c r="Q1144" s="10"/>
      <c r="R1144" s="10">
        <f t="shared" ref="R1144" si="1821">O1144*P1144*Q1144</f>
        <v>0</v>
      </c>
      <c r="S1144" s="41">
        <f t="shared" si="1741"/>
        <v>0</v>
      </c>
      <c r="V1144" s="137"/>
      <c r="W1144" s="190"/>
      <c r="X1144" s="137"/>
      <c r="Y1144" s="42"/>
      <c r="AA1144" s="206"/>
    </row>
    <row r="1145" spans="1:32" ns3:dyDescent="0.3">
      <c r="A1145" s="2"/>
      <c r="B1145" s="11"/>
      <c r="C1145" s="164" t="s">
        <v>469</v>
      </c>
      <c r="D1145" s="166" t="str">
        <f>IFERROR((F1145/E1145),"")</f>
        <v/>
      </c>
      <c r="E1145" s="4">
        <v>1</v>
      </c>
      <c r="F1145" s="3" t="str">
        <f>IFERROR((L1145-K1145),"")</f>
        <v/>
      </c>
      <c r="G1145" s="5">
        <f>G1139</f>
        <v>10</v>
      </c>
      <c r="H1145" s="39">
        <f>ROUNDUP(SUMPRODUCT(B1146,C1146)/3000,2)</f>
        <v>1.28</v>
      </c>
      <c r="I1145" s="34">
        <f t="shared" si="1763"/>
        <v>12</v>
      </c>
      <c r="J1145" s="78" t="str">
        <f>IFERROR(VLOOKUP(C1145,[2]Sheet1!$D:$J,7,0),"")</f>
        <v/>
      </c>
      <c r="K1145" s="80" t="str">
        <f t="shared" si="1786"/>
        <v/>
      </c>
      <c r="L1145" s="7">
        <f t="shared" si="1764"/>
        <v>12.8</v>
      </c>
      <c r="M1145" s="8" t="str">
        <f t="shared" si="1765"/>
        <v/>
      </c>
      <c r="N1145" s="57" t="str">
        <f>IFERROR((K1145/H1145),"")</f>
        <v/>
      </c>
      <c r="P1145" s="1"/>
      <c r="Q1145" s="1"/>
      <c r="R1145" s="1"/>
      <c r="S1145" s="41">
        <f t="shared" si="1741"/>
        <v>12</v>
      </c>
      <c r="T1145" s="1">
        <v>3</v>
      </c>
      <c r="V1145" s="173">
        <v>9</v>
      </c>
      <c r="W1145" s="190"/>
      <c r="X1145" s="183"/>
      <c r="Y1145" s="42"/>
      <c r="Z1145" s="140"/>
      <c r="AA1145" s="206"/>
      <c r="AB1145"/>
      <c r="AC1145"/>
      <c r="AD1145"/>
      <c r="AE1145"/>
      <c r="AF1145"/>
    </row>
    <row r="1146" spans="1:32" ns3:dyDescent="0.3">
      <c r="A1146" s="43" t="s">
        <v>491</v>
      </c>
      <c r="B1146" s="11">
        <v>3817</v>
      </c>
      <c r="C1146" s="164">
        <v>1</v>
      </c>
      <c r="D1146" s="166" t="str">
        <f t="shared" ref="D1146" si="1822">IFERROR((F1146/E1146),"")</f>
        <v/>
      </c>
      <c r="E1146" s="4"/>
      <c r="F1146" s="3"/>
      <c r="G1146" s="5"/>
      <c r="H1146" s="38"/>
      <c r="I1146" s="34">
        <f t="shared" si="1763"/>
        <v>0</v>
      </c>
      <c r="J1146" s="78" t="str">
        <f>IFERROR(VLOOKUP(C1146,[2]Sheet1!$D:$J,7,0),"")</f>
        <v/>
      </c>
      <c r="K1146" s="80" t="str">
        <f t="shared" si="1786"/>
        <v/>
      </c>
      <c r="L1146" s="7">
        <f t="shared" si="1764"/>
        <v>0</v>
      </c>
      <c r="M1146" s="8" t="str">
        <f t="shared" si="1765"/>
        <v/>
      </c>
      <c r="N1146" s="57" t="str">
        <f t="shared" ref="N1146" si="1823">IFERROR((K1146/H1146),"")</f>
        <v/>
      </c>
      <c r="O1146" s="9"/>
      <c r="P1146" s="10"/>
      <c r="Q1146" s="10"/>
      <c r="R1146" s="10">
        <f t="shared" ref="R1146" si="1824">O1146*P1146*Q1146</f>
        <v>0</v>
      </c>
      <c r="S1146" s="41">
        <f t="shared" si="1741"/>
        <v>0</v>
      </c>
      <c r="V1146" s="137"/>
      <c r="W1146" s="190"/>
      <c r="X1146" s="137"/>
      <c r="Y1146" s="42"/>
      <c r="AA1146" s="206"/>
    </row>
    <row r="1147" spans="1:32" ht="16.5" hidden="1" customHeight="1" ns3:dyDescent="0.3">
      <c r="A1147" s="2"/>
      <c r="B1147" s="11"/>
      <c r="C1147" s="262" t="s">
        <v>522</v>
      </c>
      <c r="D1147" s="166" t="str">
        <f>IFERROR((F1147/E1147),"")</f>
        <v/>
      </c>
      <c r="E1147" s="4">
        <v>1</v>
      </c>
      <c r="F1147" s="3" t="str">
        <f>IFERROR((L1147-K1147),"")</f>
        <v/>
      </c>
      <c r="G1147" s="5">
        <f>G1145</f>
        <v>10</v>
      </c>
      <c r="H1147" s="39" t="e">
        <f>ROUNDUP(SUMPRODUCT(B1148,C1148)/1000,2)</f>
        <v>#N/A</v>
      </c>
      <c r="I1147" s="34">
        <f>IFERROR((S1147*E1147),"")</f>
        <v>0</v>
      </c>
      <c r="J1147" s="78" t="str">
        <f>IFERROR(VLOOKUP(C1147,[2]Sheet1!$D:$J,7,0),"")</f>
        <v/>
      </c>
      <c r="K1147" s="80" t="str">
        <f>IFERROR((I1147+J1147),"")</f>
        <v/>
      </c>
      <c r="L1147" s="7" t="str">
        <f>IFERROR((G1147*H1147),"")</f>
        <v/>
      </c>
      <c r="M1147" s="8" t="str">
        <f>IFERROR(K1147-L1147,"")</f>
        <v/>
      </c>
      <c r="N1147" s="57" t="str">
        <f>IFERROR((K1147/H1147),"")</f>
        <v/>
      </c>
      <c r="P1147" s="1"/>
      <c r="Q1147" s="1">
        <v>15882</v>
      </c>
      <c r="R1147" s="1"/>
      <c r="S1147" s="41">
        <f t="shared" si="1741"/>
        <v>0</v>
      </c>
      <c r="V1147" s="183"/>
      <c r="W1147" s="190"/>
      <c r="X1147" s="183"/>
      <c r="Y1147" s="42"/>
      <c r="Z1147" s="140"/>
      <c r="AA1147" s="206"/>
      <c r="AB1147"/>
      <c r="AC1147"/>
      <c r="AD1147"/>
      <c r="AE1147"/>
      <c r="AF1147"/>
    </row>
    <row r="1148" spans="1:32" ht="16.5" hidden="1" customHeight="1" ns3:dyDescent="0.3">
      <c r="A1148" s="280" t="s">
        <v>504</v>
      </c>
      <c r="B1148" s="11" t="e">
        <f>ROUNDUP(HLOOKUP(A1148,'야채 계산기'!$2:$3,2,0),0)</f>
        <v>#N/A</v>
      </c>
      <c r="C1148" s="164">
        <v>1</v>
      </c>
      <c r="D1148" s="166" t="str">
        <f t="shared" ref="D1148" si="1825">IFERROR((F1148/E1148),"")</f>
        <v/>
      </c>
      <c r="E1148" s="4"/>
      <c r="F1148" s="3"/>
      <c r="G1148" s="5"/>
      <c r="H1148" s="38"/>
      <c r="I1148" s="34">
        <f>IFERROR((S1148*E1148),"")</f>
        <v>0</v>
      </c>
      <c r="J1148" s="78" t="str">
        <f>IFERROR(VLOOKUP(C1148,[2]Sheet1!$D:$J,7,0),"")</f>
        <v/>
      </c>
      <c r="K1148" s="80" t="str">
        <f>IFERROR((I1148+J1148),"")</f>
        <v/>
      </c>
      <c r="L1148" s="7">
        <f>IFERROR((G1148*H1148),"")</f>
        <v>0</v>
      </c>
      <c r="M1148" s="8" t="str">
        <f>IFERROR(K1148-L1148,"")</f>
        <v/>
      </c>
      <c r="N1148" s="57" t="str">
        <f t="shared" ref="N1148" si="1826">IFERROR((K1148/H1148),"")</f>
        <v/>
      </c>
      <c r="O1148" s="9"/>
      <c r="P1148" s="10"/>
      <c r="Q1148" s="10"/>
      <c r="R1148" s="10">
        <f t="shared" ref="R1148" si="1827">O1148*P1148*Q1148</f>
        <v>0</v>
      </c>
      <c r="S1148" s="41">
        <f t="shared" si="1741"/>
        <v>0</v>
      </c>
      <c r="V1148" s="137"/>
      <c r="W1148" s="190"/>
      <c r="X1148" s="137"/>
      <c r="Y1148" s="42"/>
      <c r="AA1148" s="206"/>
    </row>
    <row r="1149" spans="1:32" hidden="1" ns3:dyDescent="0.3">
      <c r="A1149" s="2"/>
      <c r="B1149" s="11"/>
      <c r="C1149" s="182" t="s">
        <v>475</v>
      </c>
      <c r="D1149" s="166" t="str">
        <f>IFERROR((F1149/E1149),"")</f>
        <v/>
      </c>
      <c r="E1149" s="4">
        <v>1</v>
      </c>
      <c r="F1149" s="3" t="str">
        <f>IFERROR((L1149-K1149),"")</f>
        <v/>
      </c>
      <c r="G1149" s="5">
        <v>2</v>
      </c>
      <c r="H1149" s="38">
        <f>ROUNDUP(SUMPRODUCT(B1150,C1150)/1500,2)</f>
        <v>0</v>
      </c>
      <c r="I1149" s="34">
        <f t="shared" ref="I1149:I1154" si="1828">IFERROR((S1149*E1149),"")</f>
        <v>0</v>
      </c>
      <c r="J1149" s="78" t="str">
        <f>IFERROR(VLOOKUP(C1149,[2]Sheet1!$D:$J,7,0),"")</f>
        <v/>
      </c>
      <c r="K1149" s="80" t="str">
        <f t="shared" ref="K1149:K1154" si="1829">IFERROR((I1149+J1149),"")</f>
        <v/>
      </c>
      <c r="L1149" s="7">
        <f t="shared" ref="L1149:L1154" si="1830">IFERROR((G1149*H1149),"")</f>
        <v>0</v>
      </c>
      <c r="M1149" s="8" t="str">
        <f t="shared" ref="M1149:M1154" si="1831">IFERROR(K1149-L1149,"")</f>
        <v/>
      </c>
      <c r="N1149" s="57" t="str">
        <f>IFERROR((K1149/H1149),"")</f>
        <v/>
      </c>
      <c r="P1149" s="1"/>
      <c r="Q1149" s="1">
        <v>29500</v>
      </c>
      <c r="R1149" s="1"/>
      <c r="S1149" s="41">
        <f t="shared" si="1741"/>
        <v>0</v>
      </c>
      <c r="V1149" s="183"/>
      <c r="W1149" s="190"/>
      <c r="X1149" s="183"/>
      <c r="Y1149" s="42"/>
      <c r="Z1149" s="140"/>
      <c r="AA1149" s="206"/>
      <c r="AB1149"/>
      <c r="AC1149"/>
      <c r="AD1149"/>
      <c r="AE1149"/>
      <c r="AF1149"/>
    </row>
    <row r="1150" spans="1:32" hidden="1" ns3:dyDescent="0.3">
      <c r="A1150" s="239" t="s">
        <v>276</v>
      </c>
      <c r="B1150" s="11">
        <f>ROUNDUP(HLOOKUP(A1150,'야채 계산기'!$2:$3,2,0),0)</f>
        <v>0</v>
      </c>
      <c r="C1150" s="164">
        <v>1</v>
      </c>
      <c r="D1150" s="166" t="str">
        <f t="shared" ref="D1150" si="1832">IFERROR((F1150/E1150),"")</f>
        <v/>
      </c>
      <c r="E1150" s="4"/>
      <c r="F1150" s="3"/>
      <c r="G1150" s="5"/>
      <c r="H1150" s="38"/>
      <c r="I1150" s="34">
        <f t="shared" si="1828"/>
        <v>0</v>
      </c>
      <c r="J1150" s="78" t="str">
        <f>IFERROR(VLOOKUP(C1150,[2]Sheet1!$D:$J,7,0),"")</f>
        <v/>
      </c>
      <c r="K1150" s="80" t="str">
        <f t="shared" si="1829"/>
        <v/>
      </c>
      <c r="L1150" s="7">
        <f t="shared" si="1830"/>
        <v>0</v>
      </c>
      <c r="M1150" s="8" t="str">
        <f t="shared" si="1831"/>
        <v/>
      </c>
      <c r="N1150" s="57" t="str">
        <f t="shared" ref="N1150" si="1833">IFERROR((K1150/H1150),"")</f>
        <v/>
      </c>
      <c r="O1150" s="9"/>
      <c r="P1150" s="10"/>
      <c r="Q1150" s="10"/>
      <c r="R1150" s="10">
        <f t="shared" ref="R1150" si="1834">O1150*P1150*Q1150</f>
        <v>0</v>
      </c>
      <c r="S1150" s="41">
        <f t="shared" si="1741"/>
        <v>0</v>
      </c>
      <c r="V1150" s="137"/>
      <c r="W1150" s="190"/>
      <c r="X1150" s="137"/>
      <c r="Y1150" s="42"/>
      <c r="Z1150" s="140"/>
      <c r="AA1150" s="206"/>
      <c r="AB1150"/>
      <c r="AC1150"/>
      <c r="AD1150"/>
      <c r="AE1150"/>
      <c r="AF1150"/>
    </row>
    <row r="1151" spans="1:32" hidden="1" ns3:dyDescent="0.3">
      <c r="A1151" s="2"/>
      <c r="B1151" s="11"/>
      <c r="C1151" s="164" t="s">
        <v>476</v>
      </c>
      <c r="D1151" s="166" t="str">
        <f>IFERROR((F1151/E1151),"")</f>
        <v/>
      </c>
      <c r="E1151" s="4">
        <v>1</v>
      </c>
      <c r="F1151" s="3" t="str">
        <f>IFERROR((L1151-K1151),"")</f>
        <v/>
      </c>
      <c r="G1151" s="5">
        <f>G1147</f>
        <v>10</v>
      </c>
      <c r="H1151" s="38">
        <f>ROUNDUP(SUMPRODUCT(B1152,C1152)/1500,2)</f>
        <v>0.02</v>
      </c>
      <c r="I1151" s="34">
        <f t="shared" si="1828"/>
        <v>0</v>
      </c>
      <c r="J1151" s="78" t="str">
        <f>IFERROR(VLOOKUP(C1151,[2]Sheet1!$D:$J,7,0),"")</f>
        <v/>
      </c>
      <c r="K1151" s="80" t="str">
        <f t="shared" si="1829"/>
        <v/>
      </c>
      <c r="L1151" s="7">
        <f t="shared" si="1830"/>
        <v>0.2</v>
      </c>
      <c r="M1151" s="8" t="str">
        <f t="shared" si="1831"/>
        <v/>
      </c>
      <c r="N1151" s="57" t="str">
        <f>IFERROR((K1151/H1151),"")</f>
        <v/>
      </c>
      <c r="P1151" s="1"/>
      <c r="Q1151" s="1">
        <v>65400</v>
      </c>
      <c r="R1151" s="1"/>
      <c r="S1151" s="41">
        <f t="shared" si="1741"/>
        <v>0</v>
      </c>
      <c r="V1151" s="183"/>
      <c r="W1151" s="190"/>
      <c r="X1151" s="183"/>
      <c r="Y1151" s="42"/>
      <c r="AA1151" s="206"/>
    </row>
    <row r="1152" spans="1:32" hidden="1" ns3:dyDescent="0.3">
      <c r="A1152" s="43" t="s">
        <v>299</v>
      </c>
      <c r="B1152" s="11">
        <f>ROUNDUP(HLOOKUP(A1152,'야채 계산기'!$2:$3,2,0),0)</f>
        <v>30</v>
      </c>
      <c r="C1152" s="164">
        <v>1</v>
      </c>
      <c r="D1152" s="166" t="str">
        <f t="shared" ref="D1152" si="1835">IFERROR((F1152/E1152),"")</f>
        <v/>
      </c>
      <c r="E1152" s="4"/>
      <c r="F1152" s="3"/>
      <c r="G1152" s="5"/>
      <c r="H1152" s="38"/>
      <c r="I1152" s="34">
        <f t="shared" si="1828"/>
        <v>0</v>
      </c>
      <c r="J1152" s="78" t="str">
        <f>IFERROR(VLOOKUP(C1152,[2]Sheet1!$D:$J,7,0),"")</f>
        <v/>
      </c>
      <c r="K1152" s="80" t="str">
        <f t="shared" si="1829"/>
        <v/>
      </c>
      <c r="L1152" s="7">
        <f t="shared" si="1830"/>
        <v>0</v>
      </c>
      <c r="M1152" s="8" t="str">
        <f t="shared" si="1831"/>
        <v/>
      </c>
      <c r="N1152" s="57" t="str">
        <f t="shared" ref="N1152" si="1836">IFERROR((K1152/H1152),"")</f>
        <v/>
      </c>
      <c r="O1152" s="9"/>
      <c r="P1152" s="10"/>
      <c r="Q1152" s="10"/>
      <c r="R1152" s="10">
        <f t="shared" ref="R1152" si="1837">O1152*P1152*Q1152</f>
        <v>0</v>
      </c>
      <c r="S1152" s="41">
        <f t="shared" si="1741"/>
        <v>0</v>
      </c>
      <c r="V1152" s="137"/>
      <c r="W1152" s="190"/>
      <c r="X1152" s="137"/>
      <c r="Y1152" s="42"/>
      <c r="Z1152" s="140"/>
      <c r="AA1152" s="206"/>
      <c r="AB1152"/>
      <c r="AC1152"/>
      <c r="AD1152"/>
      <c r="AE1152"/>
      <c r="AF1152"/>
    </row>
    <row r="1153" spans="1:32" hidden="1" ns3:dyDescent="0.3">
      <c r="A1153" s="2"/>
      <c r="B1153" s="11"/>
      <c r="C1153" s="164" t="s">
        <v>474</v>
      </c>
      <c r="D1153" s="166" t="str">
        <f>IFERROR((F1153/E1153),"")</f>
        <v/>
      </c>
      <c r="E1153" s="4">
        <v>1</v>
      </c>
      <c r="F1153" s="3" t="str">
        <f>IFERROR((L1153-K1153),"")</f>
        <v/>
      </c>
      <c r="G1153" s="5">
        <f>G1151</f>
        <v>10</v>
      </c>
      <c r="H1153" s="38">
        <f>ROUNDUP(SUMPRODUCT(B1154,C1154)/1500,2)</f>
        <v>0.04</v>
      </c>
      <c r="I1153" s="34">
        <f t="shared" si="1828"/>
        <v>0</v>
      </c>
      <c r="J1153" s="78" t="str">
        <f>IFERROR(VLOOKUP(C1153,[2]Sheet1!$D:$J,7,0),"")</f>
        <v/>
      </c>
      <c r="K1153" s="80" t="str">
        <f t="shared" si="1829"/>
        <v/>
      </c>
      <c r="L1153" s="7">
        <f t="shared" si="1830"/>
        <v>0.4</v>
      </c>
      <c r="M1153" s="8" t="str">
        <f t="shared" si="1831"/>
        <v/>
      </c>
      <c r="N1153" s="57" t="str">
        <f>IFERROR((K1153/H1153),"")</f>
        <v/>
      </c>
      <c r="P1153" s="1"/>
      <c r="Q1153" s="1"/>
      <c r="R1153" s="1"/>
      <c r="S1153" s="41">
        <f t="shared" si="1741"/>
        <v>0</v>
      </c>
      <c r="V1153" s="183"/>
      <c r="W1153" s="190"/>
      <c r="X1153" s="183"/>
      <c r="Y1153" s="42"/>
      <c r="AA1153" s="206"/>
    </row>
    <row r="1154" spans="1:32" hidden="1" ns3:dyDescent="0.3">
      <c r="A1154" s="43" t="s">
        <v>492</v>
      </c>
      <c r="B1154" s="11">
        <f>ROUNDUP(HLOOKUP(A1154,'야채 계산기'!$2:$3,2,0),0)</f>
        <v>55</v>
      </c>
      <c r="C1154" s="164">
        <v>1</v>
      </c>
      <c r="D1154" s="166" t="str">
        <f t="shared" ref="D1154" si="1838">IFERROR((F1154/E1154),"")</f>
        <v/>
      </c>
      <c r="E1154" s="4"/>
      <c r="F1154" s="3"/>
      <c r="G1154" s="5"/>
      <c r="H1154" s="38"/>
      <c r="I1154" s="34">
        <f t="shared" si="1828"/>
        <v>0</v>
      </c>
      <c r="J1154" s="78" t="str">
        <f>IFERROR(VLOOKUP(C1154,[2]Sheet1!$D:$J,7,0),"")</f>
        <v/>
      </c>
      <c r="K1154" s="80" t="str">
        <f t="shared" si="1829"/>
        <v/>
      </c>
      <c r="L1154" s="7">
        <f t="shared" si="1830"/>
        <v>0</v>
      </c>
      <c r="M1154" s="8" t="str">
        <f t="shared" si="1831"/>
        <v/>
      </c>
      <c r="N1154" s="57" t="str">
        <f t="shared" ref="N1154" si="1839">IFERROR((K1154/H1154),"")</f>
        <v/>
      </c>
      <c r="O1154" s="9"/>
      <c r="P1154" s="10"/>
      <c r="Q1154" s="10"/>
      <c r="R1154" s="10">
        <f t="shared" ref="R1154" si="1840">O1154*P1154*Q1154</f>
        <v>0</v>
      </c>
      <c r="S1154" s="41">
        <f t="shared" si="1741"/>
        <v>0</v>
      </c>
      <c r="V1154" s="137"/>
      <c r="W1154" s="190"/>
      <c r="X1154" s="137"/>
      <c r="Y1154" s="42"/>
      <c r="Z1154" s="140"/>
      <c r="AA1154" s="206"/>
      <c r="AB1154"/>
      <c r="AC1154"/>
      <c r="AD1154"/>
      <c r="AE1154"/>
      <c r="AF1154"/>
    </row>
    <row r="1155" spans="1:32" hidden="1" ns3:dyDescent="0.3">
      <c r="A1155" s="2"/>
      <c r="B1155" s="11"/>
      <c r="C1155" s="182" t="s">
        <v>473</v>
      </c>
      <c r="D1155" s="166" t="str">
        <f>IFERROR((F1155/E1155),"")</f>
        <v/>
      </c>
      <c r="E1155" s="4">
        <v>1</v>
      </c>
      <c r="F1155" s="3" t="str">
        <f>IFERROR((L1155-K1155),"")</f>
        <v/>
      </c>
      <c r="G1155" s="5">
        <v>0</v>
      </c>
      <c r="H1155" s="39" t="e">
        <f>ROUNDUP(SUMPRODUCT(B1156,C1156)/3000,2)</f>
        <v>#N/A</v>
      </c>
      <c r="I1155" s="34">
        <f t="shared" si="1763"/>
        <v>0</v>
      </c>
      <c r="J1155" s="78" t="str">
        <f>IFERROR(VLOOKUP(C1155,[2]Sheet1!$D:$J,7,0),"")</f>
        <v/>
      </c>
      <c r="K1155" s="80" t="str">
        <f t="shared" si="1786"/>
        <v/>
      </c>
      <c r="L1155" s="7" t="str">
        <f t="shared" si="1764"/>
        <v/>
      </c>
      <c r="M1155" s="8" t="str">
        <f t="shared" si="1765"/>
        <v/>
      </c>
      <c r="N1155" s="57" t="str">
        <f>IFERROR((K1155/H1155),"")</f>
        <v/>
      </c>
      <c r="P1155" s="1"/>
      <c r="Q1155" s="1">
        <v>20348</v>
      </c>
      <c r="R1155" s="1"/>
      <c r="S1155" s="41">
        <f t="shared" si="1741"/>
        <v>0</v>
      </c>
      <c r="W1155" s="190"/>
      <c r="Y1155" s="42"/>
      <c r="AA1155" s="206"/>
    </row>
    <row r="1156" spans="1:32" hidden="1" ns3:dyDescent="0.3">
      <c r="A1156" s="43" t="s">
        <v>539</v>
      </c>
      <c r="B1156" s="11" t="e">
        <f>ROUNDUP(HLOOKUP(A1156,'야채 계산기'!$2:$3,2,0),0)</f>
        <v>#N/A</v>
      </c>
      <c r="C1156" s="164">
        <v>1</v>
      </c>
      <c r="D1156" s="166" t="str">
        <f t="shared" ref="D1156" si="1841">IFERROR((F1156/E1156),"")</f>
        <v/>
      </c>
      <c r="E1156" s="4"/>
      <c r="F1156" s="3"/>
      <c r="G1156" s="5"/>
      <c r="H1156" s="38"/>
      <c r="I1156" s="34">
        <f t="shared" si="1763"/>
        <v>0</v>
      </c>
      <c r="J1156" s="78" t="str">
        <f>IFERROR(VLOOKUP(C1156,[2]Sheet1!$D:$J,7,0),"")</f>
        <v/>
      </c>
      <c r="K1156" s="80" t="str">
        <f t="shared" si="1786"/>
        <v/>
      </c>
      <c r="L1156" s="7">
        <f t="shared" si="1764"/>
        <v>0</v>
      </c>
      <c r="M1156" s="8" t="str">
        <f t="shared" si="1765"/>
        <v/>
      </c>
      <c r="N1156" s="57" t="str">
        <f t="shared" ref="N1156" si="1842">IFERROR((K1156/H1156),"")</f>
        <v/>
      </c>
      <c r="O1156" s="9"/>
      <c r="P1156" s="10"/>
      <c r="Q1156" s="10"/>
      <c r="R1156" s="10">
        <f t="shared" ref="R1156" si="1843">O1156*P1156*Q1156</f>
        <v>0</v>
      </c>
      <c r="S1156" s="41">
        <f t="shared" si="1741"/>
        <v>0</v>
      </c>
      <c r="V1156" s="137"/>
      <c r="W1156" s="190"/>
      <c r="X1156" s="137"/>
      <c r="Y1156" s="42"/>
      <c r="Z1156" s="140"/>
      <c r="AA1156" s="206"/>
      <c r="AB1156"/>
      <c r="AC1156"/>
      <c r="AD1156"/>
      <c r="AE1156"/>
      <c r="AF1156"/>
    </row>
    <row r="1157" spans="1:32" ns3:dyDescent="0.3">
      <c r="A1157" s="2"/>
      <c r="B1157" s="11"/>
      <c r="C1157" s="310" t="s">
        <v>477</v>
      </c>
      <c r="D1157" s="166" t="str">
        <f>IFERROR((F1157/E1157),"")</f>
        <v/>
      </c>
      <c r="E1157" s="4">
        <v>1</v>
      </c>
      <c r="F1157" s="3" t="str">
        <f>IFERROR((L1157-K1157),"")</f>
        <v/>
      </c>
      <c r="G1157" s="5">
        <f>G1153</f>
        <v>10</v>
      </c>
      <c r="H1157" s="39">
        <f>ROUNDUP(SUMPRODUCT(B1158,C1158)/1000,2)</f>
        <v>0.64</v>
      </c>
      <c r="I1157" s="34">
        <f>IFERROR((S1157*E1157),"")</f>
        <v>1</v>
      </c>
      <c r="J1157" s="78" t="str">
        <f>IFERROR(VLOOKUP(C1157,[2]Sheet1!$D:$J,7,0),"")</f>
        <v/>
      </c>
      <c r="K1157" s="80" t="str">
        <f>IFERROR((I1157+J1157),"")</f>
        <v/>
      </c>
      <c r="L1157" s="7">
        <f>IFERROR((G1157*H1157),"")</f>
        <v>6.4</v>
      </c>
      <c r="M1157" s="8" t="str">
        <f>IFERROR(K1157-L1157,"")</f>
        <v/>
      </c>
      <c r="N1157" s="57" t="str">
        <f>IFERROR((K1157/H1157),"")</f>
        <v/>
      </c>
      <c r="P1157" s="1"/>
      <c r="Q1157" s="1">
        <v>77107</v>
      </c>
      <c r="R1157" s="1"/>
      <c r="S1157" s="41">
        <f t="shared" si="1741"/>
        <v>1</v>
      </c>
      <c r="V1157" s="173">
        <v>1</v>
      </c>
      <c r="W1157" s="190"/>
      <c r="X1157" s="183"/>
      <c r="Y1157" s="42"/>
      <c r="AA1157" s="206"/>
    </row>
    <row r="1158" spans="1:32" ns3:dyDescent="0.3">
      <c r="A1158" s="43" t="s">
        <v>494</v>
      </c>
      <c r="B1158" s="11">
        <f>ROUNDUP(HLOOKUP(A1158,'야채 계산기'!$2:$3,2,0),0)</f>
        <v>640</v>
      </c>
      <c r="C1158" s="164">
        <v>1</v>
      </c>
      <c r="D1158" s="166" t="str">
        <f t="shared" ref="D1158" si="1844">IFERROR((F1158/E1158),"")</f>
        <v/>
      </c>
      <c r="E1158" s="4"/>
      <c r="F1158" s="3"/>
      <c r="G1158" s="5"/>
      <c r="H1158" s="38"/>
      <c r="I1158" s="34">
        <f>IFERROR((S1158*E1158),"")</f>
        <v>0</v>
      </c>
      <c r="J1158" s="78" t="str">
        <f>IFERROR(VLOOKUP(C1158,[2]Sheet1!$D:$J,7,0),"")</f>
        <v/>
      </c>
      <c r="K1158" s="80" t="str">
        <f>IFERROR((I1158+J1158),"")</f>
        <v/>
      </c>
      <c r="L1158" s="7">
        <f>IFERROR((G1158*H1158),"")</f>
        <v>0</v>
      </c>
      <c r="M1158" s="8" t="str">
        <f>IFERROR(K1158-L1158,"")</f>
        <v/>
      </c>
      <c r="N1158" s="57" t="str">
        <f t="shared" ref="N1158" si="1845">IFERROR((K1158/H1158),"")</f>
        <v/>
      </c>
      <c r="O1158" s="9"/>
      <c r="P1158" s="10"/>
      <c r="Q1158" s="10"/>
      <c r="R1158" s="10">
        <f t="shared" ref="R1158" si="1846">O1158*P1158*Q1158</f>
        <v>0</v>
      </c>
      <c r="S1158" s="41">
        <f t="shared" si="1741"/>
        <v>0</v>
      </c>
      <c r="V1158" s="137"/>
      <c r="W1158" s="190"/>
      <c r="X1158" s="137"/>
      <c r="Y1158" s="42"/>
      <c r="Z1158" s="140"/>
      <c r="AA1158" s="206"/>
      <c r="AB1158"/>
      <c r="AC1158"/>
      <c r="AD1158"/>
      <c r="AE1158"/>
      <c r="AF1158"/>
    </row>
    <row r="1159" spans="1:32" ns3:dyDescent="0.3">
      <c r="A1159" s="2"/>
      <c r="B1159" s="11"/>
      <c r="C1159" s="310" t="s">
        <v>720</v>
      </c>
      <c r="D1159" s="166" t="str">
        <f>IFERROR((F1159/E1159),"")</f>
        <v/>
      </c>
      <c r="E1159" s="4">
        <v>1</v>
      </c>
      <c r="F1159" s="3" t="str">
        <f>IFERROR((L1159-K1159),"")</f>
        <v/>
      </c>
      <c r="G1159" s="5">
        <f>G1157</f>
        <v>10</v>
      </c>
      <c r="H1159" s="39">
        <f>ROUNDUP(SUMPRODUCT(B1160,C1160)/1000,2)</f>
        <v>2.2000000000000002</v>
      </c>
      <c r="I1159" s="34">
        <f t="shared" si="1763"/>
        <v>11</v>
      </c>
      <c r="J1159" s="78" t="str">
        <f>IFERROR(VLOOKUP(C1159,[2]Sheet1!$D:$J,7,0),"")</f>
        <v/>
      </c>
      <c r="K1159" s="80" t="str">
        <f t="shared" si="1786"/>
        <v/>
      </c>
      <c r="L1159" s="7">
        <f t="shared" si="1764"/>
        <v>22</v>
      </c>
      <c r="M1159" s="8" t="str">
        <f t="shared" si="1765"/>
        <v/>
      </c>
      <c r="N1159" s="57" t="str">
        <f>IFERROR((K1159/H1159),"")</f>
        <v/>
      </c>
      <c r="P1159" s="1"/>
      <c r="Q1159" s="1">
        <v>75038</v>
      </c>
      <c r="R1159" s="1"/>
      <c r="S1159" s="41">
        <f t="shared" si="1741"/>
        <v>11</v>
      </c>
      <c r="V1159" s="173">
        <v>11</v>
      </c>
      <c r="W1159" s="190"/>
      <c r="X1159" s="183"/>
      <c r="Y1159" s="42"/>
      <c r="AA1159" s="206"/>
    </row>
    <row r="1160" spans="1:32" ns3:dyDescent="0.3">
      <c r="A1160" s="43" t="s">
        <v>757</v>
      </c>
      <c r="B1160" s="11">
        <f>ROUNDUP(HLOOKUP(A1160,'야채 계산기'!$2:$3,2,0),0)</f>
        <v>2200</v>
      </c>
      <c r="C1160" s="164">
        <v>1</v>
      </c>
      <c r="D1160" s="166" t="str">
        <f t="shared" ref="D1160" si="1847">IFERROR((F1160/E1160),"")</f>
        <v/>
      </c>
      <c r="E1160" s="4"/>
      <c r="F1160" s="3"/>
      <c r="G1160" s="5"/>
      <c r="H1160" s="38"/>
      <c r="I1160" s="34">
        <f t="shared" si="1763"/>
        <v>0</v>
      </c>
      <c r="J1160" s="78" t="str">
        <f>IFERROR(VLOOKUP(C1160,[2]Sheet1!$D:$J,7,0),"")</f>
        <v/>
      </c>
      <c r="K1160" s="80" t="str">
        <f t="shared" si="1786"/>
        <v/>
      </c>
      <c r="L1160" s="7">
        <f t="shared" si="1764"/>
        <v>0</v>
      </c>
      <c r="M1160" s="8" t="str">
        <f t="shared" si="1765"/>
        <v/>
      </c>
      <c r="N1160" s="57" t="str">
        <f t="shared" ref="N1160" si="1848">IFERROR((K1160/H1160),"")</f>
        <v/>
      </c>
      <c r="O1160" s="9"/>
      <c r="P1160" s="10"/>
      <c r="Q1160" s="10"/>
      <c r="R1160" s="10">
        <f t="shared" ref="R1160" si="1849">O1160*P1160*Q1160</f>
        <v>0</v>
      </c>
      <c r="S1160" s="41">
        <f t="shared" si="1741"/>
        <v>0</v>
      </c>
      <c r="V1160" s="137"/>
      <c r="W1160" s="190"/>
      <c r="X1160" s="137"/>
      <c r="Y1160" s="42"/>
      <c r="Z1160" s="140"/>
      <c r="AA1160" s="206"/>
      <c r="AB1160"/>
      <c r="AC1160"/>
      <c r="AD1160"/>
      <c r="AE1160"/>
      <c r="AF1160"/>
    </row>
    <row r="1161" spans="1:32" ns3:dyDescent="0.3">
      <c r="A1161" s="2"/>
      <c r="B1161" s="11"/>
      <c r="C1161" s="310" t="s">
        <v>480</v>
      </c>
      <c r="D1161" s="166" t="str">
        <f>IFERROR((F1161/E1161),"")</f>
        <v/>
      </c>
      <c r="E1161" s="4">
        <v>1</v>
      </c>
      <c r="F1161" s="3" t="str">
        <f>IFERROR((L1161-K1161),"")</f>
        <v/>
      </c>
      <c r="G1161" s="5">
        <f>G1159</f>
        <v>10</v>
      </c>
      <c r="H1161" s="39">
        <f>ROUNDUP(SUMPRODUCT(B1162,C1162)/1000,2)</f>
        <v>0.81</v>
      </c>
      <c r="I1161" s="34">
        <f t="shared" si="1763"/>
        <v>6</v>
      </c>
      <c r="J1161" s="78" t="str">
        <f>IFERROR(VLOOKUP(C1161,[2]Sheet1!$D:$J,7,0),"")</f>
        <v/>
      </c>
      <c r="K1161" s="80" t="str">
        <f t="shared" si="1786"/>
        <v/>
      </c>
      <c r="L1161" s="7">
        <f t="shared" si="1764"/>
        <v>8.1000000000000014</v>
      </c>
      <c r="M1161" s="8" t="str">
        <f t="shared" si="1765"/>
        <v/>
      </c>
      <c r="N1161" s="57" t="str">
        <f>IFERROR((K1161/H1161),"")</f>
        <v/>
      </c>
      <c r="P1161" s="1"/>
      <c r="Q1161" s="1">
        <v>49555</v>
      </c>
      <c r="R1161" s="1"/>
      <c r="S1161" s="41">
        <f t="shared" si="1741"/>
        <v>6</v>
      </c>
      <c r="V1161" s="183">
        <v>6</v>
      </c>
      <c r="W1161" s="190"/>
      <c r="X1161" s="183"/>
      <c r="Y1161" s="42"/>
      <c r="AA1161" s="206"/>
    </row>
    <row r="1162" spans="1:32" ns3:dyDescent="0.3">
      <c r="A1162" s="297" t="s">
        <v>571</v>
      </c>
      <c r="B1162" s="11">
        <f>ROUNDUP(HLOOKUP(A1162,'야채 계산기'!$2:$3,2,0),0)</f>
        <v>810</v>
      </c>
      <c r="C1162" s="164">
        <v>1</v>
      </c>
      <c r="D1162" s="166" t="str">
        <f t="shared" ref="D1162" si="1850">IFERROR((F1162/E1162),"")</f>
        <v/>
      </c>
      <c r="E1162" s="4"/>
      <c r="F1162" s="3"/>
      <c r="G1162" s="5"/>
      <c r="H1162" s="38"/>
      <c r="I1162" s="34">
        <f t="shared" ref="I1162:I1178" si="1851">IFERROR((S1162*E1162),"")</f>
        <v>0</v>
      </c>
      <c r="J1162" s="78" t="str">
        <f>IFERROR(VLOOKUP(C1162,[2]Sheet1!$D:$J,7,0),"")</f>
        <v/>
      </c>
      <c r="K1162" s="80" t="str">
        <f t="shared" ref="K1162:K1202" si="1852">IFERROR((I1162+J1162),"")</f>
        <v/>
      </c>
      <c r="L1162" s="7">
        <f t="shared" ref="L1162:L1178" si="1853">IFERROR((G1162*H1162),"")</f>
        <v>0</v>
      </c>
      <c r="M1162" s="8" t="str">
        <f t="shared" ref="M1162:M1178" si="1854">IFERROR(K1162-L1162,"")</f>
        <v/>
      </c>
      <c r="N1162" s="57" t="str">
        <f t="shared" ref="N1162" si="1855">IFERROR((K1162/H1162),"")</f>
        <v/>
      </c>
      <c r="O1162" s="9"/>
      <c r="P1162" s="10"/>
      <c r="Q1162" s="10"/>
      <c r="R1162" s="10">
        <f t="shared" ref="R1162" si="1856">O1162*P1162*Q1162</f>
        <v>0</v>
      </c>
      <c r="S1162" s="41">
        <f t="shared" si="1741"/>
        <v>0</v>
      </c>
      <c r="V1162" s="137"/>
      <c r="W1162" s="190"/>
      <c r="X1162" s="137"/>
      <c r="Y1162" s="42"/>
      <c r="Z1162" s="140"/>
      <c r="AA1162" s="206"/>
      <c r="AB1162"/>
      <c r="AC1162"/>
      <c r="AD1162"/>
      <c r="AE1162"/>
      <c r="AF1162"/>
    </row>
    <row r="1163" spans="1:32" hidden="1" ns3:dyDescent="0.3">
      <c r="A1163" s="2"/>
      <c r="B1163" s="11"/>
      <c r="C1163" s="262" t="s">
        <v>478</v>
      </c>
      <c r="D1163" s="166" t="str">
        <f>IFERROR((F1163/E1163),"")</f>
        <v/>
      </c>
      <c r="E1163" s="4">
        <v>1</v>
      </c>
      <c r="F1163" s="3" t="str">
        <f>IFERROR((L1163-K1163),"")</f>
        <v/>
      </c>
      <c r="G1163" s="5">
        <f>G1159</f>
        <v>10</v>
      </c>
      <c r="H1163" s="39">
        <f>ROUNDUP(SUMPRODUCT(B1164,C1164)/1000,2)</f>
        <v>0</v>
      </c>
      <c r="I1163" s="34">
        <f t="shared" si="1851"/>
        <v>0</v>
      </c>
      <c r="J1163" s="78" t="str">
        <f>IFERROR(VLOOKUP(C1163,[2]Sheet1!$D:$J,7,0),"")</f>
        <v/>
      </c>
      <c r="K1163" s="80" t="str">
        <f t="shared" si="1852"/>
        <v/>
      </c>
      <c r="L1163" s="7">
        <f t="shared" si="1853"/>
        <v>0</v>
      </c>
      <c r="M1163" s="8" t="str">
        <f t="shared" si="1854"/>
        <v/>
      </c>
      <c r="N1163" s="57" t="str">
        <f>IFERROR((K1163/H1163),"")</f>
        <v/>
      </c>
      <c r="P1163" s="1"/>
      <c r="Q1163" s="1">
        <v>48601</v>
      </c>
      <c r="R1163" s="1"/>
      <c r="S1163" s="41">
        <f t="shared" si="1741"/>
        <v>0</v>
      </c>
      <c r="V1163" s="183"/>
      <c r="W1163" s="190"/>
      <c r="X1163" s="183"/>
      <c r="Y1163" s="42"/>
      <c r="AA1163" s="206"/>
    </row>
    <row r="1164" spans="1:32" hidden="1" ns3:dyDescent="0.3">
      <c r="A1164" s="280" t="s">
        <v>495</v>
      </c>
      <c r="B1164" s="11">
        <f>ROUNDUP(HLOOKUP(A1164,'야채 계산기'!$2:$3,2,0),0)</f>
        <v>0</v>
      </c>
      <c r="C1164" s="164">
        <v>1</v>
      </c>
      <c r="D1164" s="166" t="str">
        <f t="shared" ref="D1164" si="1857">IFERROR((F1164/E1164),"")</f>
        <v/>
      </c>
      <c r="E1164" s="4"/>
      <c r="F1164" s="3"/>
      <c r="G1164" s="5"/>
      <c r="H1164" s="38"/>
      <c r="I1164" s="34">
        <f t="shared" si="1851"/>
        <v>0</v>
      </c>
      <c r="J1164" s="78" t="str">
        <f>IFERROR(VLOOKUP(C1164,[2]Sheet1!$D:$J,7,0),"")</f>
        <v/>
      </c>
      <c r="K1164" s="80" t="str">
        <f t="shared" si="1852"/>
        <v/>
      </c>
      <c r="L1164" s="7">
        <f t="shared" si="1853"/>
        <v>0</v>
      </c>
      <c r="M1164" s="8" t="str">
        <f t="shared" si="1854"/>
        <v/>
      </c>
      <c r="N1164" s="57" t="str">
        <f t="shared" ref="N1164" si="1858">IFERROR((K1164/H1164),"")</f>
        <v/>
      </c>
      <c r="O1164" s="9"/>
      <c r="P1164" s="10"/>
      <c r="Q1164" s="10"/>
      <c r="R1164" s="10">
        <f t="shared" ref="R1164" si="1859">O1164*P1164*Q1164</f>
        <v>0</v>
      </c>
      <c r="S1164" s="41">
        <f t="shared" ref="S1164:S1273" si="1860">SUM(Y1164,T1164:X1164)</f>
        <v>0</v>
      </c>
      <c r="V1164" s="137"/>
      <c r="W1164" s="190"/>
      <c r="X1164" s="137"/>
      <c r="Y1164" s="42"/>
      <c r="Z1164" s="140"/>
      <c r="AA1164" s="206"/>
      <c r="AB1164"/>
      <c r="AC1164"/>
      <c r="AD1164"/>
      <c r="AE1164"/>
      <c r="AF1164"/>
    </row>
    <row r="1165" spans="1:32" hidden="1" ns3:dyDescent="0.3">
      <c r="A1165" s="2"/>
      <c r="B1165" s="11"/>
      <c r="C1165" s="262" t="s">
        <v>553</v>
      </c>
      <c r="D1165" s="166" t="str">
        <f>IFERROR((F1165/E1165),"")</f>
        <v/>
      </c>
      <c r="E1165" s="4">
        <v>1</v>
      </c>
      <c r="F1165" s="3" t="str">
        <f>IFERROR((L1165-K1165),"")</f>
        <v/>
      </c>
      <c r="G1165" s="5">
        <f>G1157</f>
        <v>10</v>
      </c>
      <c r="H1165" s="39" t="e">
        <f>ROUNDUP(SUMPRODUCT(B1166,C1166)/1500,2)</f>
        <v>#N/A</v>
      </c>
      <c r="I1165" s="34">
        <f t="shared" ref="I1165:I1166" si="1861">IFERROR((S1165*E1165),"")</f>
        <v>0</v>
      </c>
      <c r="J1165" s="78" t="str">
        <f>IFERROR(VLOOKUP(C1165,[2]Sheet1!$D:$J,7,0),"")</f>
        <v/>
      </c>
      <c r="K1165" s="80" t="str">
        <f t="shared" ref="K1165:K1166" si="1862">IFERROR((I1165+J1165),"")</f>
        <v/>
      </c>
      <c r="L1165" s="7" t="str">
        <f t="shared" ref="L1165:L1166" si="1863">IFERROR((G1165*H1165),"")</f>
        <v/>
      </c>
      <c r="M1165" s="8" t="str">
        <f t="shared" ref="M1165:M1166" si="1864">IFERROR(K1165-L1165,"")</f>
        <v/>
      </c>
      <c r="N1165" s="57" t="str">
        <f>IFERROR((K1165/H1165),"")</f>
        <v/>
      </c>
      <c r="P1165" s="1"/>
      <c r="Q1165" s="1">
        <v>10125</v>
      </c>
      <c r="R1165" s="1"/>
      <c r="S1165" s="41">
        <f t="shared" si="1860"/>
        <v>0</v>
      </c>
      <c r="V1165" s="183"/>
      <c r="W1165" s="190"/>
      <c r="X1165" s="183"/>
      <c r="Y1165" s="42"/>
      <c r="AA1165" s="206"/>
    </row>
    <row r="1166" spans="1:32" hidden="1" ns3:dyDescent="0.3">
      <c r="A1166" s="280" t="s">
        <v>528</v>
      </c>
      <c r="B1166" s="11" t="e">
        <f>ROUNDUP(HLOOKUP(A1166,'야채 계산기'!$2:$3,2,0),0)</f>
        <v>#N/A</v>
      </c>
      <c r="C1166" s="164">
        <v>1</v>
      </c>
      <c r="D1166" s="166" t="str">
        <f t="shared" ref="D1166" si="1865">IFERROR((F1166/E1166),"")</f>
        <v/>
      </c>
      <c r="E1166" s="4"/>
      <c r="F1166" s="3"/>
      <c r="G1166" s="5"/>
      <c r="H1166" s="38"/>
      <c r="I1166" s="34">
        <f t="shared" si="1861"/>
        <v>0</v>
      </c>
      <c r="J1166" s="78" t="str">
        <f>IFERROR(VLOOKUP(C1166,[2]Sheet1!$D:$J,7,0),"")</f>
        <v/>
      </c>
      <c r="K1166" s="80" t="str">
        <f t="shared" si="1862"/>
        <v/>
      </c>
      <c r="L1166" s="7">
        <f t="shared" si="1863"/>
        <v>0</v>
      </c>
      <c r="M1166" s="8" t="str">
        <f t="shared" si="1864"/>
        <v/>
      </c>
      <c r="N1166" s="57" t="str">
        <f t="shared" ref="N1166" si="1866">IFERROR((K1166/H1166),"")</f>
        <v/>
      </c>
      <c r="O1166" s="9"/>
      <c r="P1166" s="10"/>
      <c r="Q1166" s="10"/>
      <c r="R1166" s="10">
        <f t="shared" ref="R1166" si="1867">O1166*P1166*Q1166</f>
        <v>0</v>
      </c>
      <c r="S1166" s="41">
        <f t="shared" si="1860"/>
        <v>0</v>
      </c>
      <c r="V1166" s="137"/>
      <c r="W1166" s="190"/>
      <c r="X1166" s="137"/>
      <c r="Y1166" s="42"/>
      <c r="Z1166" s="140"/>
      <c r="AA1166" s="206"/>
      <c r="AB1166"/>
      <c r="AC1166"/>
      <c r="AD1166"/>
      <c r="AE1166"/>
      <c r="AF1166"/>
    </row>
    <row r="1167" spans="1:32" hidden="1" ns3:dyDescent="0.3">
      <c r="A1167" s="2"/>
      <c r="B1167" s="11"/>
      <c r="C1167" s="262" t="s">
        <v>596</v>
      </c>
      <c r="D1167" s="166" t="str">
        <f>IFERROR((F1167/E1167),"")</f>
        <v/>
      </c>
      <c r="E1167" s="4">
        <v>1</v>
      </c>
      <c r="F1167" s="3" t="str">
        <f>IFERROR((L1167-K1167),"")</f>
        <v/>
      </c>
      <c r="G1167" s="5">
        <f>G1159</f>
        <v>10</v>
      </c>
      <c r="H1167" s="39" t="e">
        <f>ROUNDUP(SUMPRODUCT(B1168,C1168)/1500,2)</f>
        <v>#N/A</v>
      </c>
      <c r="I1167" s="34">
        <f t="shared" si="1851"/>
        <v>0</v>
      </c>
      <c r="J1167" s="78" t="str">
        <f>IFERROR(VLOOKUP(C1167,[2]Sheet1!$D:$J,7,0),"")</f>
        <v/>
      </c>
      <c r="K1167" s="80" t="str">
        <f t="shared" si="1852"/>
        <v/>
      </c>
      <c r="L1167" s="7" t="str">
        <f t="shared" si="1853"/>
        <v/>
      </c>
      <c r="M1167" s="8" t="str">
        <f t="shared" si="1854"/>
        <v/>
      </c>
      <c r="N1167" s="57" t="str">
        <f>IFERROR((K1167/H1167),"")</f>
        <v/>
      </c>
      <c r="P1167" s="1"/>
      <c r="Q1167" s="1">
        <v>48000</v>
      </c>
      <c r="R1167" s="1"/>
      <c r="S1167" s="41">
        <f t="shared" si="1860"/>
        <v>0</v>
      </c>
      <c r="V1167" s="183"/>
      <c r="W1167" s="190"/>
      <c r="X1167" s="183"/>
      <c r="Y1167" s="42"/>
      <c r="AA1167" s="206"/>
    </row>
    <row r="1168" spans="1:32" hidden="1" ns3:dyDescent="0.3">
      <c r="A1168" s="278" t="s">
        <v>597</v>
      </c>
      <c r="B1168" s="11" t="e">
        <f>ROUNDUP(HLOOKUP(A1168,'야채 계산기'!$2:$3,2,0),0)</f>
        <v>#N/A</v>
      </c>
      <c r="C1168" s="164">
        <v>1</v>
      </c>
      <c r="D1168" s="166" t="str">
        <f t="shared" ref="D1168" si="1868">IFERROR((F1168/E1168),"")</f>
        <v/>
      </c>
      <c r="E1168" s="4"/>
      <c r="F1168" s="3"/>
      <c r="G1168" s="5"/>
      <c r="H1168" s="38"/>
      <c r="I1168" s="34">
        <f t="shared" si="1851"/>
        <v>0</v>
      </c>
      <c r="J1168" s="78" t="str">
        <f>IFERROR(VLOOKUP(C1168,[2]Sheet1!$D:$J,7,0),"")</f>
        <v/>
      </c>
      <c r="K1168" s="80" t="str">
        <f t="shared" si="1852"/>
        <v/>
      </c>
      <c r="L1168" s="7">
        <f t="shared" si="1853"/>
        <v>0</v>
      </c>
      <c r="M1168" s="8" t="str">
        <f t="shared" si="1854"/>
        <v/>
      </c>
      <c r="N1168" s="57" t="str">
        <f t="shared" ref="N1168" si="1869">IFERROR((K1168/H1168),"")</f>
        <v/>
      </c>
      <c r="O1168" s="9"/>
      <c r="P1168" s="10"/>
      <c r="Q1168" s="10"/>
      <c r="R1168" s="10">
        <f t="shared" ref="R1168" si="1870">O1168*P1168*Q1168</f>
        <v>0</v>
      </c>
      <c r="S1168" s="41">
        <f t="shared" si="1860"/>
        <v>0</v>
      </c>
      <c r="V1168" s="137"/>
      <c r="W1168" s="190"/>
      <c r="X1168" s="137"/>
      <c r="Y1168" s="42"/>
      <c r="Z1168" s="140"/>
      <c r="AA1168" s="206"/>
      <c r="AB1168"/>
      <c r="AC1168"/>
      <c r="AD1168"/>
      <c r="AE1168"/>
      <c r="AF1168"/>
    </row>
    <row r="1169" spans="1:33" hidden="1" ns3:dyDescent="0.3">
      <c r="A1169" s="2"/>
      <c r="B1169" s="11"/>
      <c r="C1169" s="164" t="s">
        <v>555</v>
      </c>
      <c r="D1169" s="166" t="str">
        <f>IFERROR((F1169/E1169),"")</f>
        <v/>
      </c>
      <c r="E1169" s="4">
        <v>1</v>
      </c>
      <c r="F1169" s="3" t="str">
        <f>IFERROR((L1169-K1169),"")</f>
        <v/>
      </c>
      <c r="G1169" s="5">
        <f>G1159</f>
        <v>10</v>
      </c>
      <c r="H1169" s="39" t="e">
        <f>ROUNDUP(SUMPRODUCT(B1170,C1170)/3000,2)</f>
        <v>#N/A</v>
      </c>
      <c r="I1169" s="34">
        <f t="shared" ref="I1169:I1172" si="1871">IFERROR((S1169*E1169),"")</f>
        <v>0</v>
      </c>
      <c r="J1169" s="78" t="str">
        <f>IFERROR(VLOOKUP(C1169,[2]Sheet1!$D:$J,7,0),"")</f>
        <v/>
      </c>
      <c r="K1169" s="80" t="str">
        <f t="shared" ref="K1169:K1172" si="1872">IFERROR((I1169+J1169),"")</f>
        <v/>
      </c>
      <c r="L1169" s="7" t="str">
        <f t="shared" ref="L1169:L1172" si="1873">IFERROR((G1169*H1169),"")</f>
        <v/>
      </c>
      <c r="M1169" s="8" t="str">
        <f t="shared" ref="M1169:M1172" si="1874">IFERROR(K1169-L1169,"")</f>
        <v/>
      </c>
      <c r="N1169" s="57" t="str">
        <f>IFERROR((K1169/H1169),"")</f>
        <v/>
      </c>
      <c r="P1169" s="1"/>
      <c r="Q1169" s="1">
        <v>19500</v>
      </c>
      <c r="R1169" s="1"/>
      <c r="S1169" s="41">
        <f t="shared" si="1860"/>
        <v>0</v>
      </c>
      <c r="V1169" s="173"/>
      <c r="W1169" s="190"/>
      <c r="X1169" s="183"/>
      <c r="Y1169" s="42"/>
      <c r="AA1169" s="206"/>
    </row>
    <row r="1170" spans="1:33" hidden="1" ns3:dyDescent="0.3">
      <c r="A1170" s="278" t="s">
        <v>531</v>
      </c>
      <c r="B1170" s="11" t="e">
        <f>ROUNDUP(HLOOKUP(A1170,'야채 계산기'!$2:$3,2,0),0)</f>
        <v>#N/A</v>
      </c>
      <c r="C1170" s="164">
        <v>1</v>
      </c>
      <c r="D1170" s="166" t="str">
        <f t="shared" ref="D1170" si="1875">IFERROR((F1170/E1170),"")</f>
        <v/>
      </c>
      <c r="E1170" s="4"/>
      <c r="F1170" s="3"/>
      <c r="G1170" s="5"/>
      <c r="H1170" s="38"/>
      <c r="I1170" s="34">
        <f t="shared" si="1871"/>
        <v>0</v>
      </c>
      <c r="J1170" s="78" t="str">
        <f>IFERROR(VLOOKUP(C1170,[2]Sheet1!$D:$J,7,0),"")</f>
        <v/>
      </c>
      <c r="K1170" s="80" t="str">
        <f t="shared" si="1872"/>
        <v/>
      </c>
      <c r="L1170" s="7">
        <f t="shared" si="1873"/>
        <v>0</v>
      </c>
      <c r="M1170" s="8" t="str">
        <f t="shared" si="1874"/>
        <v/>
      </c>
      <c r="N1170" s="57" t="str">
        <f t="shared" ref="N1170" si="1876">IFERROR((K1170/H1170),"")</f>
        <v/>
      </c>
      <c r="O1170" s="9"/>
      <c r="P1170" s="10"/>
      <c r="Q1170" s="10"/>
      <c r="R1170" s="10">
        <f t="shared" ref="R1170" si="1877">O1170*P1170*Q1170</f>
        <v>0</v>
      </c>
      <c r="S1170" s="41">
        <f t="shared" si="1860"/>
        <v>0</v>
      </c>
      <c r="V1170" s="137"/>
      <c r="W1170" s="190"/>
      <c r="X1170" s="137"/>
      <c r="Y1170" s="42"/>
      <c r="Z1170" s="140"/>
      <c r="AA1170" s="206"/>
      <c r="AB1170"/>
      <c r="AC1170"/>
      <c r="AD1170"/>
      <c r="AE1170"/>
      <c r="AF1170"/>
    </row>
    <row r="1171" spans="1:33" hidden="1" ns3:dyDescent="0.3">
      <c r="A1171" s="2"/>
      <c r="B1171" s="11"/>
      <c r="C1171" s="262" t="s">
        <v>559</v>
      </c>
      <c r="D1171" s="166" t="str">
        <f>IFERROR((F1171/E1171),"")</f>
        <v/>
      </c>
      <c r="E1171" s="4">
        <v>1</v>
      </c>
      <c r="F1171" s="3" t="str">
        <f>IFERROR((L1171-K1171),"")</f>
        <v/>
      </c>
      <c r="G1171" s="5">
        <f>G1159</f>
        <v>10</v>
      </c>
      <c r="H1171" s="39" t="e">
        <f>ROUNDUP(SUMPRODUCT(B1172,C1172)/1000,2)</f>
        <v>#N/A</v>
      </c>
      <c r="I1171" s="34">
        <f t="shared" si="1871"/>
        <v>0</v>
      </c>
      <c r="J1171" s="78" t="str">
        <f>IFERROR(VLOOKUP(C1171,[2]Sheet1!$D:$J,7,0),"")</f>
        <v/>
      </c>
      <c r="K1171" s="80" t="str">
        <f t="shared" si="1872"/>
        <v/>
      </c>
      <c r="L1171" s="7" t="str">
        <f t="shared" si="1873"/>
        <v/>
      </c>
      <c r="M1171" s="8" t="str">
        <f t="shared" si="1874"/>
        <v/>
      </c>
      <c r="N1171" s="57" t="str">
        <f>IFERROR((K1171/H1171),"")</f>
        <v/>
      </c>
      <c r="P1171" s="1"/>
      <c r="Q1171" s="1"/>
      <c r="R1171" s="1"/>
      <c r="S1171" s="41">
        <f t="shared" ref="S1171:S1172" si="1878">SUM(Y1171,T1171:X1171)</f>
        <v>0</v>
      </c>
      <c r="V1171" s="183"/>
      <c r="W1171" s="190"/>
      <c r="X1171" s="183"/>
      <c r="Y1171" s="42"/>
      <c r="AA1171" s="206"/>
    </row>
    <row r="1172" spans="1:33" hidden="1" ns3:dyDescent="0.3">
      <c r="A1172" s="280" t="s">
        <v>557</v>
      </c>
      <c r="B1172" s="11" t="e">
        <f>ROUNDUP(HLOOKUP(A1172,'야채 계산기'!$2:$3,2,0),0)</f>
        <v>#N/A</v>
      </c>
      <c r="C1172" s="164">
        <v>1</v>
      </c>
      <c r="D1172" s="166" t="str">
        <f t="shared" ref="D1172" si="1879">IFERROR((F1172/E1172),"")</f>
        <v/>
      </c>
      <c r="E1172" s="4"/>
      <c r="F1172" s="3"/>
      <c r="G1172" s="5"/>
      <c r="H1172" s="38"/>
      <c r="I1172" s="34">
        <f t="shared" si="1871"/>
        <v>0</v>
      </c>
      <c r="J1172" s="78" t="str">
        <f>IFERROR(VLOOKUP(C1172,[2]Sheet1!$D:$J,7,0),"")</f>
        <v/>
      </c>
      <c r="K1172" s="80" t="str">
        <f t="shared" si="1872"/>
        <v/>
      </c>
      <c r="L1172" s="7">
        <f t="shared" si="1873"/>
        <v>0</v>
      </c>
      <c r="M1172" s="8" t="str">
        <f t="shared" si="1874"/>
        <v/>
      </c>
      <c r="N1172" s="57" t="str">
        <f t="shared" ref="N1172" si="1880">IFERROR((K1172/H1172),"")</f>
        <v/>
      </c>
      <c r="O1172" s="9"/>
      <c r="P1172" s="10"/>
      <c r="Q1172" s="10"/>
      <c r="R1172" s="10">
        <f t="shared" ref="R1172" si="1881">O1172*P1172*Q1172</f>
        <v>0</v>
      </c>
      <c r="S1172" s="41">
        <f t="shared" si="1878"/>
        <v>0</v>
      </c>
      <c r="W1172" s="190"/>
      <c r="Y1172" s="42"/>
      <c r="Z1172" s="140"/>
      <c r="AA1172" s="206"/>
      <c r="AB1172"/>
      <c r="AC1172"/>
      <c r="AD1172"/>
      <c r="AE1172"/>
      <c r="AF1172"/>
    </row>
    <row r="1173" spans="1:33" hidden="1" ns3:dyDescent="0.3">
      <c r="A1173" s="2"/>
      <c r="B1173" s="11"/>
      <c r="C1173" s="262" t="s">
        <v>635</v>
      </c>
      <c r="D1173" s="166" t="str">
        <f>IFERROR((F1173/E1173),"")</f>
        <v/>
      </c>
      <c r="E1173" s="4">
        <v>1</v>
      </c>
      <c r="F1173" s="3" t="str">
        <f>IFERROR((L1173-K1173),"")</f>
        <v/>
      </c>
      <c r="G1173" s="5">
        <f>G1161</f>
        <v>10</v>
      </c>
      <c r="H1173" s="39" t="e">
        <f>ROUNDUP(SUMPRODUCT(B1174,C1174)/1000,2)</f>
        <v>#N/A</v>
      </c>
      <c r="I1173" s="34">
        <f t="shared" si="1851"/>
        <v>0</v>
      </c>
      <c r="J1173" s="78" t="str">
        <f>IFERROR(VLOOKUP(C1173,[2]Sheet1!$D:$J,7,0),"")</f>
        <v/>
      </c>
      <c r="K1173" s="80" t="str">
        <f t="shared" si="1852"/>
        <v/>
      </c>
      <c r="L1173" s="7" t="str">
        <f t="shared" si="1853"/>
        <v/>
      </c>
      <c r="M1173" s="8" t="str">
        <f t="shared" si="1854"/>
        <v/>
      </c>
      <c r="N1173" s="57" t="str">
        <f>IFERROR((K1173/H1173),"")</f>
        <v/>
      </c>
      <c r="P1173" s="1"/>
      <c r="Q1173" s="1">
        <v>22</v>
      </c>
      <c r="R1173" s="1"/>
      <c r="S1173" s="41">
        <f t="shared" si="1860"/>
        <v>0</v>
      </c>
      <c r="V1173" s="183"/>
      <c r="W1173" s="190"/>
      <c r="X1173" s="183"/>
      <c r="Y1173" s="42"/>
      <c r="AA1173" s="206"/>
    </row>
    <row r="1174" spans="1:33" hidden="1" ns3:dyDescent="0.3">
      <c r="A1174" s="278" t="s">
        <v>629</v>
      </c>
      <c r="B1174" s="11" t="e">
        <f>ROUNDUP(HLOOKUP(A1174,'야채 계산기'!$2:$3,2,0),0)</f>
        <v>#N/A</v>
      </c>
      <c r="C1174" s="164">
        <v>1</v>
      </c>
      <c r="D1174" s="166" t="str">
        <f t="shared" ref="D1174" si="1882">IFERROR((F1174/E1174),"")</f>
        <v/>
      </c>
      <c r="E1174" s="4"/>
      <c r="F1174" s="3"/>
      <c r="G1174" s="5"/>
      <c r="H1174" s="38"/>
      <c r="I1174" s="34">
        <f t="shared" si="1851"/>
        <v>0</v>
      </c>
      <c r="J1174" s="78" t="str">
        <f>IFERROR(VLOOKUP(C1174,[2]Sheet1!$D:$J,7,0),"")</f>
        <v/>
      </c>
      <c r="K1174" s="80" t="str">
        <f t="shared" si="1852"/>
        <v/>
      </c>
      <c r="L1174" s="7">
        <f t="shared" si="1853"/>
        <v>0</v>
      </c>
      <c r="M1174" s="8" t="str">
        <f t="shared" si="1854"/>
        <v/>
      </c>
      <c r="N1174" s="57" t="str">
        <f t="shared" ref="N1174" si="1883">IFERROR((K1174/H1174),"")</f>
        <v/>
      </c>
      <c r="O1174" s="9"/>
      <c r="P1174" s="10"/>
      <c r="Q1174" s="10"/>
      <c r="R1174" s="10">
        <f t="shared" ref="R1174" si="1884">O1174*P1174*Q1174</f>
        <v>0</v>
      </c>
      <c r="S1174" s="41">
        <f t="shared" si="1860"/>
        <v>0</v>
      </c>
      <c r="W1174" s="190"/>
      <c r="Y1174" s="42"/>
      <c r="Z1174" s="140"/>
      <c r="AA1174" s="206"/>
      <c r="AB1174"/>
      <c r="AC1174"/>
      <c r="AD1174"/>
      <c r="AE1174"/>
      <c r="AF1174"/>
    </row>
    <row r="1175" spans="1:33" ns3:dyDescent="0.3">
      <c r="A1175" s="2"/>
      <c r="B1175" s="11"/>
      <c r="C1175" s="310" t="s">
        <v>699</v>
      </c>
      <c r="D1175" s="166" t="str">
        <f>IFERROR((F1175/E1175),"")</f>
        <v/>
      </c>
      <c r="E1175" s="4">
        <v>1</v>
      </c>
      <c r="F1175" s="3" t="str">
        <f>IFERROR((L1175-K1175),"")</f>
        <v/>
      </c>
      <c r="G1175" s="5">
        <f>G1169</f>
        <v>10</v>
      </c>
      <c r="H1175" s="39">
        <f>ROUNDUP(SUMPRODUCT(B1176,C1176)/1000,2)</f>
        <v>1.47</v>
      </c>
      <c r="I1175" s="34">
        <f t="shared" si="1851"/>
        <v>11</v>
      </c>
      <c r="J1175" s="78" t="str">
        <f>IFERROR(VLOOKUP(C1175,[2]Sheet1!$D:$J,7,0),"")</f>
        <v/>
      </c>
      <c r="K1175" s="80" t="str">
        <f t="shared" si="1852"/>
        <v/>
      </c>
      <c r="L1175" s="7">
        <f t="shared" si="1853"/>
        <v>14.7</v>
      </c>
      <c r="M1175" s="8" t="str">
        <f t="shared" si="1854"/>
        <v/>
      </c>
      <c r="N1175" s="57" t="str">
        <f>IFERROR((K1175/H1175),"")</f>
        <v/>
      </c>
      <c r="P1175" s="1"/>
      <c r="Q1175" s="1">
        <v>77048</v>
      </c>
      <c r="R1175" s="1"/>
      <c r="S1175" s="41">
        <f t="shared" ref="S1175:S1178" si="1885">SUM(Y1175,T1175:X1175)</f>
        <v>11</v>
      </c>
      <c r="T1175" s="1">
        <v>1</v>
      </c>
      <c r="V1175" s="173">
        <v>10</v>
      </c>
      <c r="W1175" s="190"/>
      <c r="X1175" s="183"/>
      <c r="Y1175" s="42"/>
      <c r="AA1175" s="206"/>
    </row>
    <row r="1176" spans="1:33" ns3:dyDescent="0.3">
      <c r="A1176" s="43" t="s">
        <v>638</v>
      </c>
      <c r="B1176" s="11">
        <f>ROUNDUP(HLOOKUP(A1176,'야채 계산기'!$2:$3,2,0),0)</f>
        <v>1470</v>
      </c>
      <c r="C1176" s="164">
        <v>1</v>
      </c>
      <c r="D1176" s="166" t="str">
        <f t="shared" ref="D1176" si="1886">IFERROR((F1176/E1176),"")</f>
        <v/>
      </c>
      <c r="E1176" s="4"/>
      <c r="F1176" s="3"/>
      <c r="G1176" s="5"/>
      <c r="H1176" s="38"/>
      <c r="I1176" s="34">
        <f t="shared" si="1851"/>
        <v>0</v>
      </c>
      <c r="J1176" s="78" t="str">
        <f>IFERROR(VLOOKUP(C1176,[2]Sheet1!$D:$J,7,0),"")</f>
        <v/>
      </c>
      <c r="K1176" s="80" t="str">
        <f t="shared" si="1852"/>
        <v/>
      </c>
      <c r="L1176" s="7">
        <f t="shared" si="1853"/>
        <v>0</v>
      </c>
      <c r="M1176" s="8" t="str">
        <f t="shared" si="1854"/>
        <v/>
      </c>
      <c r="N1176" s="57" t="str">
        <f t="shared" ref="N1176" si="1887">IFERROR((K1176/H1176),"")</f>
        <v/>
      </c>
      <c r="O1176" s="9"/>
      <c r="P1176" s="10"/>
      <c r="Q1176" s="10"/>
      <c r="R1176" s="10">
        <f t="shared" ref="R1176" si="1888">O1176*P1176*Q1176</f>
        <v>0</v>
      </c>
      <c r="S1176" s="41">
        <f t="shared" si="1885"/>
        <v>0</v>
      </c>
      <c r="V1176" s="137"/>
      <c r="W1176" s="190"/>
      <c r="X1176" s="137"/>
      <c r="Y1176" s="42"/>
      <c r="Z1176" s="140"/>
      <c r="AA1176" s="206"/>
      <c r="AB1176"/>
      <c r="AC1176"/>
      <c r="AD1176"/>
      <c r="AE1176"/>
      <c r="AF1176"/>
    </row>
    <row r="1177" spans="1:33" ns3:dyDescent="0.3">
      <c r="A1177" s="2"/>
      <c r="B1177" s="11"/>
      <c r="C1177" s="236" t="s">
        <v>796</v>
      </c>
      <c r="D1177" s="166" t="str">
        <f>IFERROR((F1177/E1177),"")</f>
        <v/>
      </c>
      <c r="E1177" s="4">
        <v>1</v>
      </c>
      <c r="F1177" s="3" t="str">
        <f>IFERROR((L1177-K1177),"")</f>
        <v/>
      </c>
      <c r="G1177" s="5">
        <f>G1169</f>
        <v>10</v>
      </c>
      <c r="H1177" s="39">
        <f>ROUNDUP(SUMPRODUCT(B1178,C1178)/1500,2)</f>
        <v>0.74</v>
      </c>
      <c r="I1177" s="34">
        <f t="shared" si="1851"/>
        <v>3</v>
      </c>
      <c r="J1177" s="78" t="str">
        <f>IFERROR(VLOOKUP(C1177,[2]Sheet1!$D:$J,7,0),"")</f>
        <v/>
      </c>
      <c r="K1177" s="80" t="str">
        <f t="shared" si="1852"/>
        <v/>
      </c>
      <c r="L1177" s="7">
        <f t="shared" si="1853"/>
        <v>7.4</v>
      </c>
      <c r="M1177" s="8" t="str">
        <f t="shared" si="1854"/>
        <v/>
      </c>
      <c r="N1177" s="57" t="str">
        <f>IFERROR((K1177/H1177),"")</f>
        <v/>
      </c>
      <c r="P1177" s="1"/>
      <c r="Q1177" s="1">
        <v>40500</v>
      </c>
      <c r="R1177" s="1"/>
      <c r="S1177" s="41">
        <f t="shared" si="1885"/>
        <v>3</v>
      </c>
      <c r="V1177" s="183">
        <v>3</v>
      </c>
      <c r="W1177" s="190"/>
      <c r="X1177" s="183"/>
      <c r="Y1177" s="42"/>
      <c r="AA1177" s="206"/>
    </row>
    <row r="1178" spans="1:33" ns3:dyDescent="0.3">
      <c r="A1178" s="313" t="s">
        <v>796</v>
      </c>
      <c r="B1178" s="11">
        <f>ROUNDUP(HLOOKUP(A1178,'야채 계산기'!$2:$3,2,0),0)</f>
        <v>1100</v>
      </c>
      <c r="C1178" s="164">
        <v>1</v>
      </c>
      <c r="D1178" s="166" t="str">
        <f t="shared" ref="D1178" si="1889">IFERROR((F1178/E1178),"")</f>
        <v/>
      </c>
      <c r="E1178" s="4"/>
      <c r="F1178" s="3"/>
      <c r="G1178" s="5"/>
      <c r="H1178" s="38"/>
      <c r="I1178" s="34">
        <f t="shared" si="1851"/>
        <v>0</v>
      </c>
      <c r="J1178" s="78" t="str">
        <f>IFERROR(VLOOKUP(C1178,[2]Sheet1!$D:$J,7,0),"")</f>
        <v/>
      </c>
      <c r="K1178" s="80" t="str">
        <f t="shared" si="1852"/>
        <v/>
      </c>
      <c r="L1178" s="7">
        <f t="shared" si="1853"/>
        <v>0</v>
      </c>
      <c r="M1178" s="8" t="str">
        <f t="shared" si="1854"/>
        <v/>
      </c>
      <c r="N1178" s="57" t="str">
        <f t="shared" ref="N1178" si="1890">IFERROR((K1178/H1178),"")</f>
        <v/>
      </c>
      <c r="O1178" s="9"/>
      <c r="P1178" s="10"/>
      <c r="Q1178" s="10"/>
      <c r="R1178" s="10">
        <f t="shared" ref="R1178" si="1891">O1178*P1178*Q1178</f>
        <v>0</v>
      </c>
      <c r="S1178" s="41">
        <f t="shared" si="1885"/>
        <v>0</v>
      </c>
      <c r="V1178" s="137"/>
      <c r="W1178" s="190"/>
      <c r="X1178" s="137"/>
      <c r="Y1178" s="42"/>
      <c r="Z1178" s="140"/>
      <c r="AA1178" s="206"/>
      <c r="AB1178"/>
      <c r="AC1178"/>
      <c r="AD1178"/>
      <c r="AE1178"/>
      <c r="AF1178"/>
    </row>
    <row r="1179" spans="1:33" hidden="1" ns3:dyDescent="0.3">
      <c r="A1179" s="2"/>
      <c r="B1179" s="11"/>
      <c r="C1179" s="262" t="s">
        <v>706</v>
      </c>
      <c r="D1179" s="166" t="str">
        <f>IFERROR((F1179/E1179),"")</f>
        <v/>
      </c>
      <c r="E1179" s="4">
        <v>1</v>
      </c>
      <c r="F1179" s="3" t="str">
        <f>IFERROR((L1179-K1179),"")</f>
        <v/>
      </c>
      <c r="G1179" s="5">
        <f>G1171</f>
        <v>10</v>
      </c>
      <c r="H1179" s="39" t="e">
        <f>ROUNDUP(SUMPRODUCT(B1180,C1180)/1000,2)</f>
        <v>#N/A</v>
      </c>
      <c r="I1179" s="34">
        <f t="shared" ref="I1179:I1196" si="1892">IFERROR((S1179*E1179),"")</f>
        <v>0</v>
      </c>
      <c r="J1179" s="78" t="str">
        <f>IFERROR(VLOOKUP(C1179,[2]Sheet1!$D:$J,7,0),"")</f>
        <v/>
      </c>
      <c r="K1179" s="80" t="str">
        <f t="shared" ref="K1179:K1196" si="1893">IFERROR((I1179+J1179),"")</f>
        <v/>
      </c>
      <c r="L1179" s="7" t="str">
        <f t="shared" ref="L1179:L1196" si="1894">IFERROR((G1179*H1179),"")</f>
        <v/>
      </c>
      <c r="M1179" s="8" t="str">
        <f t="shared" ref="M1179:M1196" si="1895">IFERROR(K1179-L1179,"")</f>
        <v/>
      </c>
      <c r="N1179" s="57" t="str">
        <f>IFERROR((K1179/H1179),"")</f>
        <v/>
      </c>
      <c r="P1179" s="1"/>
      <c r="Q1179" s="1">
        <v>53000</v>
      </c>
      <c r="R1179" s="1"/>
      <c r="S1179" s="41">
        <f t="shared" si="1860"/>
        <v>0</v>
      </c>
      <c r="V1179" s="183"/>
      <c r="W1179" s="190"/>
      <c r="X1179" s="183"/>
      <c r="Y1179" s="42"/>
      <c r="AA1179" s="206"/>
    </row>
    <row r="1180" spans="1:33" hidden="1" ns3:dyDescent="0.3">
      <c r="A1180" s="278" t="s">
        <v>671</v>
      </c>
      <c r="B1180" s="11" t="e">
        <f>ROUNDUP(HLOOKUP(A1180,'야채 계산기'!$2:$3,2,0),0)</f>
        <v>#N/A</v>
      </c>
      <c r="C1180" s="164">
        <v>1</v>
      </c>
      <c r="D1180" s="166" t="str">
        <f t="shared" ref="D1180" si="1896">IFERROR((F1180/E1180),"")</f>
        <v/>
      </c>
      <c r="E1180" s="4"/>
      <c r="F1180" s="3"/>
      <c r="G1180" s="5"/>
      <c r="H1180" s="38"/>
      <c r="I1180" s="34">
        <f t="shared" si="1892"/>
        <v>0</v>
      </c>
      <c r="J1180" s="78" t="str">
        <f>IFERROR(VLOOKUP(C1180,[2]Sheet1!$D:$J,7,0),"")</f>
        <v/>
      </c>
      <c r="K1180" s="80" t="str">
        <f t="shared" si="1893"/>
        <v/>
      </c>
      <c r="L1180" s="7">
        <f t="shared" si="1894"/>
        <v>0</v>
      </c>
      <c r="M1180" s="8" t="str">
        <f t="shared" si="1895"/>
        <v/>
      </c>
      <c r="N1180" s="57" t="str">
        <f t="shared" ref="N1180" si="1897">IFERROR((K1180/H1180),"")</f>
        <v/>
      </c>
      <c r="O1180" s="9"/>
      <c r="P1180" s="10"/>
      <c r="Q1180" s="10"/>
      <c r="R1180" s="10">
        <f t="shared" ref="R1180" si="1898">O1180*P1180*Q1180</f>
        <v>0</v>
      </c>
      <c r="S1180" s="41">
        <f t="shared" ref="S1180" si="1899">SUM(Y1180,T1180:X1180)</f>
        <v>0</v>
      </c>
      <c r="V1180" s="137"/>
      <c r="W1180" s="190"/>
      <c r="X1180" s="137"/>
      <c r="Y1180" s="42"/>
      <c r="Z1180" s="140"/>
      <c r="AA1180" s="206"/>
      <c r="AB1180"/>
      <c r="AC1180"/>
      <c r="AD1180"/>
      <c r="AE1180"/>
      <c r="AF1180"/>
    </row>
    <row r="1181" spans="1:33" ns3:dyDescent="0.3">
      <c r="A1181" s="2"/>
      <c r="B1181" s="11"/>
      <c r="C1181" s="310" t="s">
        <v>521</v>
      </c>
      <c r="D1181" s="166" t="str">
        <f>IFERROR((F1181/E1181),"")</f>
        <v/>
      </c>
      <c r="E1181" s="4">
        <v>1</v>
      </c>
      <c r="F1181" s="3" t="str">
        <f>IFERROR((L1181-K1181),"")</f>
        <v/>
      </c>
      <c r="G1181" s="5">
        <f>G1135</f>
        <v>10</v>
      </c>
      <c r="H1181" s="39">
        <f>ROUNDUP(SUMPRODUCT(B1182,C1182)/1000,2)</f>
        <v>1.17</v>
      </c>
      <c r="I1181" s="34">
        <f t="shared" si="1892"/>
        <v>4</v>
      </c>
      <c r="J1181" s="78" t="str">
        <f>IFERROR(VLOOKUP(C1181,[2]Sheet1!$D:$J,7,0),"")</f>
        <v/>
      </c>
      <c r="K1181" s="80" t="str">
        <f t="shared" si="1893"/>
        <v/>
      </c>
      <c r="L1181" s="7">
        <f t="shared" si="1894"/>
        <v>11.7</v>
      </c>
      <c r="M1181" s="8" t="str">
        <f t="shared" si="1895"/>
        <v/>
      </c>
      <c r="N1181" s="57" t="str">
        <f>IFERROR((K1181/H1181),"")</f>
        <v/>
      </c>
      <c r="P1181" s="1"/>
      <c r="Q1181" s="1">
        <v>39100</v>
      </c>
      <c r="R1181" s="1"/>
      <c r="S1181" s="41">
        <f>SUM(Y1181,T1181:X1181)</f>
        <v>4</v>
      </c>
      <c r="V1181" s="173">
        <v>4</v>
      </c>
      <c r="X1181" s="183"/>
      <c r="Y1181" s="42"/>
      <c r="AA1181" s="206"/>
    </row>
    <row r="1182" spans="1:33" ns3:dyDescent="0.3">
      <c r="A1182" s="43" t="s">
        <v>624</v>
      </c>
      <c r="B1182" s="11">
        <f>ROUNDUP(HLOOKUP(A1182,'야채 계산기'!$2:$3,2,0),0)</f>
        <v>1170</v>
      </c>
      <c r="C1182" s="164">
        <v>1</v>
      </c>
      <c r="D1182" s="166" t="str">
        <f t="shared" ref="D1182" si="1900">IFERROR((F1182/E1182),"")</f>
        <v/>
      </c>
      <c r="E1182" s="4"/>
      <c r="F1182" s="3"/>
      <c r="G1182" s="5"/>
      <c r="H1182" s="38"/>
      <c r="I1182" s="34">
        <f t="shared" si="1892"/>
        <v>0</v>
      </c>
      <c r="J1182" s="78" t="str">
        <f>IFERROR(VLOOKUP(C1182,[2]Sheet1!$D:$J,7,0),"")</f>
        <v/>
      </c>
      <c r="K1182" s="80" t="str">
        <f t="shared" si="1893"/>
        <v/>
      </c>
      <c r="L1182" s="7">
        <f t="shared" si="1894"/>
        <v>0</v>
      </c>
      <c r="M1182" s="8" t="str">
        <f t="shared" si="1895"/>
        <v/>
      </c>
      <c r="N1182" s="57" t="str">
        <f t="shared" ref="N1182" si="1901">IFERROR((K1182/H1182),"")</f>
        <v/>
      </c>
      <c r="O1182" s="9"/>
      <c r="P1182" s="10"/>
      <c r="Q1182" s="10"/>
      <c r="R1182" s="10">
        <f t="shared" ref="R1182" si="1902">O1182*P1182*Q1182</f>
        <v>0</v>
      </c>
      <c r="S1182" s="41">
        <f>SUM(AB1179,T1182:X1182)</f>
        <v>0</v>
      </c>
      <c r="W1182" s="190"/>
      <c r="AE1182"/>
      <c r="AF1182"/>
    </row>
    <row r="1183" spans="1:33" hidden="1" ns3:dyDescent="0.3">
      <c r="A1183" s="2"/>
      <c r="B1183" s="11"/>
      <c r="C1183" s="262" t="s">
        <v>467</v>
      </c>
      <c r="D1183" s="166" t="str">
        <f>IFERROR((F1183/E1183),"")</f>
        <v/>
      </c>
      <c r="E1183" s="4">
        <v>1</v>
      </c>
      <c r="F1183" s="3" t="str">
        <f>IFERROR((L1183-K1183),"")</f>
        <v/>
      </c>
      <c r="G1183" s="5">
        <f>G1135</f>
        <v>10</v>
      </c>
      <c r="H1183" s="39" t="e">
        <f>ROUNDUP(SUMPRODUCT(B1184,C1184)/1000,2)</f>
        <v>#N/A</v>
      </c>
      <c r="I1183" s="34">
        <f t="shared" ref="I1183:I1194" si="1903">IFERROR((S1183*E1183),"")</f>
        <v>0</v>
      </c>
      <c r="J1183" s="78" t="str">
        <f>IFERROR(VLOOKUP(C1183,[2]Sheet1!$D:$J,7,0),"")</f>
        <v/>
      </c>
      <c r="K1183" s="80" t="str">
        <f t="shared" si="1893"/>
        <v/>
      </c>
      <c r="L1183" s="7" t="str">
        <f t="shared" ref="L1183:L1194" si="1904">IFERROR((G1183*H1183),"")</f>
        <v/>
      </c>
      <c r="M1183" s="8" t="str">
        <f t="shared" ref="M1183:M1194" si="1905">IFERROR(K1183-L1183,"")</f>
        <v/>
      </c>
      <c r="N1183" s="57" t="str">
        <f>IFERROR((K1183/H1183),"")</f>
        <v/>
      </c>
      <c r="P1183" s="1"/>
      <c r="Q1183" s="1">
        <v>35427</v>
      </c>
      <c r="R1183" s="1"/>
      <c r="S1183" s="41">
        <f t="shared" ref="S1183" si="1906">SUM(Y1183,T1183:X1183)</f>
        <v>0</v>
      </c>
      <c r="V1183" s="173"/>
      <c r="X1183" s="183"/>
      <c r="Y1183" s="42"/>
      <c r="AA1183" s="206"/>
      <c r="AB1183" s="206"/>
      <c r="AC1183" s="206"/>
      <c r="AD1183" s="206"/>
      <c r="AE1183" s="206"/>
      <c r="AF1183" s="206"/>
      <c r="AG1183" s="206"/>
    </row>
    <row r="1184" spans="1:33" hidden="1" ns3:dyDescent="0.3">
      <c r="A1184" s="280" t="s">
        <v>493</v>
      </c>
      <c r="B1184" s="11" t="e">
        <f>ROUNDUP(HLOOKUP(A1184,'야채 계산기'!$2:$3,2,0),0)</f>
        <v>#N/A</v>
      </c>
      <c r="C1184" s="164">
        <v>1</v>
      </c>
      <c r="D1184" s="166" t="str">
        <f t="shared" ref="D1184" si="1907">IFERROR((F1184/E1184),"")</f>
        <v/>
      </c>
      <c r="E1184" s="4"/>
      <c r="F1184" s="3"/>
      <c r="G1184" s="5"/>
      <c r="H1184" s="38"/>
      <c r="I1184" s="34">
        <f t="shared" si="1903"/>
        <v>0</v>
      </c>
      <c r="J1184" s="78" t="str">
        <f>IFERROR(VLOOKUP(C1184,[2]Sheet1!$D:$J,7,0),"")</f>
        <v/>
      </c>
      <c r="K1184" s="80" t="str">
        <f t="shared" si="1893"/>
        <v/>
      </c>
      <c r="L1184" s="7">
        <f t="shared" si="1904"/>
        <v>0</v>
      </c>
      <c r="M1184" s="8" t="str">
        <f t="shared" si="1905"/>
        <v/>
      </c>
      <c r="N1184" s="57" t="str">
        <f t="shared" ref="N1184" si="1908">IFERROR((K1184/H1184),"")</f>
        <v/>
      </c>
      <c r="O1184" s="9"/>
      <c r="P1184" s="10"/>
      <c r="Q1184" s="10"/>
      <c r="R1184" s="10">
        <f t="shared" ref="R1184" si="1909">O1184*P1184*Q1184</f>
        <v>0</v>
      </c>
      <c r="S1184" s="41">
        <f>SUM(Y1184,T1184:X1184)</f>
        <v>0</v>
      </c>
      <c r="W1184" s="190"/>
      <c r="X1184" s="137"/>
      <c r="Y1184" s="42"/>
      <c r="Z1184" s="140"/>
      <c r="AA1184" s="206"/>
      <c r="AB1184"/>
      <c r="AC1184"/>
      <c r="AD1184"/>
      <c r="AE1184"/>
      <c r="AF1184"/>
    </row>
    <row r="1185" spans="1:33" hidden="1" ns3:dyDescent="0.3">
      <c r="A1185" s="2"/>
      <c r="B1185" s="11"/>
      <c r="C1185" s="262" t="s">
        <v>701</v>
      </c>
      <c r="D1185" s="166" t="str">
        <f>IFERROR((F1185/E1185),"")</f>
        <v/>
      </c>
      <c r="E1185" s="4">
        <v>1</v>
      </c>
      <c r="F1185" s="3" t="str">
        <f>IFERROR((L1185-K1185),"")</f>
        <v/>
      </c>
      <c r="G1185" s="5">
        <f>G1181</f>
        <v>10</v>
      </c>
      <c r="H1185" s="39" t="e">
        <f>ROUNDUP(SUMPRODUCT(B1186,C1186)/1500,2)</f>
        <v>#N/A</v>
      </c>
      <c r="I1185" s="34">
        <f t="shared" si="1903"/>
        <v>0</v>
      </c>
      <c r="J1185" s="78" t="str">
        <f>IFERROR(VLOOKUP(C1185,[2]Sheet1!$D:$J,7,0),"")</f>
        <v/>
      </c>
      <c r="K1185" s="80" t="str">
        <f t="shared" si="1893"/>
        <v/>
      </c>
      <c r="L1185" s="7" t="str">
        <f t="shared" si="1904"/>
        <v/>
      </c>
      <c r="M1185" s="8" t="str">
        <f t="shared" si="1905"/>
        <v/>
      </c>
      <c r="N1185" s="57" t="str">
        <f>IFERROR((K1185/H1185),"")</f>
        <v/>
      </c>
      <c r="P1185" s="1"/>
      <c r="Q1185" s="1"/>
      <c r="R1185" s="1"/>
      <c r="S1185" s="41">
        <f t="shared" ref="S1185" si="1910">SUM(Y1185,T1185:X1185)</f>
        <v>0</v>
      </c>
      <c r="V1185" s="173"/>
      <c r="X1185" s="183"/>
      <c r="Y1185" s="42"/>
      <c r="AA1185" s="206"/>
      <c r="AB1185" s="206"/>
      <c r="AC1185" s="206"/>
      <c r="AD1185" s="206"/>
      <c r="AE1185" s="206"/>
      <c r="AF1185" s="206"/>
      <c r="AG1185" s="206"/>
    </row>
    <row r="1186" spans="1:33" hidden="1" ns3:dyDescent="0.3">
      <c r="A1186" s="278" t="s">
        <v>697</v>
      </c>
      <c r="B1186" s="11" t="e">
        <f>ROUNDUP(HLOOKUP(A1186,'야채 계산기'!$2:$3,2,0),0)</f>
        <v>#N/A</v>
      </c>
      <c r="C1186" s="164">
        <v>1</v>
      </c>
      <c r="D1186" s="166" t="str">
        <f t="shared" ref="D1186" si="1911">IFERROR((F1186/E1186),"")</f>
        <v/>
      </c>
      <c r="E1186" s="4"/>
      <c r="F1186" s="3"/>
      <c r="G1186" s="5"/>
      <c r="H1186" s="38"/>
      <c r="I1186" s="34">
        <f t="shared" si="1903"/>
        <v>0</v>
      </c>
      <c r="J1186" s="78" t="str">
        <f>IFERROR(VLOOKUP(C1186,[2]Sheet1!$D:$J,7,0),"")</f>
        <v/>
      </c>
      <c r="K1186" s="80" t="str">
        <f t="shared" si="1893"/>
        <v/>
      </c>
      <c r="L1186" s="7">
        <f t="shared" si="1904"/>
        <v>0</v>
      </c>
      <c r="M1186" s="8" t="str">
        <f t="shared" si="1905"/>
        <v/>
      </c>
      <c r="N1186" s="57" t="str">
        <f t="shared" ref="N1186" si="1912">IFERROR((K1186/H1186),"")</f>
        <v/>
      </c>
      <c r="O1186" s="9"/>
      <c r="P1186" s="10"/>
      <c r="Q1186" s="10"/>
      <c r="R1186" s="10">
        <f t="shared" ref="R1186" si="1913">O1186*P1186*Q1186</f>
        <v>0</v>
      </c>
      <c r="S1186" s="41">
        <f>SUM(Y1186,T1186:X1186)</f>
        <v>0</v>
      </c>
      <c r="W1186" s="190"/>
      <c r="X1186" s="137"/>
      <c r="Y1186" s="42"/>
      <c r="Z1186" s="140"/>
      <c r="AA1186" s="206"/>
      <c r="AB1186"/>
      <c r="AC1186"/>
      <c r="AD1186"/>
      <c r="AE1186"/>
      <c r="AF1186"/>
    </row>
    <row r="1187" spans="1:33" ns3:dyDescent="0.3">
      <c r="A1187" s="297"/>
      <c r="B1187" s="11"/>
      <c r="C1187" s="62" t="s">
        <v>725</v>
      </c>
      <c r="D1187" s="166" t="str">
        <f>IFERROR((F1187/E1187),"")</f>
        <v/>
      </c>
      <c r="E1187" s="4">
        <v>1</v>
      </c>
      <c r="F1187" s="3" t="str">
        <f>IFERROR((L1187-K1187),"")</f>
        <v/>
      </c>
      <c r="G1187" s="5">
        <f>G1181</f>
        <v>10</v>
      </c>
      <c r="H1187" s="39">
        <f>ROUNDUP(SUMPRODUCT(B1188,C1188)/1000,2)</f>
        <v>1.68</v>
      </c>
      <c r="I1187" s="34">
        <f t="shared" si="1903"/>
        <v>11</v>
      </c>
      <c r="J1187" s="78" t="str">
        <f>IFERROR(VLOOKUP(C1187,[2]Sheet1!$D:$J,7,0),"")</f>
        <v/>
      </c>
      <c r="K1187" s="80" t="str">
        <f t="shared" si="1893"/>
        <v/>
      </c>
      <c r="L1187" s="7">
        <f t="shared" si="1904"/>
        <v>16.8</v>
      </c>
      <c r="M1187" s="8" t="str">
        <f t="shared" si="1905"/>
        <v/>
      </c>
      <c r="N1187" s="57" t="str">
        <f>IFERROR((K1187/H1187),"")</f>
        <v/>
      </c>
      <c r="P1187" s="1"/>
      <c r="Q1187" s="1"/>
      <c r="R1187" s="1"/>
      <c r="S1187" s="41">
        <f t="shared" ref="S1187" si="1914">SUM(Y1187,T1187:X1187)</f>
        <v>11</v>
      </c>
      <c r="V1187" s="173">
        <v>11</v>
      </c>
      <c r="X1187" s="183"/>
      <c r="Y1187" s="42"/>
      <c r="AA1187" s="206"/>
      <c r="AB1187" s="206"/>
      <c r="AC1187" s="206"/>
      <c r="AD1187" s="206"/>
      <c r="AE1187" s="206"/>
      <c r="AF1187" s="206"/>
      <c r="AG1187" s="206"/>
    </row>
    <row r="1188" spans="1:33" ns3:dyDescent="0.3">
      <c r="A1188" s="297" t="s">
        <v>726</v>
      </c>
      <c r="B1188" s="11">
        <f>ROUNDUP(HLOOKUP(A1188,'야채 계산기'!$2:$3,2,0),0)</f>
        <v>1680</v>
      </c>
      <c r="C1188" s="62">
        <v>1</v>
      </c>
      <c r="D1188" s="166" t="str">
        <f t="shared" ref="D1188" si="1915">IFERROR((F1188/E1188),"")</f>
        <v/>
      </c>
      <c r="E1188" s="4"/>
      <c r="F1188" s="3"/>
      <c r="G1188" s="5"/>
      <c r="H1188" s="38"/>
      <c r="I1188" s="34">
        <f t="shared" si="1903"/>
        <v>0</v>
      </c>
      <c r="J1188" s="78" t="str">
        <f>IFERROR(VLOOKUP(C1188,[2]Sheet1!$D:$J,7,0),"")</f>
        <v/>
      </c>
      <c r="K1188" s="80" t="str">
        <f t="shared" ref="K1188:K1194" si="1916">IFERROR((I1188+J1188),"")</f>
        <v/>
      </c>
      <c r="L1188" s="7">
        <f t="shared" si="1904"/>
        <v>0</v>
      </c>
      <c r="M1188" s="8" t="str">
        <f t="shared" si="1905"/>
        <v/>
      </c>
      <c r="N1188" s="57" t="str">
        <f t="shared" ref="N1188" si="1917">IFERROR((K1188/H1188),"")</f>
        <v/>
      </c>
      <c r="O1188" s="9"/>
      <c r="P1188" s="10"/>
      <c r="Q1188" s="10"/>
      <c r="R1188" s="10">
        <f t="shared" ref="R1188" si="1918">O1188*P1188*Q1188</f>
        <v>0</v>
      </c>
      <c r="S1188" s="41">
        <f>SUM(Y1188,T1188:X1188)</f>
        <v>0</v>
      </c>
      <c r="W1188" s="190"/>
      <c r="X1188" s="137"/>
      <c r="Y1188" s="42"/>
      <c r="Z1188" s="140"/>
      <c r="AA1188" s="206"/>
      <c r="AB1188"/>
      <c r="AC1188"/>
      <c r="AD1188"/>
      <c r="AE1188"/>
      <c r="AF1188"/>
    </row>
    <row r="1189" spans="1:33" ns3:dyDescent="0.3">
      <c r="A1189" s="297"/>
      <c r="B1189" s="11"/>
      <c r="C1189" s="62" t="s">
        <v>771</v>
      </c>
      <c r="D1189" s="166" t="str">
        <f>IFERROR((F1189/E1189),"")</f>
        <v/>
      </c>
      <c r="E1189" s="4">
        <v>1</v>
      </c>
      <c r="F1189" s="3" t="str">
        <f>IFERROR((L1189-K1189),"")</f>
        <v/>
      </c>
      <c r="G1189" s="5">
        <f>G1133</f>
        <v>10</v>
      </c>
      <c r="H1189" s="39">
        <f>ROUNDUP(SUMPRODUCT(B1190,C1190)/1000,2)</f>
        <v>2.02</v>
      </c>
      <c r="I1189" s="34">
        <f t="shared" si="1903"/>
        <v>8</v>
      </c>
      <c r="J1189" s="78" t="str">
        <f>IFERROR(VLOOKUP(C1189,[2]Sheet1!$D:$J,7,0),"")</f>
        <v/>
      </c>
      <c r="K1189" s="80" t="str">
        <f t="shared" si="1916"/>
        <v/>
      </c>
      <c r="L1189" s="7">
        <f t="shared" si="1904"/>
        <v>20.2</v>
      </c>
      <c r="M1189" s="8" t="str">
        <f t="shared" si="1905"/>
        <v/>
      </c>
      <c r="N1189" s="57" t="str">
        <f>IFERROR((K1189/H1189),"")</f>
        <v/>
      </c>
      <c r="P1189" s="1"/>
      <c r="Q1189" s="1">
        <v>79500</v>
      </c>
      <c r="R1189" s="1"/>
      <c r="S1189" s="41">
        <f t="shared" ref="S1189" si="1919">SUM(Y1189,T1189:X1189)</f>
        <v>8</v>
      </c>
      <c r="V1189" s="173">
        <v>8</v>
      </c>
      <c r="X1189" s="183"/>
      <c r="Y1189" s="42"/>
      <c r="AA1189" s="206"/>
      <c r="AB1189" s="206"/>
      <c r="AC1189" s="206"/>
      <c r="AD1189" s="206"/>
      <c r="AE1189" s="206"/>
      <c r="AF1189" s="206"/>
      <c r="AG1189" s="206"/>
    </row>
    <row r="1190" spans="1:33" ns3:dyDescent="0.3">
      <c r="A1190" s="297" t="s">
        <v>866</v>
      </c>
      <c r="B1190" s="11">
        <f>ROUNDUP(HLOOKUP(A1190,'야채 계산기'!$2:$3,2,0),0)</f>
        <v>2020</v>
      </c>
      <c r="C1190" s="62">
        <v>1</v>
      </c>
      <c r="D1190" s="166" t="str">
        <f t="shared" ref="D1190" si="1920">IFERROR((F1190/E1190),"")</f>
        <v/>
      </c>
      <c r="E1190" s="4"/>
      <c r="F1190" s="3"/>
      <c r="G1190" s="5"/>
      <c r="H1190" s="38"/>
      <c r="I1190" s="34">
        <f t="shared" si="1903"/>
        <v>0</v>
      </c>
      <c r="J1190" s="78" t="str">
        <f>IFERROR(VLOOKUP(C1190,[2]Sheet1!$D:$J,7,0),"")</f>
        <v/>
      </c>
      <c r="K1190" s="80" t="str">
        <f t="shared" si="1916"/>
        <v/>
      </c>
      <c r="L1190" s="7">
        <f t="shared" si="1904"/>
        <v>0</v>
      </c>
      <c r="M1190" s="8" t="str">
        <f t="shared" si="1905"/>
        <v/>
      </c>
      <c r="N1190" s="57" t="str">
        <f t="shared" ref="N1190" si="1921">IFERROR((K1190/H1190),"")</f>
        <v/>
      </c>
      <c r="O1190" s="9"/>
      <c r="P1190" s="10"/>
      <c r="Q1190" s="10"/>
      <c r="R1190" s="10">
        <f t="shared" ref="R1190" si="1922">O1190*P1190*Q1190</f>
        <v>0</v>
      </c>
      <c r="S1190" s="41">
        <f>SUM(Y1190,T1190:X1190)</f>
        <v>0</v>
      </c>
      <c r="W1190" s="190"/>
      <c r="X1190" s="137"/>
      <c r="Y1190" s="42"/>
      <c r="Z1190" s="140"/>
      <c r="AA1190" s="206"/>
      <c r="AB1190"/>
      <c r="AC1190"/>
      <c r="AD1190"/>
      <c r="AE1190"/>
      <c r="AF1190"/>
    </row>
    <row r="1191" spans="1:33" ns3:dyDescent="0.3">
      <c r="A1191" s="297"/>
      <c r="B1191" s="11"/>
      <c r="C1191" s="62" t="s">
        <v>790</v>
      </c>
      <c r="D1191" s="166" t="str">
        <f>IFERROR((F1191/E1191),"")</f>
        <v/>
      </c>
      <c r="E1191" s="4">
        <v>1</v>
      </c>
      <c r="F1191" s="3" t="str">
        <f>IFERROR((L1191-K1191),"")</f>
        <v/>
      </c>
      <c r="G1191" s="5">
        <f>G1133</f>
        <v>10</v>
      </c>
      <c r="H1191" s="39">
        <f>ROUNDUP(SUMPRODUCT(B1192,C1192)/1000,2)</f>
        <v>0.55000000000000004</v>
      </c>
      <c r="I1191" s="34">
        <f t="shared" si="1903"/>
        <v>0</v>
      </c>
      <c r="J1191" s="78" t="str">
        <f>IFERROR(VLOOKUP(C1191,[2]Sheet1!$D:$J,7,0),"")</f>
        <v/>
      </c>
      <c r="K1191" s="80" t="str">
        <f t="shared" si="1916"/>
        <v/>
      </c>
      <c r="L1191" s="7">
        <f t="shared" si="1904"/>
        <v>5.5</v>
      </c>
      <c r="M1191" s="8" t="str">
        <f t="shared" si="1905"/>
        <v/>
      </c>
      <c r="N1191" s="57" t="str">
        <f>IFERROR((K1191/H1191),"")</f>
        <v/>
      </c>
      <c r="P1191" s="1"/>
      <c r="Q1191" s="1">
        <v>48000</v>
      </c>
      <c r="R1191" s="1"/>
      <c r="S1191" s="41">
        <f t="shared" ref="S1191" si="1923">SUM(Y1191,T1191:X1191)</f>
        <v>0</v>
      </c>
      <c r="V1191" s="173"/>
      <c r="X1191" s="183"/>
      <c r="Y1191" s="42"/>
      <c r="AA1191" s="206"/>
      <c r="AB1191" s="206"/>
      <c r="AC1191" s="206"/>
      <c r="AD1191" s="206"/>
      <c r="AE1191" s="206"/>
      <c r="AF1191" s="206"/>
      <c r="AG1191" s="206"/>
    </row>
    <row r="1192" spans="1:33" ns3:dyDescent="0.3">
      <c r="A1192" s="297" t="s">
        <v>823</v>
      </c>
      <c r="B1192" s="11">
        <f>ROUNDUP(HLOOKUP(A1192,'야채 계산기'!$2:$3,2,0),0)</f>
        <v>550</v>
      </c>
      <c r="C1192" s="62">
        <v>1</v>
      </c>
      <c r="D1192" s="166" t="str">
        <f t="shared" ref="D1192" si="1924">IFERROR((F1192/E1192),"")</f>
        <v/>
      </c>
      <c r="E1192" s="4"/>
      <c r="F1192" s="3"/>
      <c r="G1192" s="5"/>
      <c r="H1192" s="38"/>
      <c r="I1192" s="34">
        <f t="shared" si="1903"/>
        <v>0</v>
      </c>
      <c r="J1192" s="78" t="str">
        <f>IFERROR(VLOOKUP(C1192,[2]Sheet1!$D:$J,7,0),"")</f>
        <v/>
      </c>
      <c r="K1192" s="80" t="str">
        <f t="shared" si="1916"/>
        <v/>
      </c>
      <c r="L1192" s="7">
        <f t="shared" si="1904"/>
        <v>0</v>
      </c>
      <c r="M1192" s="8" t="str">
        <f t="shared" si="1905"/>
        <v/>
      </c>
      <c r="N1192" s="57" t="str">
        <f t="shared" ref="N1192" si="1925">IFERROR((K1192/H1192),"")</f>
        <v/>
      </c>
      <c r="O1192" s="9"/>
      <c r="P1192" s="10"/>
      <c r="Q1192" s="10"/>
      <c r="R1192" s="10">
        <f t="shared" ref="R1192" si="1926">O1192*P1192*Q1192</f>
        <v>0</v>
      </c>
      <c r="S1192" s="41">
        <f>SUM(Y1192,T1192:X1192)</f>
        <v>0</v>
      </c>
      <c r="W1192" s="190"/>
      <c r="X1192" s="137"/>
      <c r="Y1192" s="42"/>
      <c r="Z1192" s="140"/>
      <c r="AA1192" s="206"/>
      <c r="AB1192"/>
      <c r="AC1192"/>
      <c r="AD1192"/>
      <c r="AE1192"/>
      <c r="AF1192"/>
    </row>
    <row r="1193" spans="1:33" ns3:dyDescent="0.3">
      <c r="A1193" s="297"/>
      <c r="B1193" s="11"/>
      <c r="C1193" s="247" t="s">
        <v>877</v>
      </c>
      <c r="D1193" s="166" t="str">
        <f>IFERROR((F1193/E1193),"")</f>
        <v/>
      </c>
      <c r="E1193" s="4">
        <v>1</v>
      </c>
      <c r="F1193" s="3" t="str">
        <f>IFERROR((L1193-K1193),"")</f>
        <v/>
      </c>
      <c r="G1193" s="5">
        <f>G1133</f>
        <v>10</v>
      </c>
      <c r="H1193" s="39">
        <f>ROUNDUP(SUMPRODUCT(B1194,C1194)/1500,2)</f>
        <v>0</v>
      </c>
      <c r="I1193" s="34">
        <f t="shared" si="1903"/>
        <v>10</v>
      </c>
      <c r="J1193" s="78" t="str">
        <f>IFERROR(VLOOKUP(C1193,[2]Sheet1!$D:$J,7,0),"")</f>
        <v/>
      </c>
      <c r="K1193" s="80" t="str">
        <f t="shared" si="1916"/>
        <v/>
      </c>
      <c r="L1193" s="7">
        <f t="shared" si="1904"/>
        <v>0</v>
      </c>
      <c r="M1193" s="8" t="str">
        <f t="shared" si="1905"/>
        <v/>
      </c>
      <c r="N1193" s="57" t="str">
        <f>IFERROR((K1193/H1193),"")</f>
        <v/>
      </c>
      <c r="P1193" s="1"/>
      <c r="Q1193" s="1"/>
      <c r="R1193" s="1"/>
      <c r="S1193" s="41">
        <f t="shared" ref="S1193" si="1927">SUM(Y1193,T1193:X1193)</f>
        <v>10</v>
      </c>
      <c r="T1193" s="1">
        <v>10</v>
      </c>
      <c r="V1193" s="173"/>
      <c r="X1193" s="183"/>
      <c r="Y1193" s="42"/>
      <c r="AA1193" s="206"/>
      <c r="AB1193" s="206"/>
      <c r="AC1193" s="206"/>
      <c r="AD1193" s="206"/>
      <c r="AE1193" s="206"/>
      <c r="AF1193" s="206"/>
      <c r="AG1193" s="206"/>
    </row>
    <row r="1194" spans="1:33" ns3:dyDescent="0.3">
      <c r="A1194" s="300" t="s">
        <v>882</v>
      </c>
      <c r="B1194" s="11">
        <f>ROUNDUP(HLOOKUP(A1194,'야채 계산기'!$2:$3,2,0),0)</f>
        <v>0</v>
      </c>
      <c r="C1194" s="62">
        <v>1</v>
      </c>
      <c r="D1194" s="166" t="str">
        <f t="shared" ref="D1194" si="1928">IFERROR((F1194/E1194),"")</f>
        <v/>
      </c>
      <c r="E1194" s="4"/>
      <c r="F1194" s="3"/>
      <c r="G1194" s="5"/>
      <c r="H1194" s="38"/>
      <c r="I1194" s="34">
        <f t="shared" si="1903"/>
        <v>0</v>
      </c>
      <c r="J1194" s="78" t="str">
        <f>IFERROR(VLOOKUP(C1194,[2]Sheet1!$D:$J,7,0),"")</f>
        <v/>
      </c>
      <c r="K1194" s="80" t="str">
        <f t="shared" si="1916"/>
        <v/>
      </c>
      <c r="L1194" s="7">
        <f t="shared" si="1904"/>
        <v>0</v>
      </c>
      <c r="M1194" s="8" t="str">
        <f t="shared" si="1905"/>
        <v/>
      </c>
      <c r="N1194" s="57" t="str">
        <f t="shared" ref="N1194" si="1929">IFERROR((K1194/H1194),"")</f>
        <v/>
      </c>
      <c r="O1194" s="9"/>
      <c r="P1194" s="10"/>
      <c r="Q1194" s="10"/>
      <c r="R1194" s="10">
        <f t="shared" ref="R1194" si="1930">O1194*P1194*Q1194</f>
        <v>0</v>
      </c>
      <c r="S1194" s="41">
        <f>SUM(Y1194,T1194:X1194)</f>
        <v>0</v>
      </c>
      <c r="W1194" s="190"/>
      <c r="X1194" s="137"/>
      <c r="Y1194" s="42"/>
      <c r="Z1194" s="140"/>
      <c r="AA1194" s="206"/>
      <c r="AB1194"/>
      <c r="AC1194"/>
      <c r="AD1194"/>
      <c r="AE1194"/>
      <c r="AF1194"/>
    </row>
    <row r="1195" spans="1:33" ns3:dyDescent="0.3">
      <c r="A1195" s="297"/>
      <c r="B1195" s="11"/>
      <c r="C1195" s="247" t="s">
        <v>878</v>
      </c>
      <c r="D1195" s="166" t="str">
        <f>IFERROR((F1195/E1195),"")</f>
        <v/>
      </c>
      <c r="E1195" s="4">
        <v>1</v>
      </c>
      <c r="F1195" s="3" t="str">
        <f>IFERROR((L1195-K1195),"")</f>
        <v/>
      </c>
      <c r="G1195" s="5">
        <f>G1135</f>
        <v>10</v>
      </c>
      <c r="H1195" s="39">
        <f>ROUNDUP(SUMPRODUCT(B1196,C1196)/4000,2)</f>
        <v>0</v>
      </c>
      <c r="I1195" s="34">
        <f t="shared" si="1892"/>
        <v>10</v>
      </c>
      <c r="J1195" s="78" t="str">
        <f>IFERROR(VLOOKUP(C1195,[2]Sheet1!$D:$J,7,0),"")</f>
        <v/>
      </c>
      <c r="K1195" s="80" t="str">
        <f t="shared" si="1893"/>
        <v/>
      </c>
      <c r="L1195" s="7">
        <f t="shared" si="1894"/>
        <v>0</v>
      </c>
      <c r="M1195" s="8" t="str">
        <f t="shared" si="1895"/>
        <v/>
      </c>
      <c r="N1195" s="57" t="str">
        <f>IFERROR((K1195/H1195),"")</f>
        <v/>
      </c>
      <c r="P1195" s="1"/>
      <c r="Q1195" s="1"/>
      <c r="R1195" s="1"/>
      <c r="S1195" s="41">
        <f t="shared" ref="S1195" si="1931">SUM(Y1195,T1195:X1195)</f>
        <v>10</v>
      </c>
      <c r="T1195" s="1">
        <v>10</v>
      </c>
      <c r="V1195" s="173"/>
      <c r="X1195" s="183"/>
      <c r="Y1195" s="42"/>
      <c r="AA1195" s="206"/>
      <c r="AB1195" s="206"/>
      <c r="AC1195" s="206"/>
      <c r="AD1195" s="206"/>
      <c r="AE1195" s="206"/>
      <c r="AF1195" s="206"/>
      <c r="AG1195" s="206"/>
    </row>
    <row r="1196" spans="1:33" ns3:dyDescent="0.3">
      <c r="A1196" s="300" t="s">
        <v>878</v>
      </c>
      <c r="B1196" s="11">
        <f>ROUNDUP(HLOOKUP(A1196,'야채 계산기'!$2:$3,2,0),0)</f>
        <v>0</v>
      </c>
      <c r="C1196" s="62">
        <v>1</v>
      </c>
      <c r="D1196" s="166" t="str">
        <f t="shared" ref="D1196" si="1932">IFERROR((F1196/E1196),"")</f>
        <v/>
      </c>
      <c r="E1196" s="4"/>
      <c r="F1196" s="3"/>
      <c r="G1196" s="5"/>
      <c r="H1196" s="38"/>
      <c r="I1196" s="34">
        <f t="shared" si="1892"/>
        <v>0</v>
      </c>
      <c r="J1196" s="78" t="str">
        <f>IFERROR(VLOOKUP(C1196,[2]Sheet1!$D:$J,7,0),"")</f>
        <v/>
      </c>
      <c r="K1196" s="80" t="str">
        <f t="shared" si="1893"/>
        <v/>
      </c>
      <c r="L1196" s="7">
        <f t="shared" si="1894"/>
        <v>0</v>
      </c>
      <c r="M1196" s="8" t="str">
        <f t="shared" si="1895"/>
        <v/>
      </c>
      <c r="N1196" s="57" t="str">
        <f t="shared" ref="N1196" si="1933">IFERROR((K1196/H1196),"")</f>
        <v/>
      </c>
      <c r="O1196" s="9"/>
      <c r="P1196" s="10"/>
      <c r="Q1196" s="10"/>
      <c r="R1196" s="10">
        <f t="shared" ref="R1196" si="1934">O1196*P1196*Q1196</f>
        <v>0</v>
      </c>
      <c r="S1196" s="41">
        <f>SUM(Y1196,T1196:X1196)</f>
        <v>0</v>
      </c>
      <c r="W1196" s="190"/>
      <c r="X1196" s="137"/>
      <c r="Y1196" s="42"/>
      <c r="Z1196" s="140"/>
      <c r="AA1196" s="206"/>
      <c r="AB1196"/>
      <c r="AC1196"/>
      <c r="AD1196"/>
      <c r="AE1196"/>
      <c r="AF1196"/>
    </row>
    <row r="1197" spans="1:33" ns3:dyDescent="0.3">
      <c r="A1197" s="58"/>
      <c r="B1197" s="2"/>
      <c r="C1197" s="62"/>
      <c r="D1197" s="166" t="str">
        <f t="shared" ref="D1197:D1202" si="1935">IFERROR((F1197/E1197),"")</f>
        <v/>
      </c>
      <c r="E1197" s="4"/>
      <c r="F1197" s="3"/>
      <c r="G1197" s="5"/>
      <c r="H1197" s="6"/>
      <c r="I1197" s="34">
        <f t="shared" si="1763"/>
        <v>0</v>
      </c>
      <c r="J1197" s="78" t="str">
        <f>IFERROR(VLOOKUP(C1197,[2]Sheet1!$D:$J,7,0),"")</f>
        <v/>
      </c>
      <c r="K1197" s="80" t="str">
        <f t="shared" si="1852"/>
        <v/>
      </c>
      <c r="L1197" s="7">
        <f t="shared" si="1764"/>
        <v>0</v>
      </c>
      <c r="M1197" s="8" t="str">
        <f t="shared" si="1765"/>
        <v/>
      </c>
      <c r="N1197" s="57"/>
      <c r="O1197" s="9"/>
      <c r="P1197" s="10"/>
      <c r="Q1197" s="10"/>
      <c r="R1197" s="10"/>
      <c r="S1197" s="41">
        <f t="shared" si="1860"/>
        <v>0</v>
      </c>
      <c r="U1197" s="190"/>
      <c r="W1197" s="190"/>
      <c r="Y1197" s="42"/>
      <c r="AA1197" s="206"/>
    </row>
    <row r="1198" spans="1:33" hidden="1" ns3:dyDescent="0.3">
      <c r="A1198" s="184" t="s">
        <v>700</v>
      </c>
      <c r="B1198" s="2" t="s">
        <v>385</v>
      </c>
      <c r="C1198" s="152"/>
      <c r="D1198" s="111" t="str">
        <f>IFERROR((F1198/E1198),"")</f>
        <v/>
      </c>
      <c r="E1198" s="4"/>
      <c r="F1198" s="17"/>
      <c r="G1198" s="5"/>
      <c r="H1198" s="6"/>
      <c r="I1198" s="34">
        <f t="shared" ref="I1198:I1200" si="1936">IFERROR((S1198*E1198),"")</f>
        <v>0</v>
      </c>
      <c r="J1198" s="78" t="str">
        <f>IFERROR(VLOOKUP(C1198,[2]Sheet1!$D:$J,7,0),"")</f>
        <v/>
      </c>
      <c r="K1198" s="80" t="str">
        <f t="shared" si="1852"/>
        <v/>
      </c>
      <c r="L1198" s="7">
        <f t="shared" ref="L1198:L1200" si="1937">IFERROR((G1198*H1198),"")</f>
        <v>0</v>
      </c>
      <c r="M1198" s="8" t="str">
        <f t="shared" ref="M1198:M1200" si="1938">IFERROR(K1198-L1198,"")</f>
        <v/>
      </c>
      <c r="N1198" s="57" t="str">
        <f>IFERROR((K1198/H1198),"")</f>
        <v/>
      </c>
      <c r="O1198" s="9"/>
      <c r="P1198" s="10"/>
      <c r="Q1198" s="10"/>
      <c r="R1198" s="10">
        <f>O1198*P1198*Q1198</f>
        <v>0</v>
      </c>
      <c r="S1198" s="41">
        <f t="shared" ref="S1198:S1200" si="1939">SUM(Y1198,T1198:X1198)</f>
        <v>0</v>
      </c>
      <c r="W1198" s="190"/>
      <c r="Y1198" s="42"/>
      <c r="AA1198" s="206" t="str">
        <f>IFERROR(H1198*7.5/E1198/7,"")</f>
        <v/>
      </c>
    </row>
    <row r="1199" spans="1:33" hidden="1" ns3:dyDescent="0.3">
      <c r="A1199" s="2"/>
      <c r="B1199" s="11"/>
      <c r="C1199" s="262" t="s">
        <v>698</v>
      </c>
      <c r="D1199" s="166" t="str">
        <f>IFERROR((F1199/E1199),"")</f>
        <v/>
      </c>
      <c r="E1199" s="4">
        <v>50</v>
      </c>
      <c r="F1199" s="3" t="str">
        <f>IFERROR((L1199-K1199),"")</f>
        <v/>
      </c>
      <c r="G1199" s="5">
        <v>3.5</v>
      </c>
      <c r="H1199" s="39" t="e">
        <f>ROUNDUP(SUMPRODUCT(B1200:B1202,C1200:C1202)/400,2)</f>
        <v>#N/A</v>
      </c>
      <c r="I1199" s="34">
        <f t="shared" si="1936"/>
        <v>0</v>
      </c>
      <c r="J1199" s="78" t="str">
        <f>IFERROR(VLOOKUP(C1199,[2]Sheet1!$D:$J,7,0),"")</f>
        <v/>
      </c>
      <c r="K1199" s="80" t="str">
        <f t="shared" si="1852"/>
        <v/>
      </c>
      <c r="L1199" s="7" t="str">
        <f t="shared" si="1937"/>
        <v/>
      </c>
      <c r="M1199" s="8" t="str">
        <f t="shared" si="1938"/>
        <v/>
      </c>
      <c r="N1199" s="57" t="str">
        <f>IFERROR((K1199/H1199),"")</f>
        <v/>
      </c>
      <c r="P1199" s="1"/>
      <c r="Q1199" s="1">
        <v>5600</v>
      </c>
      <c r="R1199" s="1"/>
      <c r="S1199" s="41">
        <f t="shared" si="1939"/>
        <v>0</v>
      </c>
      <c r="T1199" s="173"/>
      <c r="U1199" s="173"/>
      <c r="V1199" s="183"/>
      <c r="W1199" s="183"/>
      <c r="X1199" s="183"/>
      <c r="Y1199" s="183"/>
      <c r="AA1199" s="206"/>
    </row>
    <row r="1200" spans="1:33" hidden="1" ns3:dyDescent="0.3">
      <c r="A1200" s="280" t="s">
        <v>671</v>
      </c>
      <c r="B1200" s="11" t="e">
        <f>ROUNDUP(HLOOKUP(A1200,'야채 계산기'!$2:$3,2,0),0)</f>
        <v>#N/A</v>
      </c>
      <c r="C1200" s="164">
        <v>1</v>
      </c>
      <c r="D1200" s="166" t="str">
        <f t="shared" ref="D1200" si="1940">IFERROR((F1200/E1200),"")</f>
        <v/>
      </c>
      <c r="E1200" s="4"/>
      <c r="F1200" s="3"/>
      <c r="G1200" s="5"/>
      <c r="H1200" s="38"/>
      <c r="I1200" s="34">
        <f t="shared" si="1936"/>
        <v>0</v>
      </c>
      <c r="J1200" s="78" t="str">
        <f>IFERROR(VLOOKUP(C1200,[2]Sheet1!$D:$J,7,0),"")</f>
        <v/>
      </c>
      <c r="K1200" s="80" t="str">
        <f t="shared" si="1852"/>
        <v/>
      </c>
      <c r="L1200" s="7">
        <f t="shared" si="1937"/>
        <v>0</v>
      </c>
      <c r="M1200" s="8" t="str">
        <f t="shared" si="1938"/>
        <v/>
      </c>
      <c r="N1200" s="57" t="str">
        <f t="shared" ref="N1200" si="1941">IFERROR((K1200/H1200),"")</f>
        <v/>
      </c>
      <c r="O1200" s="9"/>
      <c r="P1200" s="10"/>
      <c r="Q1200" s="10"/>
      <c r="R1200" s="10">
        <f t="shared" ref="R1200" si="1942">O1200*P1200*Q1200</f>
        <v>0</v>
      </c>
      <c r="S1200" s="41">
        <f t="shared" si="1939"/>
        <v>0</v>
      </c>
      <c r="Y1200" s="1"/>
      <c r="Z1200" s="140"/>
      <c r="AA1200" s="206"/>
      <c r="AB1200"/>
      <c r="AC1200"/>
      <c r="AD1200"/>
      <c r="AE1200"/>
      <c r="AF1200"/>
    </row>
    <row r="1201" spans="1:32" ns3:dyDescent="0.3">
      <c r="A1201" s="43"/>
      <c r="B1201" s="11"/>
      <c r="C1201" s="164"/>
      <c r="D1201" s="166"/>
      <c r="E1201" s="4"/>
      <c r="F1201" s="3"/>
      <c r="G1201" s="5"/>
      <c r="H1201" s="38"/>
      <c r="I1201" s="34"/>
      <c r="J1201" s="78" t="str">
        <f>IFERROR(VLOOKUP(C1201,[2]Sheet1!$D:$J,7,0),"")</f>
        <v/>
      </c>
      <c r="K1201" s="80"/>
      <c r="L1201" s="7"/>
      <c r="M1201" s="8"/>
      <c r="N1201" s="57"/>
      <c r="O1201" s="9"/>
      <c r="P1201" s="10"/>
      <c r="Q1201" s="10"/>
      <c r="R1201" s="10"/>
      <c r="Y1201" s="1"/>
      <c r="Z1201" s="140"/>
      <c r="AA1201" s="206"/>
      <c r="AB1201"/>
      <c r="AC1201"/>
      <c r="AD1201"/>
      <c r="AE1201"/>
      <c r="AF1201"/>
    </row>
    <row r="1202" spans="1:32" ns3:dyDescent="0.3">
      <c r="A1202" s="58"/>
      <c r="B1202" s="2"/>
      <c r="C1202" s="62"/>
      <c r="D1202" s="166" t="str">
        <f t="shared" si="1935"/>
        <v/>
      </c>
      <c r="E1202" s="4"/>
      <c r="F1202" s="3"/>
      <c r="G1202" s="5"/>
      <c r="H1202" s="6"/>
      <c r="I1202" s="34">
        <f t="shared" si="1763"/>
        <v>0</v>
      </c>
      <c r="J1202" s="78" t="str">
        <f>IFERROR(VLOOKUP(C1202,[2]Sheet1!$D:$J,7,0),"")</f>
        <v/>
      </c>
      <c r="K1202" s="80" t="str">
        <f t="shared" si="1852"/>
        <v/>
      </c>
      <c r="L1202" s="7">
        <f t="shared" si="1764"/>
        <v>0</v>
      </c>
      <c r="M1202" s="8" t="str">
        <f t="shared" si="1765"/>
        <v/>
      </c>
      <c r="N1202" s="57"/>
      <c r="O1202" s="9"/>
      <c r="P1202" s="10"/>
      <c r="Q1202" s="10"/>
      <c r="R1202" s="10"/>
      <c r="S1202" s="41">
        <f t="shared" si="1860"/>
        <v>0</v>
      </c>
      <c r="U1202" s="190"/>
      <c r="W1202" s="190"/>
      <c r="Y1202" s="42"/>
      <c r="AA1202" s="206"/>
    </row>
    <row r="1203" spans="1:32" ns3:dyDescent="0.3">
      <c r="A1203" s="184" t="s">
        <v>423</v>
      </c>
      <c r="B1203" s="184" t="s">
        <v>385</v>
      </c>
      <c r="C1203" s="152"/>
      <c r="D1203" s="111" t="str">
        <f>IFERROR((F1203/E1203),"")</f>
        <v/>
      </c>
      <c r="E1203" s="4"/>
      <c r="F1203" s="17"/>
      <c r="G1203" s="5"/>
      <c r="H1203" s="6"/>
      <c r="I1203" s="34">
        <f t="shared" si="1763"/>
        <v>0</v>
      </c>
      <c r="J1203" s="78" t="str">
        <f>IFERROR(VLOOKUP(C1203,[2]Sheet1!$D:$J,7,0),"")</f>
        <v/>
      </c>
      <c r="K1203" s="80" t="str">
        <f t="shared" ref="K1203:K1206" si="1943">IFERROR((I1203+J1203),"")</f>
        <v/>
      </c>
      <c r="L1203" s="7">
        <f t="shared" si="1764"/>
        <v>0</v>
      </c>
      <c r="M1203" s="8" t="str">
        <f t="shared" si="1765"/>
        <v/>
      </c>
      <c r="N1203" s="57" t="str">
        <f>IFERROR((K1203/H1203),"")</f>
        <v/>
      </c>
      <c r="O1203" s="9"/>
      <c r="P1203" s="10"/>
      <c r="Q1203" s="10"/>
      <c r="R1203" s="10">
        <f>O1203*P1203*Q1203</f>
        <v>0</v>
      </c>
      <c r="S1203" s="41">
        <f t="shared" si="1860"/>
        <v>0</v>
      </c>
      <c r="W1203" s="190"/>
      <c r="Y1203" s="42"/>
      <c r="AA1203" s="206" t="str">
        <f>IFERROR(H1203*7.5/E1203/7,"")</f>
        <v/>
      </c>
    </row>
    <row r="1204" spans="1:32" ns3:dyDescent="0.3">
      <c r="A1204" s="2"/>
      <c r="B1204" s="11"/>
      <c r="C1204" s="164" t="s">
        <v>424</v>
      </c>
      <c r="D1204" s="166" t="str">
        <f>IFERROR((F1204/E1204),"")</f>
        <v/>
      </c>
      <c r="E1204" s="4">
        <v>10</v>
      </c>
      <c r="F1204" s="3" t="str">
        <f>IFERROR((L1204-K1204),"")</f>
        <v/>
      </c>
      <c r="G1204" s="5">
        <v>3.5</v>
      </c>
      <c r="H1204" s="39">
        <f>ROUNDUP(SUMPRODUCT(B1205:B1206,C1205:C1206)/100,2)</f>
        <v>2.33</v>
      </c>
      <c r="I1204" s="34">
        <f t="shared" si="1763"/>
        <v>10</v>
      </c>
      <c r="J1204" s="78" t="str">
        <f>IFERROR(VLOOKUP(C1204,[2]Sheet1!$D:$J,7,0),"")</f>
        <v/>
      </c>
      <c r="K1204" s="80" t="str">
        <f t="shared" si="1943"/>
        <v/>
      </c>
      <c r="L1204" s="7">
        <f t="shared" si="1764"/>
        <v>8.1550000000000011</v>
      </c>
      <c r="M1204" s="8" t="str">
        <f t="shared" si="1765"/>
        <v/>
      </c>
      <c r="N1204" s="57" t="str">
        <f>IFERROR((K1204/H1204),"")</f>
        <v/>
      </c>
      <c r="P1204" s="1"/>
      <c r="Q1204" s="1">
        <v>7100</v>
      </c>
      <c r="R1204" s="1"/>
      <c r="S1204" s="41">
        <f t="shared" si="1860"/>
        <v>1</v>
      </c>
      <c r="T1204" s="173"/>
      <c r="U1204" s="173"/>
      <c r="V1204" s="183"/>
      <c r="W1204" s="183">
        <v>1</v>
      </c>
      <c r="X1204" s="183"/>
      <c r="Y1204" s="183"/>
      <c r="AA1204" s="206"/>
    </row>
    <row r="1205" spans="1:32" ns3:dyDescent="0.3">
      <c r="A1205" s="43" t="s">
        <v>211</v>
      </c>
      <c r="B1205" s="11">
        <f>ROUNDUP(HLOOKUP(A1205,'야채 계산기'!$2:$3,2,0),0)</f>
        <v>129</v>
      </c>
      <c r="C1205" s="164">
        <v>1</v>
      </c>
      <c r="D1205" s="166" t="str">
        <f t="shared" ref="D1205:D1208" si="1944">IFERROR((F1205/E1205),"")</f>
        <v/>
      </c>
      <c r="E1205" s="4"/>
      <c r="F1205" s="3"/>
      <c r="G1205" s="5"/>
      <c r="H1205" s="38"/>
      <c r="I1205" s="34">
        <f t="shared" si="1763"/>
        <v>0</v>
      </c>
      <c r="J1205" s="78" t="str">
        <f>IFERROR(VLOOKUP(C1205,[2]Sheet1!$D:$J,7,0),"")</f>
        <v/>
      </c>
      <c r="K1205" s="80" t="str">
        <f t="shared" si="1943"/>
        <v/>
      </c>
      <c r="L1205" s="7">
        <f t="shared" si="1764"/>
        <v>0</v>
      </c>
      <c r="M1205" s="8" t="str">
        <f t="shared" si="1765"/>
        <v/>
      </c>
      <c r="N1205" s="57" t="str">
        <f t="shared" ref="N1205:N1206" si="1945">IFERROR((K1205/H1205),"")</f>
        <v/>
      </c>
      <c r="O1205" s="9"/>
      <c r="P1205" s="10"/>
      <c r="Q1205" s="10"/>
      <c r="R1205" s="10">
        <f t="shared" ref="R1205:R1206" si="1946">O1205*P1205*Q1205</f>
        <v>0</v>
      </c>
      <c r="S1205" s="41">
        <f t="shared" si="1860"/>
        <v>0</v>
      </c>
      <c r="Y1205" s="1"/>
      <c r="Z1205" s="140"/>
      <c r="AA1205" s="206"/>
      <c r="AB1205"/>
      <c r="AC1205"/>
      <c r="AD1205"/>
      <c r="AE1205"/>
      <c r="AF1205"/>
    </row>
    <row r="1206" spans="1:32" ns3:dyDescent="0.3">
      <c r="A1206" s="43" t="s">
        <v>209</v>
      </c>
      <c r="B1206" s="11">
        <f>ROUNDUP(HLOOKUP(A1206,'야채 계산기'!$2:$3,2,0),0)</f>
        <v>104</v>
      </c>
      <c r="C1206" s="164">
        <v>1</v>
      </c>
      <c r="D1206" s="166" t="str">
        <f t="shared" si="1944"/>
        <v/>
      </c>
      <c r="E1206" s="4"/>
      <c r="F1206" s="3"/>
      <c r="G1206" s="5"/>
      <c r="H1206" s="38"/>
      <c r="I1206" s="34">
        <f t="shared" si="1763"/>
        <v>0</v>
      </c>
      <c r="J1206" s="78" t="str">
        <f>IFERROR(VLOOKUP(C1206,[2]Sheet1!$D:$J,7,0),"")</f>
        <v/>
      </c>
      <c r="K1206" s="80" t="str">
        <f t="shared" si="1943"/>
        <v/>
      </c>
      <c r="L1206" s="7">
        <f t="shared" si="1764"/>
        <v>0</v>
      </c>
      <c r="M1206" s="8" t="str">
        <f t="shared" si="1765"/>
        <v/>
      </c>
      <c r="N1206" s="57" t="str">
        <f t="shared" si="1945"/>
        <v/>
      </c>
      <c r="O1206" s="9"/>
      <c r="P1206" s="10"/>
      <c r="Q1206" s="10"/>
      <c r="R1206" s="10">
        <f t="shared" si="1946"/>
        <v>0</v>
      </c>
      <c r="S1206" s="41">
        <f t="shared" si="1860"/>
        <v>0</v>
      </c>
      <c r="Y1206" s="1"/>
      <c r="Z1206" s="140"/>
      <c r="AA1206" s="206"/>
      <c r="AB1206"/>
      <c r="AC1206"/>
      <c r="AD1206"/>
      <c r="AE1206"/>
      <c r="AF1206"/>
    </row>
    <row r="1207" spans="1:32" ns3:dyDescent="0.3">
      <c r="A1207" s="58"/>
      <c r="B1207" s="2"/>
      <c r="C1207" s="62"/>
      <c r="D1207" s="166" t="str">
        <f t="shared" si="1944"/>
        <v/>
      </c>
      <c r="E1207" s="4"/>
      <c r="F1207" s="3"/>
      <c r="G1207" s="5"/>
      <c r="H1207" s="6"/>
      <c r="I1207" s="34">
        <f t="shared" si="1763"/>
        <v>0</v>
      </c>
      <c r="J1207" s="78" t="str">
        <f>IFERROR(VLOOKUP(C1207,[2]Sheet1!$D:$J,7,0),"")</f>
        <v/>
      </c>
      <c r="K1207" s="80" t="str">
        <f>IFERROR((I1207+J1207),"")</f>
        <v/>
      </c>
      <c r="L1207" s="7">
        <f t="shared" si="1764"/>
        <v>0</v>
      </c>
      <c r="M1207" s="8" t="str">
        <f t="shared" si="1765"/>
        <v/>
      </c>
      <c r="N1207" s="57"/>
      <c r="O1207" s="9"/>
      <c r="P1207" s="10"/>
      <c r="Q1207" s="10"/>
      <c r="R1207" s="10"/>
      <c r="S1207" s="41">
        <f t="shared" si="1860"/>
        <v>0</v>
      </c>
      <c r="Y1207" s="1"/>
      <c r="AA1207" s="206"/>
    </row>
    <row r="1208" spans="1:32" ns3:dyDescent="0.3">
      <c r="A1208" s="58"/>
      <c r="B1208" s="2"/>
      <c r="C1208" s="62"/>
      <c r="D1208" s="166" t="str">
        <f t="shared" si="1944"/>
        <v/>
      </c>
      <c r="E1208" s="4"/>
      <c r="F1208" s="3"/>
      <c r="G1208" s="5"/>
      <c r="H1208" s="6"/>
      <c r="I1208" s="34">
        <f t="shared" si="1763"/>
        <v>0</v>
      </c>
      <c r="J1208" s="78" t="str">
        <f>IFERROR(VLOOKUP(C1208,[2]Sheet1!$D:$J,7,0),"")</f>
        <v/>
      </c>
      <c r="K1208" s="80" t="str">
        <f>IFERROR((I1208+J1208),"")</f>
        <v/>
      </c>
      <c r="L1208" s="7">
        <f t="shared" si="1764"/>
        <v>0</v>
      </c>
      <c r="M1208" s="8" t="str">
        <f t="shared" si="1765"/>
        <v/>
      </c>
      <c r="N1208" s="57"/>
      <c r="O1208" s="9"/>
      <c r="P1208" s="10"/>
      <c r="Q1208" s="10"/>
      <c r="R1208" s="10"/>
      <c r="S1208" s="41">
        <f t="shared" si="1860"/>
        <v>0</v>
      </c>
      <c r="Y1208" s="1"/>
      <c r="AA1208" s="206"/>
    </row>
    <row r="1209" spans="1:32" ns3:dyDescent="0.3">
      <c r="A1209" s="298" t="s">
        <v>425</v>
      </c>
      <c r="B1209" s="184" t="s">
        <v>385</v>
      </c>
      <c r="C1209" s="152"/>
      <c r="D1209" s="111" t="str">
        <f>IFERROR((F1209/E1209),"")</f>
        <v/>
      </c>
      <c r="E1209" s="4"/>
      <c r="F1209" s="17"/>
      <c r="G1209" s="5"/>
      <c r="H1209" s="6"/>
      <c r="I1209" s="34">
        <f t="shared" si="1763"/>
        <v>0</v>
      </c>
      <c r="J1209" s="78" t="str">
        <f>IFERROR(VLOOKUP(C1209,[2]Sheet1!$D:$J,7,0),"")</f>
        <v/>
      </c>
      <c r="K1209" s="80" t="str">
        <f t="shared" ref="K1209" si="1947">IFERROR((I1209+J1209),"")</f>
        <v/>
      </c>
      <c r="L1209" s="7">
        <f t="shared" si="1764"/>
        <v>0</v>
      </c>
      <c r="M1209" s="8" t="str">
        <f t="shared" si="1765"/>
        <v/>
      </c>
      <c r="N1209" s="57" t="str">
        <f>IFERROR((K1209/H1209),"")</f>
        <v/>
      </c>
      <c r="O1209" s="9"/>
      <c r="P1209" s="10"/>
      <c r="Q1209" s="10"/>
      <c r="R1209" s="10">
        <f>O1209*P1209*Q1209</f>
        <v>0</v>
      </c>
      <c r="S1209" s="41">
        <f t="shared" si="1860"/>
        <v>0</v>
      </c>
      <c r="Y1209" s="1"/>
      <c r="AA1209" s="206" t="str">
        <f t="shared" ref="AA1209:AA1251" si="1948">IFERROR(H1209*7.5/E1209/7,"")</f>
        <v/>
      </c>
    </row>
    <row r="1210" spans="1:32" ns3:dyDescent="0.3">
      <c r="A1210" s="2"/>
      <c r="B1210" s="11"/>
      <c r="C1210" s="247" t="s">
        <v>883</v>
      </c>
      <c r="D1210" s="166" t="str">
        <f>IFERROR((F1210/E1210),"")</f>
        <v/>
      </c>
      <c r="E1210" s="4">
        <v>9</v>
      </c>
      <c r="F1210" s="3" t="str">
        <f>IFERROR((L1210-K1210),"")</f>
        <v/>
      </c>
      <c r="G1210" s="5">
        <f>G1213</f>
        <v>8.5</v>
      </c>
      <c r="H1210" s="39">
        <f>ROUNDUP(SUMPRODUCT(B1211:B1212,C1211:C1212)/60,2)</f>
        <v>18.34</v>
      </c>
      <c r="I1210" s="34">
        <f t="shared" ref="I1210:I1215" si="1949">IFERROR((S1210*E1210),"")</f>
        <v>108</v>
      </c>
      <c r="J1210" s="78" t="str">
        <f>IFERROR(VLOOKUP(C1210,[2]Sheet1!$D:$J,7,0),"")</f>
        <v/>
      </c>
      <c r="K1210" s="80" t="str">
        <f t="shared" ref="K1210:K1215" si="1950">IFERROR((I1210+J1210),"")</f>
        <v/>
      </c>
      <c r="L1210" s="7">
        <f t="shared" ref="L1210:L1215" si="1951">IFERROR((G1210*H1210),"")</f>
        <v>155.88999999999999</v>
      </c>
      <c r="M1210" s="8" t="str">
        <f t="shared" ref="M1210:M1215" si="1952">IFERROR(K1210-L1210,"")</f>
        <v/>
      </c>
      <c r="N1210" s="57" t="str">
        <f>IFERROR((K1210/H1210),"")</f>
        <v/>
      </c>
      <c r="P1210" s="1"/>
      <c r="Q1210" s="1">
        <v>5700</v>
      </c>
      <c r="R1210" s="1"/>
      <c r="S1210" s="41">
        <f t="shared" ref="S1210:S1215" si="1953">SUM(Y1210,T1210:X1210)</f>
        <v>12</v>
      </c>
      <c r="T1210" s="173"/>
      <c r="U1210" s="173"/>
      <c r="V1210" s="173">
        <v>6</v>
      </c>
      <c r="W1210" s="277">
        <v>2</v>
      </c>
      <c r="X1210" s="277">
        <v>2</v>
      </c>
      <c r="Y1210" s="277">
        <v>2</v>
      </c>
      <c r="AA1210" s="206">
        <f t="shared" ref="AA1210:AA1215" si="1954">IFERROR(H1210*7.5/E1210/7,"")</f>
        <v>2.1833333333333336</v>
      </c>
    </row>
    <row r="1211" spans="1:32" ns3:dyDescent="0.3">
      <c r="A1211" s="300" t="s">
        <v>813</v>
      </c>
      <c r="B1211" s="11">
        <f>ROUNDUP(HLOOKUP(A1211,'야채 계산기'!$2:$3,2,0),0)</f>
        <v>1100</v>
      </c>
      <c r="C1211" s="164">
        <v>1</v>
      </c>
      <c r="D1211" s="166" t="str">
        <f t="shared" ref="D1211" si="1955">IFERROR((F1211/E1211),"")</f>
        <v/>
      </c>
      <c r="E1211" s="4"/>
      <c r="F1211" s="3"/>
      <c r="G1211" s="5"/>
      <c r="H1211" s="38"/>
      <c r="I1211" s="34">
        <f t="shared" si="1949"/>
        <v>0</v>
      </c>
      <c r="J1211" s="78" t="str">
        <f>IFERROR(VLOOKUP(C1211,[2]Sheet1!$D:$J,7,0),"")</f>
        <v/>
      </c>
      <c r="K1211" s="80" t="str">
        <f t="shared" si="1950"/>
        <v/>
      </c>
      <c r="L1211" s="7">
        <f t="shared" si="1951"/>
        <v>0</v>
      </c>
      <c r="M1211" s="8" t="str">
        <f t="shared" si="1952"/>
        <v/>
      </c>
      <c r="N1211" s="57" t="str">
        <f t="shared" ref="N1211" si="1956">IFERROR((K1211/H1211),"")</f>
        <v/>
      </c>
      <c r="O1211" s="9"/>
      <c r="P1211" s="10"/>
      <c r="Q1211" s="10"/>
      <c r="R1211" s="10">
        <f t="shared" ref="R1211" si="1957">O1211*P1211*Q1211</f>
        <v>0</v>
      </c>
      <c r="S1211" s="41">
        <f t="shared" si="1953"/>
        <v>0</v>
      </c>
      <c r="Y1211" s="1"/>
      <c r="Z1211" s="140"/>
      <c r="AA1211" s="206" t="str">
        <f t="shared" si="1954"/>
        <v/>
      </c>
      <c r="AB1211"/>
      <c r="AC1211"/>
      <c r="AD1211"/>
      <c r="AE1211"/>
      <c r="AF1211"/>
    </row>
    <row r="1212" spans="1:32" ns3:dyDescent="0.3">
      <c r="A1212" s="300" t="s">
        <v>882</v>
      </c>
      <c r="B1212" s="11">
        <f>ROUNDUP(HLOOKUP(A1212,'야채 계산기'!$2:$3,2,0),0)</f>
        <v>0</v>
      </c>
      <c r="C1212" s="164">
        <v>1</v>
      </c>
      <c r="D1212" s="166" t="str">
        <f t="shared" ref="D1212" si="1958">IFERROR((F1212/E1212),"")</f>
        <v/>
      </c>
      <c r="E1212" s="4"/>
      <c r="F1212" s="3"/>
      <c r="G1212" s="5"/>
      <c r="H1212" s="38"/>
      <c r="I1212" s="34">
        <f t="shared" si="1949"/>
        <v>0</v>
      </c>
      <c r="J1212" s="78" t="str">
        <f>IFERROR(VLOOKUP(C1212,[2]Sheet1!$D:$J,7,0),"")</f>
        <v/>
      </c>
      <c r="K1212" s="80" t="str">
        <f t="shared" si="1950"/>
        <v/>
      </c>
      <c r="L1212" s="7">
        <f t="shared" si="1951"/>
        <v>0</v>
      </c>
      <c r="M1212" s="8" t="str">
        <f t="shared" si="1952"/>
        <v/>
      </c>
      <c r="N1212" s="57" t="str">
        <f t="shared" ref="N1212" si="1959">IFERROR((K1212/H1212),"")</f>
        <v/>
      </c>
      <c r="O1212" s="9"/>
      <c r="P1212" s="10"/>
      <c r="Q1212" s="10"/>
      <c r="R1212" s="10">
        <f t="shared" ref="R1212" si="1960">O1212*P1212*Q1212</f>
        <v>0</v>
      </c>
      <c r="S1212" s="41">
        <f t="shared" si="1953"/>
        <v>0</v>
      </c>
      <c r="Y1212" s="1"/>
      <c r="Z1212" s="140"/>
      <c r="AA1212" s="206" t="str">
        <f t="shared" si="1954"/>
        <v/>
      </c>
      <c r="AB1212"/>
      <c r="AC1212"/>
      <c r="AD1212"/>
      <c r="AE1212"/>
      <c r="AF1212"/>
    </row>
    <row r="1213" spans="1:32" ns3:dyDescent="0.3">
      <c r="A1213" s="2"/>
      <c r="B1213" s="11"/>
      <c r="C1213" s="247" t="s">
        <v>869</v>
      </c>
      <c r="D1213" s="166" t="str">
        <f>IFERROR((F1213/E1213),"")</f>
        <v/>
      </c>
      <c r="E1213" s="4">
        <v>9</v>
      </c>
      <c r="F1213" s="3" t="str">
        <f>IFERROR((L1213-K1213),"")</f>
        <v/>
      </c>
      <c r="G1213" s="5">
        <f>G1216</f>
        <v>8.5</v>
      </c>
      <c r="H1213" s="39">
        <f>ROUNDUP(SUMPRODUCT(B1214:B1215,C1214:C1215)/90,2)</f>
        <v>12.23</v>
      </c>
      <c r="I1213" s="34">
        <f t="shared" si="1949"/>
        <v>0</v>
      </c>
      <c r="J1213" s="78" t="str">
        <f>IFERROR(VLOOKUP(C1213,[2]Sheet1!$D:$J,7,0),"")</f>
        <v/>
      </c>
      <c r="K1213" s="80" t="str">
        <f t="shared" si="1950"/>
        <v/>
      </c>
      <c r="L1213" s="7">
        <f t="shared" si="1951"/>
        <v>103.955</v>
      </c>
      <c r="M1213" s="8" t="str">
        <f t="shared" si="1952"/>
        <v/>
      </c>
      <c r="N1213" s="57" t="str">
        <f>IFERROR((K1213/H1213),"")</f>
        <v/>
      </c>
      <c r="P1213" s="1"/>
      <c r="Q1213" s="1">
        <v>8550</v>
      </c>
      <c r="R1213" s="1"/>
      <c r="S1213" s="41">
        <f t="shared" si="1953"/>
        <v>0</v>
      </c>
      <c r="T1213" s="173"/>
      <c r="U1213" s="173"/>
      <c r="V1213" s="173"/>
      <c r="W1213" s="277"/>
      <c r="X1213" s="277"/>
      <c r="Y1213" s="277"/>
      <c r="AA1213" s="206">
        <f t="shared" si="1954"/>
        <v>1.4559523809523811</v>
      </c>
    </row>
    <row r="1214" spans="1:32" ns3:dyDescent="0.3">
      <c r="A1214" s="300" t="s">
        <v>812</v>
      </c>
      <c r="B1214" s="11">
        <f>ROUNDUP(HLOOKUP(A1214,'야채 계산기'!$2:$3,2,0),0)</f>
        <v>1100</v>
      </c>
      <c r="C1214" s="164">
        <v>1</v>
      </c>
      <c r="D1214" s="166" t="str">
        <f>IFERROR((F1214/E1214),"")</f>
        <v/>
      </c>
      <c r="E1214" s="4"/>
      <c r="F1214" s="3"/>
      <c r="G1214" s="5"/>
      <c r="H1214" s="38"/>
      <c r="I1214" s="34">
        <f t="shared" si="1949"/>
        <v>0</v>
      </c>
      <c r="J1214" s="78" t="str">
        <f>IFERROR(VLOOKUP(C1214,[2]Sheet1!$D:$J,7,0),"")</f>
        <v/>
      </c>
      <c r="K1214" s="80" t="str">
        <f t="shared" si="1950"/>
        <v/>
      </c>
      <c r="L1214" s="7">
        <f t="shared" si="1951"/>
        <v>0</v>
      </c>
      <c r="M1214" s="8" t="str">
        <f t="shared" si="1952"/>
        <v/>
      </c>
      <c r="N1214" s="57" t="str">
        <f t="shared" ref="N1214" si="1961">IFERROR((K1214/H1214),"")</f>
        <v/>
      </c>
      <c r="O1214" s="9"/>
      <c r="P1214" s="10"/>
      <c r="Q1214" s="10"/>
      <c r="R1214" s="10">
        <f t="shared" ref="R1214" si="1962">O1214*P1214*Q1214</f>
        <v>0</v>
      </c>
      <c r="S1214" s="41">
        <f t="shared" si="1953"/>
        <v>0</v>
      </c>
      <c r="Y1214" s="1"/>
      <c r="Z1214" s="140"/>
      <c r="AA1214" s="206" t="str">
        <f t="shared" si="1954"/>
        <v/>
      </c>
      <c r="AB1214"/>
      <c r="AC1214"/>
      <c r="AD1214"/>
      <c r="AE1214"/>
      <c r="AF1214"/>
    </row>
    <row r="1215" spans="1:32" ns3:dyDescent="0.3">
      <c r="A1215" s="300" t="s">
        <v>924</v>
      </c>
      <c r="B1215" s="11">
        <f>ROUNDUP(HLOOKUP(A1215,'야채 계산기'!$2:$3,2,0),0)</f>
        <v>0</v>
      </c>
      <c r="C1215" s="164">
        <v>1</v>
      </c>
      <c r="D1215" s="166" t="str">
        <f>IFERROR((F1215/E1215),"")</f>
        <v/>
      </c>
      <c r="E1215" s="4"/>
      <c r="F1215" s="3"/>
      <c r="G1215" s="5"/>
      <c r="H1215" s="38"/>
      <c r="I1215" s="34">
        <f t="shared" si="1949"/>
        <v>0</v>
      </c>
      <c r="J1215" s="78" t="str">
        <f>IFERROR(VLOOKUP(C1215,[2]Sheet1!$D:$J,7,0),"")</f>
        <v/>
      </c>
      <c r="K1215" s="80" t="str">
        <f t="shared" si="1950"/>
        <v/>
      </c>
      <c r="L1215" s="7">
        <f t="shared" si="1951"/>
        <v>0</v>
      </c>
      <c r="M1215" s="8" t="str">
        <f t="shared" si="1952"/>
        <v/>
      </c>
      <c r="N1215" s="57" t="str">
        <f t="shared" ref="N1215" si="1963">IFERROR((K1215/H1215),"")</f>
        <v/>
      </c>
      <c r="O1215" s="9"/>
      <c r="P1215" s="10"/>
      <c r="Q1215" s="10"/>
      <c r="R1215" s="10">
        <f t="shared" ref="R1215" si="1964">O1215*P1215*Q1215</f>
        <v>0</v>
      </c>
      <c r="S1215" s="41">
        <f t="shared" si="1953"/>
        <v>0</v>
      </c>
      <c r="Y1215" s="1"/>
      <c r="Z1215" s="140"/>
      <c r="AA1215" s="206" t="str">
        <f t="shared" si="1954"/>
        <v/>
      </c>
      <c r="AB1215"/>
      <c r="AC1215"/>
      <c r="AD1215"/>
      <c r="AE1215"/>
      <c r="AF1215"/>
    </row>
    <row r="1216" spans="1:32" ns3:dyDescent="0.3">
      <c r="A1216" s="2"/>
      <c r="B1216" s="11"/>
      <c r="C1216" s="164" t="s">
        <v>484</v>
      </c>
      <c r="D1216" s="166" t="str">
        <f>IFERROR((F1216/E1216),"")</f>
        <v/>
      </c>
      <c r="E1216" s="4">
        <v>6</v>
      </c>
      <c r="F1216" s="3" t="str">
        <f>IFERROR((L1216-K1216),"")</f>
        <v/>
      </c>
      <c r="G1216" s="5">
        <v>8.5</v>
      </c>
      <c r="H1216" s="39">
        <f>ROUNDUP(SUMPRODUCT(B1217:B1217,C1217:C1217)/100,2)</f>
        <v>6.4</v>
      </c>
      <c r="I1216" s="34">
        <f t="shared" ref="I1216:I1223" si="1965">IFERROR((S1216*E1216),"")</f>
        <v>24</v>
      </c>
      <c r="J1216" s="78" t="str">
        <f>IFERROR(VLOOKUP(C1216,[2]Sheet1!$D:$J,7,0),"")</f>
        <v/>
      </c>
      <c r="K1216" s="80" t="str">
        <f t="shared" ref="K1216:K1223" si="1966">IFERROR((I1216+J1216),"")</f>
        <v/>
      </c>
      <c r="L1216" s="7">
        <f t="shared" ref="L1216:L1223" si="1967">IFERROR((G1216*H1216),"")</f>
        <v>54.400000000000006</v>
      </c>
      <c r="M1216" s="8" t="str">
        <f t="shared" ref="M1216:M1223" si="1968">IFERROR(K1216-L1216,"")</f>
        <v/>
      </c>
      <c r="N1216" s="57" t="str">
        <f>IFERROR((K1216/H1216),"")</f>
        <v/>
      </c>
      <c r="P1216" s="1"/>
      <c r="Q1216" s="1">
        <v>15378</v>
      </c>
      <c r="R1216" s="1"/>
      <c r="S1216" s="41">
        <f t="shared" ref="S1216:S1223" si="1969">SUM(Y1216,T1216:X1216)</f>
        <v>4</v>
      </c>
      <c r="T1216" s="173"/>
      <c r="U1216" s="173"/>
      <c r="V1216" s="173"/>
      <c r="W1216" s="183">
        <v>2</v>
      </c>
      <c r="X1216" s="173"/>
      <c r="Y1216" s="173">
        <v>2</v>
      </c>
      <c r="AA1216" s="206">
        <f t="shared" ref="AA1216:AA1223" si="1970">IFERROR(H1216*7.5/E1216/7,"")</f>
        <v>1.1428571428571428</v>
      </c>
    </row>
    <row r="1217" spans="1:32" ns3:dyDescent="0.3">
      <c r="A1217" s="280" t="s">
        <v>494</v>
      </c>
      <c r="B1217" s="11">
        <f>ROUNDUP(HLOOKUP(A1217,'야채 계산기'!$2:$3,2,0),0)</f>
        <v>640</v>
      </c>
      <c r="C1217" s="164">
        <v>1</v>
      </c>
      <c r="D1217" s="166" t="str">
        <f t="shared" ref="D1217" si="1971">IFERROR((F1217/E1217),"")</f>
        <v/>
      </c>
      <c r="E1217" s="4"/>
      <c r="F1217" s="3"/>
      <c r="G1217" s="5"/>
      <c r="H1217" s="38"/>
      <c r="I1217" s="34">
        <f t="shared" si="1965"/>
        <v>0</v>
      </c>
      <c r="J1217" s="78" t="str">
        <f>IFERROR(VLOOKUP(C1217,[2]Sheet1!$D:$J,7,0),"")</f>
        <v/>
      </c>
      <c r="K1217" s="80" t="str">
        <f t="shared" si="1966"/>
        <v/>
      </c>
      <c r="L1217" s="7">
        <f t="shared" si="1967"/>
        <v>0</v>
      </c>
      <c r="M1217" s="8" t="str">
        <f t="shared" si="1968"/>
        <v/>
      </c>
      <c r="N1217" s="57" t="str">
        <f t="shared" ref="N1217" si="1972">IFERROR((K1217/H1217),"")</f>
        <v/>
      </c>
      <c r="O1217" s="9"/>
      <c r="P1217" s="10"/>
      <c r="Q1217" s="10"/>
      <c r="R1217" s="10">
        <f t="shared" ref="R1217" si="1973">O1217*P1217*Q1217</f>
        <v>0</v>
      </c>
      <c r="S1217" s="41">
        <f t="shared" si="1969"/>
        <v>0</v>
      </c>
      <c r="Y1217" s="1"/>
      <c r="Z1217" s="140"/>
      <c r="AA1217" s="206" t="str">
        <f t="shared" si="1970"/>
        <v/>
      </c>
      <c r="AB1217"/>
      <c r="AC1217"/>
      <c r="AD1217"/>
      <c r="AE1217"/>
      <c r="AF1217"/>
    </row>
    <row r="1218" spans="1:32" ns3:dyDescent="0.3">
      <c r="A1218" s="2"/>
      <c r="B1218" s="11"/>
      <c r="C1218" s="164" t="s">
        <v>483</v>
      </c>
      <c r="D1218" s="166" t="str">
        <f>IFERROR((F1218/E1218),"")</f>
        <v/>
      </c>
      <c r="E1218" s="4">
        <v>6</v>
      </c>
      <c r="F1218" s="3" t="str">
        <f>IFERROR((L1218-K1218),"")</f>
        <v/>
      </c>
      <c r="G1218" s="5">
        <f>G1216</f>
        <v>8.5</v>
      </c>
      <c r="H1218" s="39">
        <f>ROUNDUP(SUMPRODUCT(B1219:B1219,C1219:C1219)/100,2)</f>
        <v>8.1</v>
      </c>
      <c r="I1218" s="34">
        <f t="shared" si="1965"/>
        <v>60</v>
      </c>
      <c r="J1218" s="78" t="str">
        <f>IFERROR(VLOOKUP(C1218,[2]Sheet1!$D:$J,7,0),"")</f>
        <v/>
      </c>
      <c r="K1218" s="80" t="str">
        <f t="shared" si="1966"/>
        <v/>
      </c>
      <c r="L1218" s="7">
        <f t="shared" si="1967"/>
        <v>68.849999999999994</v>
      </c>
      <c r="M1218" s="8" t="str">
        <f t="shared" si="1968"/>
        <v/>
      </c>
      <c r="N1218" s="57" t="str">
        <f>IFERROR((K1218/H1218),"")</f>
        <v/>
      </c>
      <c r="P1218" s="1"/>
      <c r="Q1218" s="1"/>
      <c r="R1218" s="1"/>
      <c r="S1218" s="41">
        <f t="shared" si="1969"/>
        <v>10</v>
      </c>
      <c r="T1218" s="173"/>
      <c r="U1218" s="173">
        <v>2</v>
      </c>
      <c r="V1218" s="173">
        <v>2</v>
      </c>
      <c r="W1218" s="173">
        <v>2</v>
      </c>
      <c r="X1218" s="173">
        <v>2</v>
      </c>
      <c r="Y1218" s="173">
        <v>2</v>
      </c>
      <c r="AA1218" s="206">
        <f t="shared" si="1970"/>
        <v>1.4464285714285714</v>
      </c>
    </row>
    <row r="1219" spans="1:32" ns3:dyDescent="0.3">
      <c r="A1219" s="278" t="s">
        <v>571</v>
      </c>
      <c r="B1219" s="11">
        <f>ROUNDUP(HLOOKUP(A1219,'야채 계산기'!$2:$3,2,0),0)</f>
        <v>810</v>
      </c>
      <c r="C1219" s="164">
        <v>1</v>
      </c>
      <c r="D1219" s="166" t="str">
        <f t="shared" ref="D1219" si="1974">IFERROR((F1219/E1219),"")</f>
        <v/>
      </c>
      <c r="E1219" s="4"/>
      <c r="F1219" s="3"/>
      <c r="G1219" s="5"/>
      <c r="H1219" s="38"/>
      <c r="I1219" s="34">
        <f t="shared" si="1965"/>
        <v>0</v>
      </c>
      <c r="J1219" s="78" t="str">
        <f>IFERROR(VLOOKUP(C1219,[2]Sheet1!$D:$J,7,0),"")</f>
        <v/>
      </c>
      <c r="K1219" s="80" t="str">
        <f t="shared" si="1966"/>
        <v/>
      </c>
      <c r="L1219" s="7">
        <f t="shared" si="1967"/>
        <v>0</v>
      </c>
      <c r="M1219" s="8" t="str">
        <f t="shared" si="1968"/>
        <v/>
      </c>
      <c r="N1219" s="57" t="str">
        <f t="shared" ref="N1219" si="1975">IFERROR((K1219/H1219),"")</f>
        <v/>
      </c>
      <c r="O1219" s="9"/>
      <c r="P1219" s="10"/>
      <c r="Q1219" s="10"/>
      <c r="R1219" s="10">
        <f t="shared" ref="R1219" si="1976">O1219*P1219*Q1219</f>
        <v>0</v>
      </c>
      <c r="S1219" s="41">
        <f t="shared" si="1969"/>
        <v>0</v>
      </c>
      <c r="Y1219" s="1"/>
      <c r="Z1219" s="140"/>
      <c r="AA1219" s="206" t="str">
        <f t="shared" si="1970"/>
        <v/>
      </c>
      <c r="AB1219"/>
      <c r="AC1219"/>
      <c r="AD1219"/>
      <c r="AE1219"/>
      <c r="AF1219"/>
    </row>
    <row r="1220" spans="1:32" ns3:dyDescent="0.3">
      <c r="A1220" s="263"/>
      <c r="B1220" s="11"/>
      <c r="C1220" s="164" t="s">
        <v>766</v>
      </c>
      <c r="D1220" s="166" t="str">
        <f>IFERROR((F1220/E1220),"")</f>
        <v/>
      </c>
      <c r="E1220" s="4">
        <v>1</v>
      </c>
      <c r="F1220" s="3" t="str">
        <f>IFERROR((L1220-K1220),"")</f>
        <v/>
      </c>
      <c r="G1220" s="5">
        <f>G1216</f>
        <v>8.5</v>
      </c>
      <c r="H1220" s="39">
        <f>ROUNDUP(SUMPRODUCT(B1221:B1221,C1221:C1221)/400,2)</f>
        <v>5.05</v>
      </c>
      <c r="I1220" s="34">
        <f t="shared" si="1965"/>
        <v>36</v>
      </c>
      <c r="J1220" s="78" t="str">
        <f>IFERROR(VLOOKUP(C1220,[2]Sheet1!$D:$J,7,0),"")</f>
        <v/>
      </c>
      <c r="K1220" s="80" t="str">
        <f t="shared" si="1966"/>
        <v/>
      </c>
      <c r="L1220" s="7">
        <f t="shared" si="1967"/>
        <v>42.924999999999997</v>
      </c>
      <c r="M1220" s="8" t="str">
        <f t="shared" si="1968"/>
        <v/>
      </c>
      <c r="N1220" s="57" t="str">
        <f>IFERROR((K1220/H1220),"")</f>
        <v/>
      </c>
      <c r="P1220" s="1"/>
      <c r="Q1220" s="1"/>
      <c r="R1220" s="1"/>
      <c r="S1220" s="41">
        <f t="shared" si="1969"/>
        <v>36</v>
      </c>
      <c r="T1220" s="173">
        <v>6</v>
      </c>
      <c r="U1220" s="173">
        <v>6</v>
      </c>
      <c r="V1220" s="173">
        <v>6</v>
      </c>
      <c r="W1220" s="183">
        <v>6</v>
      </c>
      <c r="X1220" s="183">
        <v>6</v>
      </c>
      <c r="Y1220" s="183">
        <v>6</v>
      </c>
      <c r="AA1220" s="206">
        <f t="shared" si="1970"/>
        <v>5.4107142857142856</v>
      </c>
    </row>
    <row r="1221" spans="1:32" ns3:dyDescent="0.3">
      <c r="A1221" s="297" t="s">
        <v>768</v>
      </c>
      <c r="B1221" s="11">
        <f>ROUNDUP(HLOOKUP(A1221,'야채 계산기'!$2:$3,2,0),0)</f>
        <v>2020</v>
      </c>
      <c r="C1221" s="164">
        <v>1</v>
      </c>
      <c r="D1221" s="166" t="str">
        <f t="shared" ref="D1221" si="1977">IFERROR((F1221/E1221),"")</f>
        <v/>
      </c>
      <c r="E1221" s="4"/>
      <c r="F1221" s="3"/>
      <c r="G1221" s="5"/>
      <c r="H1221" s="38"/>
      <c r="I1221" s="34">
        <f t="shared" si="1965"/>
        <v>0</v>
      </c>
      <c r="J1221" s="78" t="str">
        <f>IFERROR(VLOOKUP(C1221,[2]Sheet1!$D:$J,7,0),"")</f>
        <v/>
      </c>
      <c r="K1221" s="80" t="str">
        <f t="shared" si="1966"/>
        <v/>
      </c>
      <c r="L1221" s="7">
        <f t="shared" si="1967"/>
        <v>0</v>
      </c>
      <c r="M1221" s="8" t="str">
        <f t="shared" si="1968"/>
        <v/>
      </c>
      <c r="N1221" s="57" t="str">
        <f t="shared" ref="N1221" si="1978">IFERROR((K1221/H1221),"")</f>
        <v/>
      </c>
      <c r="O1221" s="9"/>
      <c r="P1221" s="10"/>
      <c r="Q1221" s="10"/>
      <c r="R1221" s="10">
        <f t="shared" ref="R1221" si="1979">O1221*P1221*Q1221</f>
        <v>0</v>
      </c>
      <c r="S1221" s="41">
        <f t="shared" si="1969"/>
        <v>0</v>
      </c>
      <c r="Y1221" s="1"/>
      <c r="Z1221" s="140"/>
      <c r="AA1221" s="206" t="str">
        <f t="shared" si="1970"/>
        <v/>
      </c>
      <c r="AB1221"/>
      <c r="AC1221"/>
      <c r="AD1221"/>
      <c r="AE1221"/>
      <c r="AF1221"/>
    </row>
    <row r="1222" spans="1:32" ns3:dyDescent="0.3">
      <c r="A1222" s="263"/>
      <c r="B1222" s="11"/>
      <c r="C1222" s="164" t="s">
        <v>767</v>
      </c>
      <c r="D1222" s="166" t="str">
        <f>IFERROR((F1222/E1222),"")</f>
        <v/>
      </c>
      <c r="E1222" s="4">
        <v>1</v>
      </c>
      <c r="F1222" s="3" t="str">
        <f>IFERROR((L1222-K1222),"")</f>
        <v/>
      </c>
      <c r="G1222" s="5">
        <f>G1220</f>
        <v>8.5</v>
      </c>
      <c r="H1222" s="39">
        <f>ROUNDUP(SUMPRODUCT(B1223:B1223,C1223:C1223)/400,2)</f>
        <v>5.05</v>
      </c>
      <c r="I1222" s="34">
        <f t="shared" si="1965"/>
        <v>38</v>
      </c>
      <c r="J1222" s="78" t="str">
        <f>IFERROR(VLOOKUP(C1222,[2]Sheet1!$D:$J,7,0),"")</f>
        <v/>
      </c>
      <c r="K1222" s="80" t="str">
        <f t="shared" si="1966"/>
        <v/>
      </c>
      <c r="L1222" s="7">
        <f t="shared" si="1967"/>
        <v>42.924999999999997</v>
      </c>
      <c r="M1222" s="8" t="str">
        <f t="shared" si="1968"/>
        <v/>
      </c>
      <c r="N1222" s="57" t="str">
        <f>IFERROR((K1222/H1222),"")</f>
        <v/>
      </c>
      <c r="P1222" s="1"/>
      <c r="Q1222" s="1"/>
      <c r="R1222" s="1"/>
      <c r="S1222" s="41">
        <f t="shared" si="1969"/>
        <v>38</v>
      </c>
      <c r="T1222" s="173">
        <v>6</v>
      </c>
      <c r="U1222" s="173">
        <v>6</v>
      </c>
      <c r="V1222" s="173">
        <v>8</v>
      </c>
      <c r="W1222" s="183">
        <v>6</v>
      </c>
      <c r="X1222" s="183">
        <v>6</v>
      </c>
      <c r="Y1222" s="183">
        <v>6</v>
      </c>
      <c r="AA1222" s="206">
        <f t="shared" si="1970"/>
        <v>5.4107142857142856</v>
      </c>
    </row>
    <row r="1223" spans="1:32" ns3:dyDescent="0.3">
      <c r="A1223" s="297" t="s">
        <v>768</v>
      </c>
      <c r="B1223" s="11">
        <f>ROUNDUP(HLOOKUP(A1223,'야채 계산기'!$2:$3,2,0),0)</f>
        <v>2020</v>
      </c>
      <c r="C1223" s="164">
        <v>1</v>
      </c>
      <c r="D1223" s="166" t="str">
        <f t="shared" ref="D1223" si="1980">IFERROR((F1223/E1223),"")</f>
        <v/>
      </c>
      <c r="E1223" s="4"/>
      <c r="F1223" s="3"/>
      <c r="G1223" s="5"/>
      <c r="H1223" s="38"/>
      <c r="I1223" s="34">
        <f t="shared" si="1965"/>
        <v>0</v>
      </c>
      <c r="J1223" s="78" t="str">
        <f>IFERROR(VLOOKUP(C1223,[2]Sheet1!$D:$J,7,0),"")</f>
        <v/>
      </c>
      <c r="K1223" s="80" t="str">
        <f t="shared" si="1966"/>
        <v/>
      </c>
      <c r="L1223" s="7">
        <f t="shared" si="1967"/>
        <v>0</v>
      </c>
      <c r="M1223" s="8" t="str">
        <f t="shared" si="1968"/>
        <v/>
      </c>
      <c r="N1223" s="57" t="str">
        <f t="shared" ref="N1223" si="1981">IFERROR((K1223/H1223),"")</f>
        <v/>
      </c>
      <c r="O1223" s="9"/>
      <c r="P1223" s="10"/>
      <c r="Q1223" s="10"/>
      <c r="R1223" s="10">
        <f t="shared" ref="R1223" si="1982">O1223*P1223*Q1223</f>
        <v>0</v>
      </c>
      <c r="S1223" s="41">
        <f t="shared" si="1969"/>
        <v>0</v>
      </c>
      <c r="Y1223" s="1"/>
      <c r="Z1223" s="140"/>
      <c r="AA1223" s="206" t="str">
        <f t="shared" si="1970"/>
        <v/>
      </c>
      <c r="AB1223"/>
      <c r="AC1223"/>
      <c r="AD1223"/>
      <c r="AE1223"/>
      <c r="AF1223"/>
    </row>
    <row r="1224" spans="1:32" ns3:dyDescent="0.3">
      <c r="A1224" s="58"/>
      <c r="B1224" s="2"/>
      <c r="C1224" s="62"/>
      <c r="D1224" s="166" t="str">
        <f t="shared" ref="D1224:D1225" si="1983">IFERROR((F1224/E1224),"")</f>
        <v/>
      </c>
      <c r="E1224" s="4"/>
      <c r="F1224" s="3"/>
      <c r="G1224" s="5"/>
      <c r="H1224" s="6"/>
      <c r="I1224" s="34">
        <f t="shared" si="1763"/>
        <v>0</v>
      </c>
      <c r="J1224" s="78" t="str">
        <f>IFERROR(VLOOKUP(C1224,[2]Sheet1!$D:$J,7,0),"")</f>
        <v/>
      </c>
      <c r="K1224" s="80" t="str">
        <f>IFERROR((I1224+J1224),"")</f>
        <v/>
      </c>
      <c r="L1224" s="7">
        <f t="shared" si="1764"/>
        <v>0</v>
      </c>
      <c r="M1224" s="8" t="str">
        <f t="shared" si="1765"/>
        <v/>
      </c>
      <c r="N1224" s="57"/>
      <c r="O1224" s="9"/>
      <c r="P1224" s="10"/>
      <c r="Q1224" s="10"/>
      <c r="R1224" s="10"/>
      <c r="S1224" s="41">
        <f t="shared" si="1860"/>
        <v>0</v>
      </c>
      <c r="Y1224" s="1"/>
      <c r="AA1224" s="206" t="str">
        <f t="shared" si="1948"/>
        <v/>
      </c>
    </row>
    <row r="1225" spans="1:32" ns3:dyDescent="0.3">
      <c r="A1225" s="58"/>
      <c r="B1225" s="2"/>
      <c r="C1225" s="164"/>
      <c r="D1225" s="166" t="str">
        <f t="shared" si="1983"/>
        <v/>
      </c>
      <c r="E1225" s="4"/>
      <c r="F1225" s="3"/>
      <c r="G1225" s="5"/>
      <c r="H1225" s="6"/>
      <c r="I1225" s="34">
        <f t="shared" si="1763"/>
        <v>0</v>
      </c>
      <c r="J1225" s="78" t="str">
        <f>IFERROR(VLOOKUP(C1225,[2]Sheet1!$D:$J,7,0),"")</f>
        <v/>
      </c>
      <c r="K1225" s="80" t="str">
        <f>IFERROR((I1225+J1225),"")</f>
        <v/>
      </c>
      <c r="L1225" s="7">
        <f t="shared" si="1764"/>
        <v>0</v>
      </c>
      <c r="M1225" s="8" t="str">
        <f t="shared" si="1765"/>
        <v/>
      </c>
      <c r="N1225" s="57"/>
      <c r="O1225" s="9"/>
      <c r="P1225" s="10"/>
      <c r="Q1225" s="10"/>
      <c r="R1225" s="10"/>
      <c r="S1225" s="41">
        <f t="shared" si="1860"/>
        <v>0</v>
      </c>
      <c r="Y1225" s="1"/>
      <c r="AA1225" s="206" t="str">
        <f t="shared" si="1948"/>
        <v/>
      </c>
    </row>
    <row r="1226" spans="1:32" ns3:dyDescent="0.3">
      <c r="A1226" s="184" t="s">
        <v>556</v>
      </c>
      <c r="B1226" s="184" t="s">
        <v>385</v>
      </c>
      <c r="C1226" s="196"/>
      <c r="D1226" s="111" t="str">
        <f>IFERROR((F1226/E1226),"")</f>
        <v/>
      </c>
      <c r="E1226" s="4"/>
      <c r="F1226" s="17"/>
      <c r="G1226" s="5"/>
      <c r="H1226" s="6"/>
      <c r="I1226" s="34">
        <f t="shared" ref="I1226:I1230" si="1984">IFERROR((S1226*E1226),"")</f>
        <v>0</v>
      </c>
      <c r="J1226" s="78" t="str">
        <f>IFERROR(VLOOKUP(C1226,[2]Sheet1!$D:$J,7,0),"")</f>
        <v/>
      </c>
      <c r="K1226" s="80" t="str">
        <f t="shared" ref="K1226:K1228" si="1985">IFERROR((I1226+J1226),"")</f>
        <v/>
      </c>
      <c r="L1226" s="7">
        <f t="shared" ref="L1226:L1230" si="1986">IFERROR((G1226*H1226),"")</f>
        <v>0</v>
      </c>
      <c r="M1226" s="8" t="str">
        <f t="shared" ref="M1226:M1230" si="1987">IFERROR(K1226-L1226,"")</f>
        <v/>
      </c>
      <c r="N1226" s="57" t="str">
        <f>IFERROR((K1226/H1226),"")</f>
        <v/>
      </c>
      <c r="O1226" s="9"/>
      <c r="P1226" s="10"/>
      <c r="Q1226" s="10"/>
      <c r="R1226" s="10">
        <f>O1226*P1226*Q1226</f>
        <v>0</v>
      </c>
      <c r="S1226" s="41">
        <f t="shared" si="1860"/>
        <v>0</v>
      </c>
      <c r="Y1226" s="1"/>
      <c r="AA1226" s="206" t="str">
        <f t="shared" si="1948"/>
        <v/>
      </c>
    </row>
    <row r="1227" spans="1:32" ns3:dyDescent="0.3">
      <c r="A1227" s="2"/>
      <c r="B1227" s="11"/>
      <c r="C1227" s="164" t="s">
        <v>523</v>
      </c>
      <c r="D1227" s="166" t="str">
        <f>IFERROR((F1227/E1227),"")</f>
        <v/>
      </c>
      <c r="E1227" s="4">
        <v>4</v>
      </c>
      <c r="F1227" s="3" t="str">
        <f>IFERROR((L1227-K1227),"")</f>
        <v/>
      </c>
      <c r="G1227" s="5">
        <v>8.5</v>
      </c>
      <c r="H1227" s="39">
        <f>ROUNDUP(SUMPRODUCT(B1228:B1231,C1228:C1231)/100,2)</f>
        <v>11.7</v>
      </c>
      <c r="I1227" s="34">
        <f t="shared" si="1984"/>
        <v>64</v>
      </c>
      <c r="J1227" s="78" t="str">
        <f>IFERROR(VLOOKUP(C1227,[2]Sheet1!$D:$J,7,0),"")</f>
        <v/>
      </c>
      <c r="K1227" s="80" t="str">
        <f t="shared" si="1985"/>
        <v/>
      </c>
      <c r="L1227" s="7">
        <f t="shared" si="1986"/>
        <v>99.449999999999989</v>
      </c>
      <c r="M1227" s="8" t="str">
        <f t="shared" si="1987"/>
        <v/>
      </c>
      <c r="N1227" s="57" t="str">
        <f>IFERROR((K1227/H1227),"")</f>
        <v/>
      </c>
      <c r="P1227" s="1"/>
      <c r="Q1227" s="1">
        <v>14400</v>
      </c>
      <c r="R1227" s="1"/>
      <c r="S1227" s="41">
        <f t="shared" si="1860"/>
        <v>16</v>
      </c>
      <c r="T1227" s="173"/>
      <c r="U1227" s="173">
        <v>4</v>
      </c>
      <c r="V1227" s="183">
        <v>4</v>
      </c>
      <c r="W1227" s="183">
        <v>4</v>
      </c>
      <c r="X1227" s="183">
        <v>4</v>
      </c>
      <c r="Y1227" s="183"/>
      <c r="AA1227" s="206">
        <f t="shared" si="1948"/>
        <v>3.1339285714285716</v>
      </c>
    </row>
    <row r="1228" spans="1:32" ns3:dyDescent="0.3">
      <c r="A1228" s="43" t="s">
        <v>624</v>
      </c>
      <c r="B1228" s="11">
        <f>ROUNDUP(HLOOKUP(A1228,'야채 계산기'!$2:$3,2,0),0)</f>
        <v>1170</v>
      </c>
      <c r="C1228" s="164">
        <v>1</v>
      </c>
      <c r="D1228" s="166" t="str">
        <f t="shared" ref="D1228:D1230" si="1988">IFERROR((F1228/E1228),"")</f>
        <v/>
      </c>
      <c r="E1228" s="4"/>
      <c r="F1228" s="3"/>
      <c r="G1228" s="5"/>
      <c r="H1228" s="38"/>
      <c r="I1228" s="34">
        <f t="shared" si="1984"/>
        <v>0</v>
      </c>
      <c r="J1228" s="78" t="str">
        <f>IFERROR(VLOOKUP(C1228,[2]Sheet1!$D:$J,7,0),"")</f>
        <v/>
      </c>
      <c r="K1228" s="80" t="str">
        <f t="shared" si="1985"/>
        <v/>
      </c>
      <c r="L1228" s="7">
        <f t="shared" si="1986"/>
        <v>0</v>
      </c>
      <c r="M1228" s="8" t="str">
        <f t="shared" si="1987"/>
        <v/>
      </c>
      <c r="N1228" s="57" t="str">
        <f t="shared" ref="N1228" si="1989">IFERROR((K1228/H1228),"")</f>
        <v/>
      </c>
      <c r="O1228" s="9"/>
      <c r="P1228" s="10"/>
      <c r="Q1228" s="10"/>
      <c r="R1228" s="10">
        <f t="shared" ref="R1228" si="1990">O1228*P1228*Q1228</f>
        <v>0</v>
      </c>
      <c r="S1228" s="41">
        <f t="shared" si="1860"/>
        <v>0</v>
      </c>
      <c r="Y1228" s="1"/>
      <c r="Z1228" s="140"/>
      <c r="AA1228" s="206" t="str">
        <f t="shared" si="1948"/>
        <v/>
      </c>
      <c r="AB1228"/>
      <c r="AC1228"/>
      <c r="AD1228"/>
      <c r="AE1228"/>
      <c r="AF1228"/>
    </row>
    <row r="1229" spans="1:32" ns3:dyDescent="0.3">
      <c r="A1229" s="58"/>
      <c r="B1229" s="2"/>
      <c r="C1229" s="164"/>
      <c r="D1229" s="166" t="str">
        <f t="shared" si="1988"/>
        <v/>
      </c>
      <c r="E1229" s="4"/>
      <c r="F1229" s="3"/>
      <c r="G1229" s="5"/>
      <c r="H1229" s="6"/>
      <c r="I1229" s="34">
        <f t="shared" si="1984"/>
        <v>0</v>
      </c>
      <c r="J1229" s="78" t="str">
        <f>IFERROR(VLOOKUP(C1229,[2]Sheet1!$D:$J,7,0),"")</f>
        <v/>
      </c>
      <c r="K1229" s="80" t="str">
        <f>IFERROR((I1229+J1229),"")</f>
        <v/>
      </c>
      <c r="L1229" s="7">
        <f t="shared" si="1986"/>
        <v>0</v>
      </c>
      <c r="M1229" s="8" t="str">
        <f t="shared" si="1987"/>
        <v/>
      </c>
      <c r="N1229" s="57"/>
      <c r="O1229" s="9"/>
      <c r="P1229" s="10"/>
      <c r="Q1229" s="10"/>
      <c r="R1229" s="10"/>
      <c r="S1229" s="41">
        <f t="shared" si="1860"/>
        <v>0</v>
      </c>
      <c r="Y1229" s="1"/>
      <c r="AA1229" s="206" t="str">
        <f t="shared" si="1948"/>
        <v/>
      </c>
    </row>
    <row r="1230" spans="1:32" ns3:dyDescent="0.3">
      <c r="A1230" s="58"/>
      <c r="B1230" s="2"/>
      <c r="C1230" s="164"/>
      <c r="D1230" s="166" t="str">
        <f t="shared" si="1988"/>
        <v/>
      </c>
      <c r="E1230" s="4"/>
      <c r="F1230" s="3"/>
      <c r="G1230" s="5"/>
      <c r="H1230" s="6"/>
      <c r="I1230" s="34">
        <f t="shared" si="1984"/>
        <v>0</v>
      </c>
      <c r="J1230" s="78" t="str">
        <f>IFERROR(VLOOKUP(C1230,[2]Sheet1!$D:$J,7,0),"")</f>
        <v/>
      </c>
      <c r="K1230" s="80" t="str">
        <f>IFERROR((I1230+J1230),"")</f>
        <v/>
      </c>
      <c r="L1230" s="7">
        <f t="shared" si="1986"/>
        <v>0</v>
      </c>
      <c r="M1230" s="8" t="str">
        <f t="shared" si="1987"/>
        <v/>
      </c>
      <c r="N1230" s="57"/>
      <c r="O1230" s="9"/>
      <c r="P1230" s="10"/>
      <c r="Q1230" s="10"/>
      <c r="R1230" s="10"/>
      <c r="S1230" s="41">
        <f t="shared" si="1860"/>
        <v>0</v>
      </c>
      <c r="Y1230" s="1"/>
      <c r="AA1230" s="206" t="str">
        <f t="shared" si="1948"/>
        <v/>
      </c>
    </row>
    <row r="1231" spans="1:32" ns3:dyDescent="0.3">
      <c r="A1231" s="184" t="s">
        <v>488</v>
      </c>
      <c r="B1231" s="184" t="s">
        <v>385</v>
      </c>
      <c r="C1231" s="196"/>
      <c r="D1231" s="111" t="str">
        <f>IFERROR((F1231/E1231),"")</f>
        <v/>
      </c>
      <c r="E1231" s="4"/>
      <c r="F1231" s="17"/>
      <c r="G1231" s="5"/>
      <c r="H1231" s="6"/>
      <c r="I1231" s="34">
        <f t="shared" si="1763"/>
        <v>0</v>
      </c>
      <c r="J1231" s="78" t="str">
        <f>IFERROR(VLOOKUP(C1231,[2]Sheet1!$D:$J,7,0),"")</f>
        <v/>
      </c>
      <c r="K1231" s="80" t="str">
        <f t="shared" ref="K1231:K1238" si="1991">IFERROR((I1231+J1231),"")</f>
        <v/>
      </c>
      <c r="L1231" s="7">
        <f t="shared" si="1764"/>
        <v>0</v>
      </c>
      <c r="M1231" s="8" t="str">
        <f t="shared" si="1765"/>
        <v/>
      </c>
      <c r="N1231" s="57" t="str">
        <f>IFERROR((K1231/H1231),"")</f>
        <v/>
      </c>
      <c r="O1231" s="9"/>
      <c r="P1231" s="10"/>
      <c r="Q1231" s="10"/>
      <c r="R1231" s="10">
        <f>O1231*P1231*Q1231</f>
        <v>0</v>
      </c>
      <c r="S1231" s="41">
        <f t="shared" si="1860"/>
        <v>0</v>
      </c>
      <c r="Y1231" s="1"/>
      <c r="AA1231" s="206" t="str">
        <f t="shared" si="1948"/>
        <v/>
      </c>
    </row>
    <row r="1232" spans="1:32" hidden="1" ns3:dyDescent="0.3">
      <c r="A1232" s="2"/>
      <c r="B1232" s="11"/>
      <c r="C1232" s="262" t="s">
        <v>617</v>
      </c>
      <c r="D1232" s="166" t="str">
        <f>IFERROR((F1232/E1232),"")</f>
        <v/>
      </c>
      <c r="E1232" s="4">
        <v>4</v>
      </c>
      <c r="F1232" s="3" t="str">
        <f>IFERROR((L1232-K1232),"")</f>
        <v/>
      </c>
      <c r="G1232" s="5">
        <v>8.5</v>
      </c>
      <c r="H1232" s="39">
        <f>ROUNDUP(SUMPRODUCT(B1233:B1234,C1233:C1234)/80,2)</f>
        <v>0</v>
      </c>
      <c r="I1232" s="34">
        <f t="shared" ref="I1232:I1238" si="1992">IFERROR((S1232*E1232),"")</f>
        <v>0</v>
      </c>
      <c r="J1232" s="78" t="str">
        <f>IFERROR(VLOOKUP(C1232,[2]Sheet1!$D:$J,7,0),"")</f>
        <v/>
      </c>
      <c r="K1232" s="80" t="str">
        <f t="shared" si="1991"/>
        <v/>
      </c>
      <c r="L1232" s="7">
        <f t="shared" ref="L1232:L1238" si="1993">IFERROR((G1232*H1232),"")</f>
        <v>0</v>
      </c>
      <c r="M1232" s="8" t="str">
        <f t="shared" ref="M1232:M1238" si="1994">IFERROR(K1232-L1232,"")</f>
        <v/>
      </c>
      <c r="N1232" s="57" t="str">
        <f>IFERROR((K1232/H1232),"")</f>
        <v/>
      </c>
      <c r="P1232" s="1"/>
      <c r="Q1232" s="1"/>
      <c r="R1232" s="1"/>
      <c r="S1232" s="41">
        <f t="shared" ref="S1232:S1238" si="1995">SUM(Y1232,T1232:X1232)</f>
        <v>0</v>
      </c>
      <c r="T1232" s="173"/>
      <c r="U1232" s="183"/>
      <c r="V1232" s="183"/>
      <c r="W1232" s="183"/>
      <c r="X1232" s="183"/>
      <c r="Y1232" s="183"/>
      <c r="AA1232" s="206">
        <f t="shared" ref="AA1232:AA1238" si="1996">IFERROR(H1232*7.5/E1232/7,"")</f>
        <v>0</v>
      </c>
    </row>
    <row r="1233" spans="1:32" hidden="1" ns3:dyDescent="0.3">
      <c r="A1233" s="280" t="s">
        <v>495</v>
      </c>
      <c r="B1233" s="11">
        <f>ROUNDUP(HLOOKUP(A1233,'야채 계산기'!$2:$3,2,0),0)</f>
        <v>0</v>
      </c>
      <c r="C1233" s="164">
        <v>1</v>
      </c>
      <c r="D1233" s="166" t="str">
        <f t="shared" ref="D1233:D1234" si="1997">IFERROR((F1233/E1233),"")</f>
        <v/>
      </c>
      <c r="E1233" s="4"/>
      <c r="F1233" s="3"/>
      <c r="G1233" s="5"/>
      <c r="H1233" s="38"/>
      <c r="I1233" s="34">
        <f t="shared" si="1992"/>
        <v>0</v>
      </c>
      <c r="J1233" s="78" t="str">
        <f>IFERROR(VLOOKUP(C1233,[2]Sheet1!$D:$J,7,0),"")</f>
        <v/>
      </c>
      <c r="K1233" s="80" t="str">
        <f t="shared" si="1991"/>
        <v/>
      </c>
      <c r="L1233" s="7">
        <f t="shared" si="1993"/>
        <v>0</v>
      </c>
      <c r="M1233" s="8" t="str">
        <f t="shared" si="1994"/>
        <v/>
      </c>
      <c r="N1233" s="57" t="str">
        <f t="shared" ref="N1233:N1234" si="1998">IFERROR((K1233/H1233),"")</f>
        <v/>
      </c>
      <c r="O1233" s="9"/>
      <c r="P1233" s="10"/>
      <c r="Q1233" s="10"/>
      <c r="R1233" s="10">
        <f t="shared" ref="R1233:R1234" si="1999">O1233*P1233*Q1233</f>
        <v>0</v>
      </c>
      <c r="S1233" s="41">
        <f t="shared" si="1995"/>
        <v>0</v>
      </c>
      <c r="Y1233" s="1"/>
      <c r="Z1233" s="140"/>
      <c r="AA1233" s="206" t="str">
        <f t="shared" si="1996"/>
        <v/>
      </c>
      <c r="AB1233"/>
      <c r="AC1233"/>
      <c r="AD1233"/>
      <c r="AE1233"/>
      <c r="AF1233"/>
    </row>
    <row r="1234" spans="1:32" hidden="1" ns3:dyDescent="0.3">
      <c r="A1234" s="280" t="s">
        <v>493</v>
      </c>
      <c r="B1234" s="11"/>
      <c r="C1234" s="164">
        <v>1</v>
      </c>
      <c r="D1234" s="166" t="str">
        <f t="shared" si="1997"/>
        <v/>
      </c>
      <c r="E1234" s="4"/>
      <c r="F1234" s="3"/>
      <c r="G1234" s="5"/>
      <c r="H1234" s="38"/>
      <c r="I1234" s="34">
        <f t="shared" si="1992"/>
        <v>0</v>
      </c>
      <c r="J1234" s="78" t="str">
        <f>IFERROR(VLOOKUP(C1234,[2]Sheet1!$D:$J,7,0),"")</f>
        <v/>
      </c>
      <c r="K1234" s="80" t="str">
        <f t="shared" si="1991"/>
        <v/>
      </c>
      <c r="L1234" s="7">
        <f t="shared" si="1993"/>
        <v>0</v>
      </c>
      <c r="M1234" s="8" t="str">
        <f t="shared" si="1994"/>
        <v/>
      </c>
      <c r="N1234" s="57" t="str">
        <f t="shared" si="1998"/>
        <v/>
      </c>
      <c r="O1234" s="9"/>
      <c r="P1234" s="10"/>
      <c r="Q1234" s="10"/>
      <c r="R1234" s="10">
        <f t="shared" si="1999"/>
        <v>0</v>
      </c>
      <c r="S1234" s="41">
        <f t="shared" si="1995"/>
        <v>0</v>
      </c>
      <c r="Y1234" s="1"/>
      <c r="Z1234" s="140"/>
      <c r="AA1234" s="206" t="str">
        <f t="shared" si="1996"/>
        <v/>
      </c>
      <c r="AB1234"/>
      <c r="AC1234"/>
      <c r="AD1234"/>
      <c r="AE1234"/>
      <c r="AF1234"/>
    </row>
    <row r="1235" spans="1:32" hidden="1" ns3:dyDescent="0.3">
      <c r="A1235" s="2"/>
      <c r="B1235" s="11"/>
      <c r="C1235" s="262" t="s">
        <v>702</v>
      </c>
      <c r="D1235" s="166" t="str">
        <f>IFERROR((F1235/E1235),"")</f>
        <v/>
      </c>
      <c r="E1235" s="4">
        <v>8</v>
      </c>
      <c r="F1235" s="3" t="str">
        <f>IFERROR((L1235-K1235),"")</f>
        <v/>
      </c>
      <c r="G1235" s="5">
        <f>G1232</f>
        <v>8.5</v>
      </c>
      <c r="H1235" s="39" t="e">
        <f>ROUNDUP(SUMPRODUCT(B1236:B1236,C1236:C1236)/120,2)</f>
        <v>#N/A</v>
      </c>
      <c r="I1235" s="34">
        <f>IFERROR((S1235*E1235),"")</f>
        <v>0</v>
      </c>
      <c r="J1235" s="78" t="str">
        <f>IFERROR(VLOOKUP(C1235,[2]Sheet1!$D:$J,7,0),"")</f>
        <v/>
      </c>
      <c r="K1235" s="80" t="str">
        <f>IFERROR((I1235+J1235),"")</f>
        <v/>
      </c>
      <c r="L1235" s="7" t="str">
        <f>IFERROR((G1235*H1235),"")</f>
        <v/>
      </c>
      <c r="M1235" s="8" t="str">
        <f>IFERROR(K1235-L1235,"")</f>
        <v/>
      </c>
      <c r="N1235" s="57" t="str">
        <f>IFERROR((K1235/H1235),"")</f>
        <v/>
      </c>
      <c r="P1235" s="1"/>
      <c r="Q1235" s="1">
        <v>13200</v>
      </c>
      <c r="R1235" s="1"/>
      <c r="S1235" s="41">
        <f>SUM(Y1235,T1235:X1235)</f>
        <v>0</v>
      </c>
      <c r="T1235" s="173"/>
      <c r="U1235" s="183"/>
      <c r="V1235" s="183"/>
      <c r="W1235" s="183"/>
      <c r="X1235" s="183"/>
      <c r="Y1235" s="183"/>
      <c r="AA1235" s="206" t="str">
        <f>IFERROR(H1235*7.5/E1235/7,"")</f>
        <v/>
      </c>
    </row>
    <row r="1236" spans="1:32" hidden="1" ns3:dyDescent="0.3">
      <c r="A1236" s="278" t="s">
        <v>697</v>
      </c>
      <c r="B1236" s="11" t="e">
        <f>ROUNDUP(HLOOKUP(A1236,'야채 계산기'!$2:$3,2,0),0)</f>
        <v>#N/A</v>
      </c>
      <c r="C1236" s="164">
        <v>1</v>
      </c>
      <c r="D1236" s="166" t="str">
        <f t="shared" ref="D1236" si="2000">IFERROR((F1236/E1236),"")</f>
        <v/>
      </c>
      <c r="E1236" s="4"/>
      <c r="F1236" s="3"/>
      <c r="G1236" s="5"/>
      <c r="H1236" s="38"/>
      <c r="I1236" s="34">
        <f>IFERROR((S1236*E1236),"")</f>
        <v>0</v>
      </c>
      <c r="J1236" s="78" t="str">
        <f>IFERROR(VLOOKUP(C1236,[2]Sheet1!$D:$J,7,0),"")</f>
        <v/>
      </c>
      <c r="K1236" s="80" t="str">
        <f>IFERROR((I1236+J1236),"")</f>
        <v/>
      </c>
      <c r="L1236" s="7">
        <f>IFERROR((G1236*H1236),"")</f>
        <v>0</v>
      </c>
      <c r="M1236" s="8" t="str">
        <f>IFERROR(K1236-L1236,"")</f>
        <v/>
      </c>
      <c r="N1236" s="57" t="str">
        <f t="shared" ref="N1236" si="2001">IFERROR((K1236/H1236),"")</f>
        <v/>
      </c>
      <c r="O1236" s="9"/>
      <c r="P1236" s="10"/>
      <c r="Q1236" s="10"/>
      <c r="R1236" s="10">
        <f t="shared" ref="R1236" si="2002">O1236*P1236*Q1236</f>
        <v>0</v>
      </c>
      <c r="S1236" s="41">
        <f>SUM(Y1236,T1236:X1236)</f>
        <v>0</v>
      </c>
      <c r="Y1236" s="1"/>
      <c r="Z1236" s="140"/>
      <c r="AA1236" s="206" t="str">
        <f>IFERROR(H1236*7.5/E1236/7,"")</f>
        <v/>
      </c>
      <c r="AB1236"/>
      <c r="AC1236"/>
      <c r="AD1236"/>
      <c r="AE1236"/>
      <c r="AF1236"/>
    </row>
    <row r="1237" spans="1:32" ns3:dyDescent="0.3">
      <c r="A1237" s="2"/>
      <c r="B1237" s="11"/>
      <c r="C1237" s="62" t="s">
        <v>619</v>
      </c>
      <c r="D1237" s="166" t="str">
        <f>IFERROR((F1237/E1237),"")</f>
        <v/>
      </c>
      <c r="E1237" s="4">
        <v>4</v>
      </c>
      <c r="F1237" s="3" t="str">
        <f>IFERROR((L1237-K1237),"")</f>
        <v/>
      </c>
      <c r="G1237" s="5">
        <f>G1232</f>
        <v>8.5</v>
      </c>
      <c r="H1237" s="39">
        <f>ROUNDUP(SUMPRODUCT(B1238:B1238,C1238:C1238)/80,2)</f>
        <v>14.629999999999999</v>
      </c>
      <c r="I1237" s="34">
        <f t="shared" si="1992"/>
        <v>80</v>
      </c>
      <c r="J1237" s="78" t="str">
        <f>IFERROR(VLOOKUP(C1237,[2]Sheet1!$D:$J,7,0),"")</f>
        <v/>
      </c>
      <c r="K1237" s="80" t="str">
        <f t="shared" si="1991"/>
        <v/>
      </c>
      <c r="L1237" s="7">
        <f t="shared" si="1993"/>
        <v>124.35499999999999</v>
      </c>
      <c r="M1237" s="8" t="str">
        <f t="shared" si="1994"/>
        <v/>
      </c>
      <c r="N1237" s="57" t="str">
        <f>IFERROR((K1237/H1237),"")</f>
        <v/>
      </c>
      <c r="P1237" s="1"/>
      <c r="Q1237" s="1">
        <v>11328</v>
      </c>
      <c r="R1237" s="1"/>
      <c r="S1237" s="41">
        <f t="shared" si="1995"/>
        <v>20</v>
      </c>
      <c r="T1237" s="173"/>
      <c r="U1237" s="183">
        <v>4</v>
      </c>
      <c r="V1237" s="183">
        <v>4</v>
      </c>
      <c r="W1237" s="183">
        <v>4</v>
      </c>
      <c r="X1237" s="183">
        <v>4</v>
      </c>
      <c r="Y1237" s="183">
        <v>4</v>
      </c>
      <c r="AA1237" s="206">
        <f t="shared" si="1996"/>
        <v>3.9187499999999997</v>
      </c>
    </row>
    <row r="1238" spans="1:32" ns3:dyDescent="0.3">
      <c r="A1238" s="43" t="s">
        <v>624</v>
      </c>
      <c r="B1238" s="11">
        <f>ROUNDUP(HLOOKUP(A1238,'야채 계산기'!$2:$3,2,0),0)</f>
        <v>1170</v>
      </c>
      <c r="C1238" s="164">
        <v>1</v>
      </c>
      <c r="D1238" s="166" t="str">
        <f t="shared" ref="D1238" si="2003">IFERROR((F1238/E1238),"")</f>
        <v/>
      </c>
      <c r="E1238" s="4"/>
      <c r="F1238" s="3"/>
      <c r="G1238" s="5"/>
      <c r="H1238" s="38"/>
      <c r="I1238" s="34">
        <f t="shared" si="1992"/>
        <v>0</v>
      </c>
      <c r="J1238" s="78" t="str">
        <f>IFERROR(VLOOKUP(C1238,[2]Sheet1!$D:$J,7,0),"")</f>
        <v/>
      </c>
      <c r="K1238" s="80" t="str">
        <f t="shared" si="1991"/>
        <v/>
      </c>
      <c r="L1238" s="7">
        <f t="shared" si="1993"/>
        <v>0</v>
      </c>
      <c r="M1238" s="8" t="str">
        <f t="shared" si="1994"/>
        <v/>
      </c>
      <c r="N1238" s="57" t="str">
        <f t="shared" ref="N1238" si="2004">IFERROR((K1238/H1238),"")</f>
        <v/>
      </c>
      <c r="O1238" s="9"/>
      <c r="P1238" s="10"/>
      <c r="Q1238" s="10"/>
      <c r="R1238" s="10">
        <f t="shared" ref="R1238" si="2005">O1238*P1238*Q1238</f>
        <v>0</v>
      </c>
      <c r="S1238" s="41">
        <f t="shared" si="1995"/>
        <v>0</v>
      </c>
      <c r="Y1238" s="1"/>
      <c r="Z1238" s="140"/>
      <c r="AA1238" s="206" t="str">
        <f t="shared" si="1996"/>
        <v/>
      </c>
      <c r="AB1238"/>
      <c r="AC1238"/>
      <c r="AD1238"/>
      <c r="AE1238"/>
      <c r="AF1238"/>
    </row>
    <row r="1239" spans="1:32" hidden="1" ns3:dyDescent="0.3">
      <c r="A1239" s="2"/>
      <c r="B1239" s="11"/>
      <c r="C1239" s="247" t="s">
        <v>703</v>
      </c>
      <c r="D1239" s="166" t="str">
        <f>IFERROR((F1239/E1239),"")</f>
        <v/>
      </c>
      <c r="E1239" s="4">
        <v>6</v>
      </c>
      <c r="F1239" s="3" t="str">
        <f>IFERROR((L1239-K1239),"")</f>
        <v/>
      </c>
      <c r="G1239" s="5">
        <v>7</v>
      </c>
      <c r="H1239" s="39" t="e">
        <f>ROUNDUP(SUMPRODUCT(B1240:B1240,C1240:C1240)/150,2)</f>
        <v>#N/A</v>
      </c>
      <c r="I1239" s="34">
        <f t="shared" ref="I1239:I1240" si="2006">IFERROR((S1239*E1239),"")</f>
        <v>0</v>
      </c>
      <c r="J1239" s="78" t="str">
        <f>IFERROR(VLOOKUP(C1239,[2]Sheet1!$D:$J,7,0),"")</f>
        <v/>
      </c>
      <c r="K1239" s="80" t="str">
        <f t="shared" ref="K1239:K1240" si="2007">IFERROR((I1239+J1239),"")</f>
        <v/>
      </c>
      <c r="L1239" s="7" t="str">
        <f t="shared" ref="L1239:L1240" si="2008">IFERROR((G1239*H1239),"")</f>
        <v/>
      </c>
      <c r="M1239" s="8" t="str">
        <f t="shared" ref="M1239:M1240" si="2009">IFERROR(K1239-L1239,"")</f>
        <v/>
      </c>
      <c r="N1239" s="57" t="str">
        <f>IFERROR((K1239/H1239),"")</f>
        <v/>
      </c>
      <c r="P1239" s="1"/>
      <c r="Q1239" s="1">
        <v>14667</v>
      </c>
      <c r="R1239" s="1"/>
      <c r="S1239" s="41">
        <f t="shared" si="1860"/>
        <v>0</v>
      </c>
      <c r="T1239" s="173"/>
      <c r="U1239" s="173"/>
      <c r="V1239" s="173"/>
      <c r="W1239" s="173"/>
      <c r="X1239" s="173"/>
      <c r="Y1239" s="173"/>
      <c r="AA1239" s="206" t="str">
        <f t="shared" si="1948"/>
        <v/>
      </c>
    </row>
    <row r="1240" spans="1:32" hidden="1" ns3:dyDescent="0.3">
      <c r="A1240" s="300" t="s">
        <v>697</v>
      </c>
      <c r="B1240" s="11" t="e">
        <f>ROUNDUP(HLOOKUP(A1240,'야채 계산기'!$2:$3,2,0),0)</f>
        <v>#N/A</v>
      </c>
      <c r="C1240" s="164">
        <v>1</v>
      </c>
      <c r="D1240" s="166" t="str">
        <f t="shared" ref="D1240" si="2010">IFERROR((F1240/E1240),"")</f>
        <v/>
      </c>
      <c r="E1240" s="4"/>
      <c r="F1240" s="3"/>
      <c r="G1240" s="5"/>
      <c r="H1240" s="38"/>
      <c r="I1240" s="34">
        <f t="shared" si="2006"/>
        <v>0</v>
      </c>
      <c r="J1240" s="78" t="str">
        <f>IFERROR(VLOOKUP(C1240,[2]Sheet1!$D:$J,7,0),"")</f>
        <v/>
      </c>
      <c r="K1240" s="80" t="str">
        <f t="shared" si="2007"/>
        <v/>
      </c>
      <c r="L1240" s="7">
        <f t="shared" si="2008"/>
        <v>0</v>
      </c>
      <c r="M1240" s="8" t="str">
        <f t="shared" si="2009"/>
        <v/>
      </c>
      <c r="N1240" s="57" t="str">
        <f t="shared" ref="N1240" si="2011">IFERROR((K1240/H1240),"")</f>
        <v/>
      </c>
      <c r="O1240" s="9"/>
      <c r="P1240" s="10"/>
      <c r="Q1240" s="10"/>
      <c r="R1240" s="10">
        <f t="shared" ref="R1240" si="2012">O1240*P1240*Q1240</f>
        <v>0</v>
      </c>
      <c r="S1240" s="41">
        <f t="shared" si="1860"/>
        <v>0</v>
      </c>
      <c r="Y1240" s="1"/>
      <c r="Z1240" s="140"/>
      <c r="AA1240" s="206" t="str">
        <f t="shared" si="1948"/>
        <v/>
      </c>
      <c r="AB1240"/>
      <c r="AC1240"/>
      <c r="AD1240"/>
      <c r="AE1240"/>
      <c r="AF1240"/>
    </row>
    <row r="1241" spans="1:32" ns3:dyDescent="0.3">
      <c r="A1241" s="58"/>
      <c r="B1241" s="2"/>
      <c r="C1241" s="62"/>
      <c r="D1241" s="166" t="str">
        <f t="shared" ref="D1241:D1242" si="2013">IFERROR((F1241/E1241),"")</f>
        <v/>
      </c>
      <c r="E1241" s="4"/>
      <c r="F1241" s="3"/>
      <c r="G1241" s="5"/>
      <c r="H1241" s="6"/>
      <c r="I1241" s="34">
        <f t="shared" ref="I1241:I1315" si="2014">IFERROR((S1241*E1241),"")</f>
        <v>0</v>
      </c>
      <c r="J1241" s="78" t="str">
        <f>IFERROR(VLOOKUP(C1241,[2]Sheet1!$D:$J,7,0),"")</f>
        <v/>
      </c>
      <c r="K1241" s="80" t="str">
        <f>IFERROR((I1241+J1241),"")</f>
        <v/>
      </c>
      <c r="L1241" s="7">
        <f t="shared" ref="L1241:L1315" si="2015">IFERROR((G1241*H1241),"")</f>
        <v>0</v>
      </c>
      <c r="M1241" s="8" t="str">
        <f t="shared" ref="M1241:M1315" si="2016">IFERROR(K1241-L1241,"")</f>
        <v/>
      </c>
      <c r="N1241" s="57"/>
      <c r="O1241" s="9"/>
      <c r="P1241" s="10"/>
      <c r="Q1241" s="10"/>
      <c r="R1241" s="10"/>
      <c r="S1241" s="41">
        <f t="shared" si="1860"/>
        <v>0</v>
      </c>
      <c r="Y1241" s="1"/>
      <c r="AA1241" s="206" t="str">
        <f t="shared" si="1948"/>
        <v/>
      </c>
    </row>
    <row r="1242" spans="1:32" ns3:dyDescent="0.3">
      <c r="A1242" s="58"/>
      <c r="B1242" s="2"/>
      <c r="C1242" s="62"/>
      <c r="D1242" s="166" t="str">
        <f t="shared" si="2013"/>
        <v/>
      </c>
      <c r="E1242" s="4"/>
      <c r="F1242" s="3"/>
      <c r="G1242" s="5"/>
      <c r="H1242" s="6"/>
      <c r="I1242" s="34">
        <f t="shared" si="2014"/>
        <v>0</v>
      </c>
      <c r="J1242" s="78" t="str">
        <f>IFERROR(VLOOKUP(C1242,[2]Sheet1!$D:$J,7,0),"")</f>
        <v/>
      </c>
      <c r="K1242" s="80" t="str">
        <f>IFERROR((I1242+J1242),"")</f>
        <v/>
      </c>
      <c r="L1242" s="7">
        <f t="shared" si="2015"/>
        <v>0</v>
      </c>
      <c r="M1242" s="8" t="str">
        <f t="shared" si="2016"/>
        <v/>
      </c>
      <c r="N1242" s="57"/>
      <c r="O1242" s="9"/>
      <c r="P1242" s="10"/>
      <c r="Q1242" s="10"/>
      <c r="R1242" s="10"/>
      <c r="S1242" s="41">
        <f t="shared" si="1860"/>
        <v>0</v>
      </c>
      <c r="Y1242" s="1"/>
      <c r="AA1242" s="206" t="str">
        <f t="shared" si="1948"/>
        <v/>
      </c>
    </row>
    <row r="1243" spans="1:32" ns3:dyDescent="0.3">
      <c r="A1243" s="184" t="s">
        <v>426</v>
      </c>
      <c r="B1243" s="184" t="s">
        <v>385</v>
      </c>
      <c r="C1243" s="152"/>
      <c r="D1243" s="111" t="str">
        <f>IFERROR((F1243/E1243),"")</f>
        <v/>
      </c>
      <c r="E1243" s="4"/>
      <c r="F1243" s="17"/>
      <c r="G1243" s="5"/>
      <c r="H1243" s="6"/>
      <c r="I1243" s="34">
        <f t="shared" si="2014"/>
        <v>0</v>
      </c>
      <c r="J1243" s="78" t="str">
        <f>IFERROR(VLOOKUP(C1243,[2]Sheet1!$D:$J,7,0),"")</f>
        <v/>
      </c>
      <c r="K1243" s="80" t="str">
        <f t="shared" ref="K1243:K1271" si="2017">IFERROR((I1243+J1243),"")</f>
        <v/>
      </c>
      <c r="L1243" s="7">
        <f t="shared" si="2015"/>
        <v>0</v>
      </c>
      <c r="M1243" s="8" t="str">
        <f t="shared" si="2016"/>
        <v/>
      </c>
      <c r="N1243" s="57" t="str">
        <f>IFERROR((K1243/H1243),"")</f>
        <v/>
      </c>
      <c r="O1243" s="9"/>
      <c r="P1243" s="10"/>
      <c r="Q1243" s="10"/>
      <c r="R1243" s="10">
        <f>O1243*P1243*Q1243</f>
        <v>0</v>
      </c>
      <c r="S1243" s="41">
        <f t="shared" si="1860"/>
        <v>0</v>
      </c>
      <c r="Y1243" s="1"/>
      <c r="AA1243" s="206" t="str">
        <f t="shared" si="1948"/>
        <v/>
      </c>
    </row>
    <row r="1244" spans="1:32" ns3:dyDescent="0.3">
      <c r="A1244" s="2"/>
      <c r="B1244" s="11"/>
      <c r="C1244" s="247" t="s">
        <v>614</v>
      </c>
      <c r="D1244" s="166" t="str">
        <f>IFERROR((F1244/E1244),"")</f>
        <v/>
      </c>
      <c r="E1244" s="4">
        <v>2</v>
      </c>
      <c r="F1244" s="3" t="str">
        <f>IFERROR((L1244-K1244),"")</f>
        <v/>
      </c>
      <c r="G1244" s="5">
        <v>8.5</v>
      </c>
      <c r="H1244" s="39">
        <f>ROUNDUP(SUMPRODUCT(B1245:B1245,C1245:C1245)/50,2)</f>
        <v>11</v>
      </c>
      <c r="I1244" s="34">
        <f>IFERROR((S1244*E1244),"")</f>
        <v>72</v>
      </c>
      <c r="J1244" s="78" t="str">
        <f>IFERROR(VLOOKUP(C1244,[2]Sheet1!$D:$J,7,0),"")</f>
        <v/>
      </c>
      <c r="K1244" s="80" t="str">
        <f>IFERROR((I1244+J1244),"")</f>
        <v/>
      </c>
      <c r="L1244" s="7">
        <f>IFERROR((G1244*H1244),"")</f>
        <v>93.5</v>
      </c>
      <c r="M1244" s="8" t="str">
        <f>IFERROR(K1244-L1244,"")</f>
        <v/>
      </c>
      <c r="N1244" s="57" t="str">
        <f>IFERROR((K1244/H1244),"")</f>
        <v/>
      </c>
      <c r="P1244" s="1"/>
      <c r="Q1244" s="1">
        <v>16976</v>
      </c>
      <c r="R1244" s="1"/>
      <c r="S1244" s="41">
        <f>SUM(Y1244,T1244:X1244)</f>
        <v>36</v>
      </c>
      <c r="T1244" s="183">
        <v>6</v>
      </c>
      <c r="U1244" s="173">
        <v>6</v>
      </c>
      <c r="V1244" s="173">
        <v>6</v>
      </c>
      <c r="W1244" s="183">
        <v>6</v>
      </c>
      <c r="X1244" s="183">
        <v>6</v>
      </c>
      <c r="Y1244" s="183">
        <v>6</v>
      </c>
      <c r="AA1244" s="206">
        <f>IFERROR(H1244*7.5/E1244/7,"")</f>
        <v>5.8928571428571432</v>
      </c>
    </row>
    <row r="1245" spans="1:32" ns3:dyDescent="0.3">
      <c r="A1245" s="278" t="s">
        <v>777</v>
      </c>
      <c r="B1245" s="11">
        <f>ROUNDUP(HLOOKUP(A1245,'야채 계산기'!$2:$3,2,0),0)</f>
        <v>550</v>
      </c>
      <c r="C1245" s="164">
        <v>1</v>
      </c>
      <c r="D1245" s="166" t="str">
        <f t="shared" ref="D1245" si="2018">IFERROR((F1245/E1245),"")</f>
        <v/>
      </c>
      <c r="E1245" s="4"/>
      <c r="F1245" s="3"/>
      <c r="G1245" s="5"/>
      <c r="H1245" s="38"/>
      <c r="I1245" s="34">
        <f>IFERROR((S1245*E1245),"")</f>
        <v>0</v>
      </c>
      <c r="J1245" s="78" t="str">
        <f>IFERROR(VLOOKUP(C1245,[2]Sheet1!$D:$J,7,0),"")</f>
        <v/>
      </c>
      <c r="K1245" s="80" t="str">
        <f>IFERROR((I1245+J1245),"")</f>
        <v/>
      </c>
      <c r="L1245" s="7">
        <f>IFERROR((G1245*H1245),"")</f>
        <v>0</v>
      </c>
      <c r="M1245" s="8" t="str">
        <f>IFERROR(K1245-L1245,"")</f>
        <v/>
      </c>
      <c r="N1245" s="57" t="str">
        <f t="shared" ref="N1245" si="2019">IFERROR((K1245/H1245),"")</f>
        <v/>
      </c>
      <c r="O1245" s="9"/>
      <c r="P1245" s="10"/>
      <c r="Q1245" s="10"/>
      <c r="R1245" s="10">
        <f t="shared" ref="R1245" si="2020">O1245*P1245*Q1245</f>
        <v>0</v>
      </c>
      <c r="S1245" s="41">
        <f>SUM(Y1245,T1245:X1245)</f>
        <v>0</v>
      </c>
      <c r="Y1245" s="1"/>
      <c r="Z1245" s="140"/>
      <c r="AA1245" s="206"/>
      <c r="AB1245"/>
      <c r="AC1245"/>
      <c r="AD1245"/>
      <c r="AE1245"/>
      <c r="AF1245"/>
    </row>
    <row r="1246" spans="1:32" ns3:dyDescent="0.3">
      <c r="A1246" s="2"/>
      <c r="B1246" s="11"/>
      <c r="C1246" s="164" t="s">
        <v>428</v>
      </c>
      <c r="D1246" s="166" t="str">
        <f>IFERROR((F1246/E1246),"")</f>
        <v/>
      </c>
      <c r="E1246" s="4">
        <v>6</v>
      </c>
      <c r="F1246" s="3" t="str">
        <f>IFERROR((L1246-K1246),"")</f>
        <v/>
      </c>
      <c r="G1246" s="5">
        <f>G1244</f>
        <v>8.5</v>
      </c>
      <c r="H1246" s="39">
        <f>ROUNDUP(SUMPRODUCT(B1247:B1247,C1247:C1247)/50,2)</f>
        <v>0.6</v>
      </c>
      <c r="I1246" s="34">
        <f t="shared" si="2014"/>
        <v>6</v>
      </c>
      <c r="J1246" s="78" t="str">
        <f>IFERROR(VLOOKUP(C1246,[2]Sheet1!$D:$J,7,0),"")</f>
        <v/>
      </c>
      <c r="K1246" s="80" t="str">
        <f t="shared" si="2017"/>
        <v/>
      </c>
      <c r="L1246" s="7">
        <f t="shared" si="2015"/>
        <v>5.0999999999999996</v>
      </c>
      <c r="M1246" s="8" t="str">
        <f t="shared" si="2016"/>
        <v/>
      </c>
      <c r="N1246" s="57" t="str">
        <f>IFERROR((K1246/H1246),"")</f>
        <v/>
      </c>
      <c r="P1246" s="1"/>
      <c r="Q1246" s="1"/>
      <c r="R1246" s="1"/>
      <c r="S1246" s="41">
        <f t="shared" si="1860"/>
        <v>1</v>
      </c>
      <c r="T1246" s="183"/>
      <c r="U1246" s="173"/>
      <c r="V1246" s="173"/>
      <c r="W1246" s="183">
        <v>1</v>
      </c>
      <c r="X1246" s="183"/>
      <c r="Y1246" s="183"/>
      <c r="AA1246" s="206">
        <f t="shared" si="1948"/>
        <v>0.10714285714285714</v>
      </c>
    </row>
    <row r="1247" spans="1:32" ns3:dyDescent="0.3">
      <c r="A1247" s="43" t="s">
        <v>299</v>
      </c>
      <c r="B1247" s="11">
        <f>ROUNDUP(HLOOKUP(A1247,'야채 계산기'!$2:$3,2,0),0)</f>
        <v>30</v>
      </c>
      <c r="C1247" s="164">
        <v>1</v>
      </c>
      <c r="D1247" s="166" t="str">
        <f t="shared" ref="D1247" si="2021">IFERROR((F1247/E1247),"")</f>
        <v/>
      </c>
      <c r="E1247" s="4"/>
      <c r="F1247" s="3"/>
      <c r="G1247" s="5"/>
      <c r="H1247" s="38"/>
      <c r="I1247" s="34">
        <f t="shared" si="2014"/>
        <v>0</v>
      </c>
      <c r="J1247" s="78" t="str">
        <f>IFERROR(VLOOKUP(C1247,[2]Sheet1!$D:$J,7,0),"")</f>
        <v/>
      </c>
      <c r="K1247" s="80" t="str">
        <f t="shared" si="2017"/>
        <v/>
      </c>
      <c r="L1247" s="7">
        <f t="shared" si="2015"/>
        <v>0</v>
      </c>
      <c r="M1247" s="8" t="str">
        <f t="shared" si="2016"/>
        <v/>
      </c>
      <c r="N1247" s="57" t="str">
        <f t="shared" ref="N1247" si="2022">IFERROR((K1247/H1247),"")</f>
        <v/>
      </c>
      <c r="O1247" s="9"/>
      <c r="P1247" s="10"/>
      <c r="Q1247" s="10"/>
      <c r="R1247" s="10">
        <f t="shared" ref="R1247" si="2023">O1247*P1247*Q1247</f>
        <v>0</v>
      </c>
      <c r="S1247" s="41">
        <f t="shared" si="1860"/>
        <v>0</v>
      </c>
      <c r="Y1247" s="1"/>
      <c r="Z1247" s="140"/>
      <c r="AA1247" s="206" t="str">
        <f t="shared" si="1948"/>
        <v/>
      </c>
      <c r="AB1247"/>
      <c r="AC1247"/>
      <c r="AD1247"/>
      <c r="AE1247"/>
      <c r="AF1247"/>
    </row>
    <row r="1248" spans="1:32" ns3:dyDescent="0.3">
      <c r="A1248" s="2"/>
      <c r="B1248" s="11"/>
      <c r="C1248" s="164" t="s">
        <v>429</v>
      </c>
      <c r="D1248" s="166" t="str">
        <f>IFERROR((F1248/E1248),"")</f>
        <v/>
      </c>
      <c r="E1248" s="4">
        <v>6</v>
      </c>
      <c r="F1248" s="3" t="str">
        <f>IFERROR((L1248-K1248),"")</f>
        <v/>
      </c>
      <c r="G1248" s="5">
        <f>G1246</f>
        <v>8.5</v>
      </c>
      <c r="H1248" s="39">
        <f>ROUNDUP(SUMPRODUCT(B1249:B1249,C1249:C1249)/50,2)</f>
        <v>0.6</v>
      </c>
      <c r="I1248" s="34">
        <f t="shared" si="2014"/>
        <v>6</v>
      </c>
      <c r="J1248" s="78" t="str">
        <f>IFERROR(VLOOKUP(C1248,[2]Sheet1!$D:$J,7,0),"")</f>
        <v/>
      </c>
      <c r="K1248" s="80" t="str">
        <f t="shared" si="2017"/>
        <v/>
      </c>
      <c r="L1248" s="7">
        <f t="shared" si="2015"/>
        <v>5.0999999999999996</v>
      </c>
      <c r="M1248" s="8" t="str">
        <f t="shared" si="2016"/>
        <v/>
      </c>
      <c r="N1248" s="57" t="str">
        <f>IFERROR((K1248/H1248),"")</f>
        <v/>
      </c>
      <c r="P1248" s="1"/>
      <c r="Q1248" s="1"/>
      <c r="R1248" s="1"/>
      <c r="S1248" s="41">
        <f t="shared" si="1860"/>
        <v>1</v>
      </c>
      <c r="T1248" s="173"/>
      <c r="U1248" s="173"/>
      <c r="V1248" s="173"/>
      <c r="W1248" s="183">
        <v>1</v>
      </c>
      <c r="X1248" s="183"/>
      <c r="Y1248" s="183"/>
      <c r="AA1248" s="206">
        <f t="shared" si="1948"/>
        <v>0.10714285714285714</v>
      </c>
    </row>
    <row r="1249" spans="1:32" ns3:dyDescent="0.3">
      <c r="A1249" s="43" t="s">
        <v>299</v>
      </c>
      <c r="B1249" s="11">
        <f>ROUNDUP(HLOOKUP(A1249,'야채 계산기'!$2:$3,2,0),0)</f>
        <v>30</v>
      </c>
      <c r="C1249" s="164">
        <v>1</v>
      </c>
      <c r="D1249" s="166" t="str">
        <f t="shared" ref="D1249" si="2024">IFERROR((F1249/E1249),"")</f>
        <v/>
      </c>
      <c r="E1249" s="4"/>
      <c r="F1249" s="3"/>
      <c r="G1249" s="5"/>
      <c r="H1249" s="38"/>
      <c r="I1249" s="34">
        <f t="shared" si="2014"/>
        <v>0</v>
      </c>
      <c r="J1249" s="78" t="str">
        <f>IFERROR(VLOOKUP(C1249,[2]Sheet1!$D:$J,7,0),"")</f>
        <v/>
      </c>
      <c r="K1249" s="80" t="str">
        <f t="shared" si="2017"/>
        <v/>
      </c>
      <c r="L1249" s="7">
        <f t="shared" si="2015"/>
        <v>0</v>
      </c>
      <c r="M1249" s="8" t="str">
        <f t="shared" si="2016"/>
        <v/>
      </c>
      <c r="N1249" s="57" t="str">
        <f t="shared" ref="N1249" si="2025">IFERROR((K1249/H1249),"")</f>
        <v/>
      </c>
      <c r="O1249" s="9"/>
      <c r="P1249" s="10"/>
      <c r="Q1249" s="10"/>
      <c r="R1249" s="10">
        <f t="shared" ref="R1249" si="2026">O1249*P1249*Q1249</f>
        <v>0</v>
      </c>
      <c r="S1249" s="41">
        <f t="shared" si="1860"/>
        <v>0</v>
      </c>
      <c r="Y1249" s="1"/>
      <c r="Z1249" s="140"/>
      <c r="AA1249" s="206" t="str">
        <f t="shared" si="1948"/>
        <v/>
      </c>
      <c r="AB1249"/>
      <c r="AC1249"/>
      <c r="AD1249"/>
      <c r="AE1249"/>
      <c r="AF1249"/>
    </row>
    <row r="1250" spans="1:32" ns3:dyDescent="0.3">
      <c r="A1250" s="2"/>
      <c r="B1250" s="11"/>
      <c r="C1250" s="164" t="s">
        <v>430</v>
      </c>
      <c r="D1250" s="166" t="str">
        <f>IFERROR((F1250/E1250),"")</f>
        <v/>
      </c>
      <c r="E1250" s="4">
        <v>6</v>
      </c>
      <c r="F1250" s="3" t="str">
        <f>IFERROR((L1250-K1250),"")</f>
        <v/>
      </c>
      <c r="G1250" s="5">
        <f>G1248</f>
        <v>8.5</v>
      </c>
      <c r="H1250" s="39">
        <f>ROUNDUP(SUMPRODUCT(B1251:B1251,C1251:C1251)/50,2)</f>
        <v>0.6</v>
      </c>
      <c r="I1250" s="34">
        <f t="shared" si="2014"/>
        <v>6</v>
      </c>
      <c r="J1250" s="78" t="str">
        <f>IFERROR(VLOOKUP(C1250,[2]Sheet1!$D:$J,7,0),"")</f>
        <v/>
      </c>
      <c r="K1250" s="80" t="str">
        <f t="shared" si="2017"/>
        <v/>
      </c>
      <c r="L1250" s="7">
        <f t="shared" si="2015"/>
        <v>5.0999999999999996</v>
      </c>
      <c r="M1250" s="8" t="str">
        <f t="shared" si="2016"/>
        <v/>
      </c>
      <c r="N1250" s="57" t="str">
        <f>IFERROR((K1250/H1250),"")</f>
        <v/>
      </c>
      <c r="P1250" s="1"/>
      <c r="Q1250" s="1"/>
      <c r="R1250" s="1"/>
      <c r="S1250" s="41">
        <f t="shared" si="1860"/>
        <v>1</v>
      </c>
      <c r="T1250" s="173"/>
      <c r="U1250" s="173"/>
      <c r="V1250" s="173">
        <v>1</v>
      </c>
      <c r="W1250" s="183"/>
      <c r="X1250" s="183"/>
      <c r="Y1250" s="183"/>
      <c r="AA1250" s="206">
        <f t="shared" si="1948"/>
        <v>0.10714285714285714</v>
      </c>
    </row>
    <row r="1251" spans="1:32" ns3:dyDescent="0.3">
      <c r="A1251" s="43" t="s">
        <v>299</v>
      </c>
      <c r="B1251" s="11">
        <f>ROUNDUP(HLOOKUP(A1251,'야채 계산기'!$2:$3,2,0),0)</f>
        <v>30</v>
      </c>
      <c r="C1251" s="164">
        <v>1</v>
      </c>
      <c r="D1251" s="166" t="str">
        <f t="shared" ref="D1251" si="2027">IFERROR((F1251/E1251),"")</f>
        <v/>
      </c>
      <c r="E1251" s="4"/>
      <c r="F1251" s="3"/>
      <c r="G1251" s="5"/>
      <c r="H1251" s="38"/>
      <c r="I1251" s="34">
        <f t="shared" si="2014"/>
        <v>0</v>
      </c>
      <c r="J1251" s="78" t="str">
        <f>IFERROR(VLOOKUP(C1251,[2]Sheet1!$D:$J,7,0),"")</f>
        <v/>
      </c>
      <c r="K1251" s="80" t="str">
        <f t="shared" si="2017"/>
        <v/>
      </c>
      <c r="L1251" s="7">
        <f t="shared" si="2015"/>
        <v>0</v>
      </c>
      <c r="M1251" s="8" t="str">
        <f t="shared" si="2016"/>
        <v/>
      </c>
      <c r="N1251" s="57" t="str">
        <f t="shared" ref="N1251" si="2028">IFERROR((K1251/H1251),"")</f>
        <v/>
      </c>
      <c r="O1251" s="9"/>
      <c r="P1251" s="10"/>
      <c r="Q1251" s="10"/>
      <c r="R1251" s="10">
        <f t="shared" ref="R1251" si="2029">O1251*P1251*Q1251</f>
        <v>0</v>
      </c>
      <c r="S1251" s="41">
        <f>SUM(Y1251,T1251:X1251)</f>
        <v>0</v>
      </c>
      <c r="Y1251" s="1"/>
      <c r="Z1251" s="140"/>
      <c r="AA1251" s="206" t="str">
        <f t="shared" si="1948"/>
        <v/>
      </c>
      <c r="AB1251"/>
      <c r="AC1251"/>
      <c r="AD1251"/>
      <c r="AE1251"/>
      <c r="AF1251"/>
    </row>
    <row r="1252" spans="1:32" hidden="1" ns3:dyDescent="0.3">
      <c r="A1252" s="2"/>
      <c r="B1252" s="11"/>
      <c r="C1252" s="262" t="s">
        <v>550</v>
      </c>
      <c r="D1252" s="166" t="str">
        <f>IFERROR((F1252/E1252),"")</f>
        <v/>
      </c>
      <c r="E1252" s="4">
        <v>4</v>
      </c>
      <c r="F1252" s="3" t="str">
        <f>IFERROR((L1252-K1252),"")</f>
        <v/>
      </c>
      <c r="G1252" s="5">
        <v>3.5</v>
      </c>
      <c r="H1252" s="39">
        <f>ROUNDUP(SUMPRODUCT(B1253:B1253,C1253:C1253)/50,2)</f>
        <v>7</v>
      </c>
      <c r="I1252" s="34">
        <f t="shared" ref="I1252:I1259" si="2030">IFERROR((S1252*E1252),"")</f>
        <v>0</v>
      </c>
      <c r="J1252" s="78" t="str">
        <f>IFERROR(VLOOKUP(C1252,[2]Sheet1!$D:$J,7,0),"")</f>
        <v/>
      </c>
      <c r="K1252" s="80" t="str">
        <f t="shared" ref="K1252:K1259" si="2031">IFERROR((I1252+J1252),"")</f>
        <v/>
      </c>
      <c r="L1252" s="7">
        <f t="shared" ref="L1252:L1259" si="2032">IFERROR((G1252*H1252),"")</f>
        <v>24.5</v>
      </c>
      <c r="M1252" s="8" t="str">
        <f t="shared" ref="M1252:M1259" si="2033">IFERROR(K1252-L1252,"")</f>
        <v/>
      </c>
      <c r="N1252" s="57" t="str">
        <f>IFERROR((K1252/H1252),"")</f>
        <v/>
      </c>
      <c r="P1252" s="1"/>
      <c r="Q1252" s="1">
        <v>13750</v>
      </c>
      <c r="R1252" s="1"/>
      <c r="S1252" s="41">
        <f t="shared" si="1860"/>
        <v>0</v>
      </c>
      <c r="T1252" s="173"/>
      <c r="U1252" s="173"/>
      <c r="V1252" s="173"/>
      <c r="W1252" s="183"/>
      <c r="X1252" s="183"/>
      <c r="Y1252" s="183"/>
      <c r="AA1252" s="206">
        <f t="shared" ref="AA1252:AA1273" si="2034">IFERROR(H1252*7.5/E1252/7,"")</f>
        <v>1.875</v>
      </c>
    </row>
    <row r="1253" spans="1:32" hidden="1" ns3:dyDescent="0.3">
      <c r="A1253" s="278" t="s">
        <v>528</v>
      </c>
      <c r="B1253" s="11">
        <v>350</v>
      </c>
      <c r="C1253" s="164">
        <v>1</v>
      </c>
      <c r="D1253" s="166" t="str">
        <f t="shared" ref="D1253" si="2035">IFERROR((F1253/E1253),"")</f>
        <v/>
      </c>
      <c r="E1253" s="4"/>
      <c r="F1253" s="3"/>
      <c r="G1253" s="5"/>
      <c r="H1253" s="38"/>
      <c r="I1253" s="34">
        <f t="shared" si="2030"/>
        <v>0</v>
      </c>
      <c r="J1253" s="78" t="str">
        <f>IFERROR(VLOOKUP(C1253,[2]Sheet1!$D:$J,7,0),"")</f>
        <v/>
      </c>
      <c r="K1253" s="80" t="str">
        <f t="shared" si="2031"/>
        <v/>
      </c>
      <c r="L1253" s="7">
        <f t="shared" si="2032"/>
        <v>0</v>
      </c>
      <c r="M1253" s="8" t="str">
        <f t="shared" si="2033"/>
        <v/>
      </c>
      <c r="N1253" s="57" t="str">
        <f t="shared" ref="N1253" si="2036">IFERROR((K1253/H1253),"")</f>
        <v/>
      </c>
      <c r="O1253" s="9"/>
      <c r="P1253" s="10"/>
      <c r="Q1253" s="10"/>
      <c r="R1253" s="10">
        <f t="shared" ref="R1253" si="2037">O1253*P1253*Q1253</f>
        <v>0</v>
      </c>
      <c r="S1253" s="41">
        <f t="shared" si="1860"/>
        <v>0</v>
      </c>
      <c r="Y1253" s="1"/>
      <c r="Z1253" s="140"/>
      <c r="AA1253" s="206" t="str">
        <f t="shared" si="2034"/>
        <v/>
      </c>
      <c r="AB1253"/>
      <c r="AC1253"/>
      <c r="AD1253"/>
      <c r="AE1253"/>
      <c r="AF1253"/>
    </row>
    <row r="1254" spans="1:32" hidden="1" ns3:dyDescent="0.3">
      <c r="A1254" s="2"/>
      <c r="B1254" s="11"/>
      <c r="C1254" s="262" t="s">
        <v>551</v>
      </c>
      <c r="D1254" s="166" t="str">
        <f>IFERROR((F1254/E1254),"")</f>
        <v/>
      </c>
      <c r="E1254" s="4">
        <v>2</v>
      </c>
      <c r="F1254" s="3" t="str">
        <f>IFERROR((L1254-K1254),"")</f>
        <v/>
      </c>
      <c r="G1254" s="5">
        <f>G1252</f>
        <v>3.5</v>
      </c>
      <c r="H1254" s="39">
        <f>ROUNDUP(SUMPRODUCT(B1255:B1255,C1255:C1255)/100,2)</f>
        <v>3.5</v>
      </c>
      <c r="I1254" s="34">
        <f t="shared" si="2030"/>
        <v>0</v>
      </c>
      <c r="J1254" s="78" t="str">
        <f>IFERROR(VLOOKUP(C1254,[2]Sheet1!$D:$J,7,0),"")</f>
        <v/>
      </c>
      <c r="K1254" s="80" t="str">
        <f t="shared" si="2031"/>
        <v/>
      </c>
      <c r="L1254" s="7">
        <f t="shared" si="2032"/>
        <v>12.25</v>
      </c>
      <c r="M1254" s="8" t="str">
        <f t="shared" si="2033"/>
        <v/>
      </c>
      <c r="N1254" s="57" t="str">
        <f>IFERROR((K1254/H1254),"")</f>
        <v/>
      </c>
      <c r="P1254" s="1"/>
      <c r="Q1254" s="1">
        <v>21500</v>
      </c>
      <c r="R1254" s="1"/>
      <c r="S1254" s="41">
        <f t="shared" si="1860"/>
        <v>0</v>
      </c>
      <c r="T1254" s="173"/>
      <c r="U1254" s="173"/>
      <c r="V1254" s="193"/>
      <c r="W1254" s="183"/>
      <c r="X1254" s="183"/>
      <c r="Y1254" s="183"/>
      <c r="AA1254" s="206">
        <f t="shared" si="2034"/>
        <v>1.875</v>
      </c>
    </row>
    <row r="1255" spans="1:32" hidden="1" ns3:dyDescent="0.3">
      <c r="A1255" s="278" t="s">
        <v>528</v>
      </c>
      <c r="B1255" s="11">
        <v>350</v>
      </c>
      <c r="C1255" s="164">
        <v>1</v>
      </c>
      <c r="D1255" s="166" t="str">
        <f t="shared" ref="D1255" si="2038">IFERROR((F1255/E1255),"")</f>
        <v/>
      </c>
      <c r="E1255" s="4"/>
      <c r="F1255" s="3"/>
      <c r="G1255" s="5"/>
      <c r="H1255" s="38"/>
      <c r="I1255" s="34">
        <f t="shared" si="2030"/>
        <v>0</v>
      </c>
      <c r="J1255" s="78" t="str">
        <f>IFERROR(VLOOKUP(C1255,[2]Sheet1!$D:$J,7,0),"")</f>
        <v/>
      </c>
      <c r="K1255" s="80" t="str">
        <f t="shared" si="2031"/>
        <v/>
      </c>
      <c r="L1255" s="7">
        <f t="shared" si="2032"/>
        <v>0</v>
      </c>
      <c r="M1255" s="8" t="str">
        <f t="shared" si="2033"/>
        <v/>
      </c>
      <c r="N1255" s="57" t="str">
        <f t="shared" ref="N1255" si="2039">IFERROR((K1255/H1255),"")</f>
        <v/>
      </c>
      <c r="O1255" s="9"/>
      <c r="P1255" s="10"/>
      <c r="Q1255" s="10"/>
      <c r="R1255" s="10">
        <f t="shared" ref="R1255" si="2040">O1255*P1255*Q1255</f>
        <v>0</v>
      </c>
      <c r="S1255" s="41">
        <f t="shared" si="1860"/>
        <v>0</v>
      </c>
      <c r="Y1255" s="1"/>
      <c r="Z1255" s="140"/>
      <c r="AA1255" s="206" t="str">
        <f t="shared" si="2034"/>
        <v/>
      </c>
      <c r="AB1255"/>
      <c r="AC1255"/>
      <c r="AD1255"/>
      <c r="AE1255"/>
      <c r="AF1255"/>
    </row>
    <row r="1256" spans="1:32" hidden="1" ns3:dyDescent="0.3">
      <c r="A1256" s="2"/>
      <c r="B1256" s="11"/>
      <c r="C1256" s="262" t="s">
        <v>552</v>
      </c>
      <c r="D1256" s="166" t="str">
        <f>IFERROR((F1256/E1256),"")</f>
        <v/>
      </c>
      <c r="E1256" s="4">
        <v>10</v>
      </c>
      <c r="F1256" s="3" t="str">
        <f>IFERROR((L1256-K1256),"")</f>
        <v/>
      </c>
      <c r="G1256" s="5">
        <f>G1254</f>
        <v>3.5</v>
      </c>
      <c r="H1256" s="39" t="e">
        <f>ROUNDUP(SUMPRODUCT(B1257:B1257,C1257:C1257)/200,2)</f>
        <v>#N/A</v>
      </c>
      <c r="I1256" s="34">
        <f t="shared" si="2030"/>
        <v>0</v>
      </c>
      <c r="J1256" s="78" t="str">
        <f>IFERROR(VLOOKUP(C1256,[2]Sheet1!$D:$J,7,0),"")</f>
        <v/>
      </c>
      <c r="K1256" s="80" t="str">
        <f t="shared" si="2031"/>
        <v/>
      </c>
      <c r="L1256" s="7" t="str">
        <f t="shared" si="2032"/>
        <v/>
      </c>
      <c r="M1256" s="8" t="str">
        <f t="shared" si="2033"/>
        <v/>
      </c>
      <c r="N1256" s="57" t="str">
        <f>IFERROR((K1256/H1256),"")</f>
        <v/>
      </c>
      <c r="P1256" s="1"/>
      <c r="Q1256" s="1">
        <v>8200</v>
      </c>
      <c r="R1256" s="1"/>
      <c r="S1256" s="41">
        <f t="shared" si="1860"/>
        <v>0</v>
      </c>
      <c r="T1256" s="173"/>
      <c r="U1256" s="173"/>
      <c r="V1256" s="173"/>
      <c r="W1256" s="183"/>
      <c r="X1256" s="183"/>
      <c r="Y1256" s="183"/>
      <c r="AA1256" s="206" t="str">
        <f t="shared" si="2034"/>
        <v/>
      </c>
    </row>
    <row r="1257" spans="1:32" hidden="1" ns3:dyDescent="0.3">
      <c r="A1257" s="278" t="s">
        <v>528</v>
      </c>
      <c r="B1257" s="11" t="e">
        <f>ROUNDUP(HLOOKUP(A1257,'야채 계산기'!$2:$3,2,0),0)</f>
        <v>#N/A</v>
      </c>
      <c r="C1257" s="164">
        <v>1</v>
      </c>
      <c r="D1257" s="166" t="str">
        <f>IFERROR((F1257/E1257),"")</f>
        <v/>
      </c>
      <c r="E1257" s="4"/>
      <c r="F1257" s="3"/>
      <c r="G1257" s="5"/>
      <c r="H1257" s="38"/>
      <c r="I1257" s="34">
        <f t="shared" si="2030"/>
        <v>0</v>
      </c>
      <c r="J1257" s="78" t="str">
        <f>IFERROR(VLOOKUP(C1257,[2]Sheet1!$D:$J,7,0),"")</f>
        <v/>
      </c>
      <c r="K1257" s="80" t="str">
        <f t="shared" si="2031"/>
        <v/>
      </c>
      <c r="L1257" s="7">
        <f t="shared" si="2032"/>
        <v>0</v>
      </c>
      <c r="M1257" s="8" t="str">
        <f t="shared" si="2033"/>
        <v/>
      </c>
      <c r="N1257" s="57" t="str">
        <f t="shared" ref="N1257" si="2041">IFERROR((K1257/H1257),"")</f>
        <v/>
      </c>
      <c r="O1257" s="9"/>
      <c r="P1257" s="10"/>
      <c r="Q1257" s="10"/>
      <c r="R1257" s="10">
        <f t="shared" ref="R1257" si="2042">O1257*P1257*Q1257</f>
        <v>0</v>
      </c>
      <c r="S1257" s="41">
        <f t="shared" si="1860"/>
        <v>0</v>
      </c>
      <c r="Y1257" s="1"/>
      <c r="Z1257" s="140"/>
      <c r="AA1257" s="206" t="str">
        <f t="shared" si="2034"/>
        <v/>
      </c>
      <c r="AB1257"/>
      <c r="AC1257"/>
      <c r="AD1257"/>
      <c r="AE1257"/>
      <c r="AF1257"/>
    </row>
    <row r="1258" spans="1:32" ns3:dyDescent="0.3">
      <c r="A1258" s="2"/>
      <c r="B1258" s="11"/>
      <c r="C1258" s="164" t="s">
        <v>427</v>
      </c>
      <c r="D1258" s="166" t="str">
        <f>IFERROR((F1258/E1258),"")</f>
        <v/>
      </c>
      <c r="E1258" s="4">
        <v>60</v>
      </c>
      <c r="F1258" s="3" t="str">
        <f>IFERROR((L1258-K1258),"")</f>
        <v/>
      </c>
      <c r="G1258" s="5">
        <f>G1250</f>
        <v>8.5</v>
      </c>
      <c r="H1258" s="39">
        <f>ROUNDUP(SUMPRODUCT(B1259:B1259,C1259:C1259)/1000,2)</f>
        <v>0.64</v>
      </c>
      <c r="I1258" s="34">
        <f t="shared" si="2030"/>
        <v>0</v>
      </c>
      <c r="J1258" s="78" t="str">
        <f>IFERROR(VLOOKUP(C1258,[2]Sheet1!$D:$J,7,0),"")</f>
        <v/>
      </c>
      <c r="K1258" s="80" t="str">
        <f t="shared" si="2031"/>
        <v/>
      </c>
      <c r="L1258" s="7">
        <f t="shared" si="2032"/>
        <v>5.44</v>
      </c>
      <c r="M1258" s="8" t="str">
        <f t="shared" si="2033"/>
        <v/>
      </c>
      <c r="N1258" s="57" t="str">
        <f>IFERROR((K1258/H1258),"")</f>
        <v/>
      </c>
      <c r="P1258" s="1"/>
      <c r="Q1258" s="1">
        <v>4267</v>
      </c>
      <c r="R1258" s="1"/>
      <c r="S1258" s="41">
        <f t="shared" si="1860"/>
        <v>0</v>
      </c>
      <c r="T1258" s="173"/>
      <c r="U1258" s="173"/>
      <c r="V1258" s="173"/>
      <c r="W1258" s="183"/>
      <c r="X1258" s="183"/>
      <c r="Y1258" s="183"/>
      <c r="AA1258" s="206">
        <f t="shared" si="2034"/>
        <v>1.1428571428571429E-2</v>
      </c>
    </row>
    <row r="1259" spans="1:32" ns3:dyDescent="0.3">
      <c r="A1259" s="43" t="s">
        <v>494</v>
      </c>
      <c r="B1259" s="11">
        <f>ROUNDUP(HLOOKUP(A1259,'야채 계산기'!$2:$3,2,0),0)</f>
        <v>640</v>
      </c>
      <c r="C1259" s="164">
        <v>1</v>
      </c>
      <c r="D1259" s="166" t="str">
        <f t="shared" ref="D1259" si="2043">IFERROR((F1259/E1259),"")</f>
        <v/>
      </c>
      <c r="E1259" s="4"/>
      <c r="F1259" s="3"/>
      <c r="G1259" s="5"/>
      <c r="H1259" s="38"/>
      <c r="I1259" s="34">
        <f t="shared" si="2030"/>
        <v>0</v>
      </c>
      <c r="J1259" s="78" t="str">
        <f>IFERROR(VLOOKUP(C1259,[2]Sheet1!$D:$J,7,0),"")</f>
        <v/>
      </c>
      <c r="K1259" s="80" t="str">
        <f t="shared" si="2031"/>
        <v/>
      </c>
      <c r="L1259" s="7">
        <f t="shared" si="2032"/>
        <v>0</v>
      </c>
      <c r="M1259" s="8" t="str">
        <f t="shared" si="2033"/>
        <v/>
      </c>
      <c r="N1259" s="57" t="str">
        <f t="shared" ref="N1259" si="2044">IFERROR((K1259/H1259),"")</f>
        <v/>
      </c>
      <c r="O1259" s="9"/>
      <c r="P1259" s="10"/>
      <c r="Q1259" s="10"/>
      <c r="R1259" s="10">
        <f t="shared" ref="R1259" si="2045">O1259*P1259*Q1259</f>
        <v>0</v>
      </c>
      <c r="S1259" s="41">
        <f t="shared" si="1860"/>
        <v>0</v>
      </c>
      <c r="Y1259" s="1"/>
      <c r="Z1259" s="140"/>
      <c r="AA1259" s="206" t="str">
        <f t="shared" si="2034"/>
        <v/>
      </c>
      <c r="AB1259"/>
      <c r="AC1259"/>
      <c r="AD1259"/>
      <c r="AE1259"/>
      <c r="AF1259"/>
    </row>
    <row r="1260" spans="1:32" ns3:dyDescent="0.3">
      <c r="A1260" s="2"/>
      <c r="B1260" s="11"/>
      <c r="C1260" s="247" t="s">
        <v>788</v>
      </c>
      <c r="D1260" s="166" t="str">
        <f>IFERROR((F1260/E1260),"")</f>
        <v/>
      </c>
      <c r="E1260" s="4">
        <v>1</v>
      </c>
      <c r="F1260" s="3" t="str">
        <f>IFERROR((L1260-K1260),"")</f>
        <v/>
      </c>
      <c r="G1260" s="5">
        <v>4.5</v>
      </c>
      <c r="H1260" s="39">
        <f>ROUNDUP(SUMPRODUCT(B1261:B1261,C1261:C1261)/200,2)</f>
        <v>2.75</v>
      </c>
      <c r="I1260" s="34">
        <f t="shared" ref="I1260:I1261" si="2046">IFERROR((S1260*E1260),"")</f>
        <v>14</v>
      </c>
      <c r="J1260" s="78" t="str">
        <f>IFERROR(VLOOKUP(C1260,[2]Sheet1!$D:$J,7,0),"")</f>
        <v/>
      </c>
      <c r="K1260" s="80" t="str">
        <f t="shared" ref="K1260:K1261" si="2047">IFERROR((I1260+J1260),"")</f>
        <v/>
      </c>
      <c r="L1260" s="7">
        <f t="shared" ref="L1260:L1261" si="2048">IFERROR((G1260*H1260),"")</f>
        <v>12.375</v>
      </c>
      <c r="M1260" s="8" t="str">
        <f t="shared" ref="M1260:M1261" si="2049">IFERROR(K1260-L1260,"")</f>
        <v/>
      </c>
      <c r="N1260" s="57" t="str">
        <f>IFERROR((K1260/H1260),"")</f>
        <v/>
      </c>
      <c r="P1260" s="1"/>
      <c r="Q1260" s="1">
        <v>46600</v>
      </c>
      <c r="R1260" s="1"/>
      <c r="S1260" s="41">
        <f>SUM(Y1260,T1260:X1260)</f>
        <v>14</v>
      </c>
      <c r="T1260" s="173">
        <v>4</v>
      </c>
      <c r="U1260" s="173">
        <v>4</v>
      </c>
      <c r="V1260" s="173"/>
      <c r="W1260" s="183">
        <v>4</v>
      </c>
      <c r="X1260" s="183">
        <v>2</v>
      </c>
      <c r="Y1260" s="183"/>
      <c r="AA1260" s="206">
        <f>IFERROR(H1260*7.5/E1260/7,"")</f>
        <v>2.9464285714285716</v>
      </c>
    </row>
    <row r="1261" spans="1:32" ns3:dyDescent="0.3">
      <c r="A1261" s="278" t="s">
        <v>779</v>
      </c>
      <c r="B1261" s="11">
        <f>ROUNDUP(HLOOKUP(A1261,'야채 계산기'!$2:$3,2,0),0)</f>
        <v>550</v>
      </c>
      <c r="C1261" s="164">
        <v>1</v>
      </c>
      <c r="D1261" s="166" t="str">
        <f t="shared" ref="D1261" si="2050">IFERROR((F1261/E1261),"")</f>
        <v/>
      </c>
      <c r="E1261" s="4"/>
      <c r="F1261" s="3"/>
      <c r="G1261" s="5"/>
      <c r="H1261" s="38"/>
      <c r="I1261" s="34">
        <f t="shared" si="2046"/>
        <v>0</v>
      </c>
      <c r="J1261" s="78" t="str">
        <f>IFERROR(VLOOKUP(C1261,[2]Sheet1!$D:$J,7,0),"")</f>
        <v/>
      </c>
      <c r="K1261" s="80" t="str">
        <f t="shared" si="2047"/>
        <v/>
      </c>
      <c r="L1261" s="7">
        <f t="shared" si="2048"/>
        <v>0</v>
      </c>
      <c r="M1261" s="8" t="str">
        <f t="shared" si="2049"/>
        <v/>
      </c>
      <c r="N1261" s="57" t="str">
        <f t="shared" ref="N1261" si="2051">IFERROR((K1261/H1261),"")</f>
        <v/>
      </c>
      <c r="O1261" s="9"/>
      <c r="P1261" s="10"/>
      <c r="Q1261" s="10"/>
      <c r="R1261" s="10">
        <f t="shared" ref="R1261" si="2052">O1261*P1261*Q1261</f>
        <v>0</v>
      </c>
      <c r="S1261" s="41">
        <f>SUM(Y1261,T1261:X1261)</f>
        <v>0</v>
      </c>
      <c r="Y1261" s="1"/>
      <c r="Z1261" s="140"/>
      <c r="AA1261" s="206" t="str">
        <f>IFERROR(H1261*7.5/E1261/7,"")</f>
        <v/>
      </c>
      <c r="AB1261"/>
      <c r="AC1261"/>
      <c r="AD1261"/>
      <c r="AE1261"/>
      <c r="AF1261"/>
    </row>
    <row r="1262" spans="1:32" ns3:dyDescent="0.3">
      <c r="A1262" s="2"/>
      <c r="B1262" s="11"/>
      <c r="C1262" s="164" t="s">
        <v>432</v>
      </c>
      <c r="D1262" s="166" t="str">
        <f>IFERROR((F1262/E1262),"")</f>
        <v/>
      </c>
      <c r="E1262" s="4">
        <v>4</v>
      </c>
      <c r="F1262" s="3" t="str">
        <f>IFERROR((L1262-K1262),"")</f>
        <v/>
      </c>
      <c r="G1262" s="5">
        <f>G1258</f>
        <v>8.5</v>
      </c>
      <c r="H1262" s="39">
        <f>ROUNDUP(SUMPRODUCT(B1263:B1263,C1263:C1263)/100,2)</f>
        <v>0.55000000000000004</v>
      </c>
      <c r="I1262" s="34">
        <f t="shared" si="2014"/>
        <v>4</v>
      </c>
      <c r="J1262" s="78" t="str">
        <f>IFERROR(VLOOKUP(C1262,[2]Sheet1!$D:$J,7,0),"")</f>
        <v/>
      </c>
      <c r="K1262" s="80" t="str">
        <f t="shared" si="2017"/>
        <v/>
      </c>
      <c r="L1262" s="7">
        <f t="shared" si="2015"/>
        <v>4.6750000000000007</v>
      </c>
      <c r="M1262" s="8" t="str">
        <f t="shared" si="2016"/>
        <v/>
      </c>
      <c r="N1262" s="57" t="str">
        <f>IFERROR((K1262/H1262),"")</f>
        <v/>
      </c>
      <c r="P1262" s="1"/>
      <c r="Q1262" s="1"/>
      <c r="R1262" s="1"/>
      <c r="S1262" s="41">
        <f t="shared" si="1860"/>
        <v>1</v>
      </c>
      <c r="T1262" s="173"/>
      <c r="U1262" s="173"/>
      <c r="V1262" s="173">
        <v>1</v>
      </c>
      <c r="W1262" s="183"/>
      <c r="X1262" s="183"/>
      <c r="Y1262" s="183"/>
      <c r="AA1262" s="206">
        <f t="shared" si="2034"/>
        <v>0.14732142857142858</v>
      </c>
    </row>
    <row r="1263" spans="1:32" ns3:dyDescent="0.3">
      <c r="A1263" s="43" t="s">
        <v>492</v>
      </c>
      <c r="B1263" s="11">
        <f>ROUNDUP(HLOOKUP(A1263,'야채 계산기'!$2:$3,2,0),0)</f>
        <v>55</v>
      </c>
      <c r="C1263" s="164">
        <v>1</v>
      </c>
      <c r="D1263" s="166" t="str">
        <f t="shared" ref="D1263" si="2053">IFERROR((F1263/E1263),"")</f>
        <v/>
      </c>
      <c r="E1263" s="4"/>
      <c r="F1263" s="3"/>
      <c r="G1263" s="5"/>
      <c r="H1263" s="38"/>
      <c r="I1263" s="34">
        <f t="shared" si="2014"/>
        <v>0</v>
      </c>
      <c r="J1263" s="78" t="str">
        <f>IFERROR(VLOOKUP(C1263,[2]Sheet1!$D:$J,7,0),"")</f>
        <v/>
      </c>
      <c r="K1263" s="80" t="str">
        <f t="shared" si="2017"/>
        <v/>
      </c>
      <c r="L1263" s="7">
        <f t="shared" si="2015"/>
        <v>0</v>
      </c>
      <c r="M1263" s="8" t="str">
        <f t="shared" si="2016"/>
        <v/>
      </c>
      <c r="N1263" s="57" t="str">
        <f t="shared" ref="N1263" si="2054">IFERROR((K1263/H1263),"")</f>
        <v/>
      </c>
      <c r="O1263" s="9"/>
      <c r="P1263" s="10"/>
      <c r="Q1263" s="10"/>
      <c r="R1263" s="10">
        <f t="shared" ref="R1263" si="2055">O1263*P1263*Q1263</f>
        <v>0</v>
      </c>
      <c r="S1263" s="41">
        <f t="shared" si="1860"/>
        <v>0</v>
      </c>
      <c r="Y1263" s="1"/>
      <c r="Z1263" s="140"/>
      <c r="AA1263" s="206" t="str">
        <f t="shared" si="2034"/>
        <v/>
      </c>
      <c r="AB1263"/>
      <c r="AC1263"/>
      <c r="AD1263"/>
      <c r="AE1263"/>
      <c r="AF1263"/>
    </row>
    <row r="1264" spans="1:32" ns3:dyDescent="0.3">
      <c r="A1264" s="2"/>
      <c r="B1264" s="11"/>
      <c r="C1264" s="164" t="s">
        <v>433</v>
      </c>
      <c r="D1264" s="166" t="str">
        <f>IFERROR((F1264/E1264),"")</f>
        <v/>
      </c>
      <c r="E1264" s="4">
        <v>4</v>
      </c>
      <c r="F1264" s="3" t="str">
        <f>IFERROR((L1264-K1264),"")</f>
        <v/>
      </c>
      <c r="G1264" s="5">
        <f>G1258</f>
        <v>8.5</v>
      </c>
      <c r="H1264" s="39">
        <f>ROUNDUP(SUMPRODUCT(B1265:B1265,C1265:C1265)/100,2)</f>
        <v>0.55000000000000004</v>
      </c>
      <c r="I1264" s="34">
        <f t="shared" ref="I1264:I1265" si="2056">IFERROR((S1264*E1264),"")</f>
        <v>4</v>
      </c>
      <c r="J1264" s="78" t="str">
        <f>IFERROR(VLOOKUP(C1264,[2]Sheet1!$D:$J,7,0),"")</f>
        <v/>
      </c>
      <c r="K1264" s="80" t="str">
        <f t="shared" ref="K1264:K1265" si="2057">IFERROR((I1264+J1264),"")</f>
        <v/>
      </c>
      <c r="L1264" s="7">
        <f t="shared" ref="L1264:L1265" si="2058">IFERROR((G1264*H1264),"")</f>
        <v>4.6750000000000007</v>
      </c>
      <c r="M1264" s="8" t="str">
        <f t="shared" ref="M1264:M1265" si="2059">IFERROR(K1264-L1264,"")</f>
        <v/>
      </c>
      <c r="N1264" s="57" t="str">
        <f>IFERROR((K1264/H1264),"")</f>
        <v/>
      </c>
      <c r="P1264" s="1"/>
      <c r="Q1264" s="1"/>
      <c r="R1264" s="1"/>
      <c r="S1264" s="41">
        <f t="shared" ref="S1264:S1269" si="2060">SUM(Y1264,T1264:X1264)</f>
        <v>1</v>
      </c>
      <c r="T1264" s="173"/>
      <c r="U1264" s="173"/>
      <c r="V1264" s="173">
        <v>1</v>
      </c>
      <c r="W1264" s="183"/>
      <c r="X1264" s="183"/>
      <c r="Y1264" s="183"/>
      <c r="AA1264" s="206">
        <f t="shared" ref="AA1264:AA1269" si="2061">IFERROR(H1264*7.5/E1264/7,"")</f>
        <v>0.14732142857142858</v>
      </c>
    </row>
    <row r="1265" spans="1:32" ns3:dyDescent="0.3">
      <c r="A1265" s="43" t="s">
        <v>492</v>
      </c>
      <c r="B1265" s="11">
        <f>ROUNDUP(HLOOKUP(A1265,'야채 계산기'!$2:$3,2,0),0)</f>
        <v>55</v>
      </c>
      <c r="C1265" s="164">
        <v>1</v>
      </c>
      <c r="D1265" s="166" t="str">
        <f t="shared" ref="D1265" si="2062">IFERROR((F1265/E1265),"")</f>
        <v/>
      </c>
      <c r="E1265" s="4"/>
      <c r="F1265" s="3"/>
      <c r="G1265" s="5"/>
      <c r="H1265" s="38"/>
      <c r="I1265" s="34">
        <f t="shared" si="2056"/>
        <v>0</v>
      </c>
      <c r="J1265" s="78" t="str">
        <f>IFERROR(VLOOKUP(C1265,[2]Sheet1!$D:$J,7,0),"")</f>
        <v/>
      </c>
      <c r="K1265" s="80" t="str">
        <f t="shared" si="2057"/>
        <v/>
      </c>
      <c r="L1265" s="7">
        <f t="shared" si="2058"/>
        <v>0</v>
      </c>
      <c r="M1265" s="8" t="str">
        <f t="shared" si="2059"/>
        <v/>
      </c>
      <c r="N1265" s="57" t="str">
        <f t="shared" ref="N1265" si="2063">IFERROR((K1265/H1265),"")</f>
        <v/>
      </c>
      <c r="O1265" s="9"/>
      <c r="P1265" s="10"/>
      <c r="Q1265" s="10"/>
      <c r="R1265" s="10">
        <f t="shared" ref="R1265" si="2064">O1265*P1265*Q1265</f>
        <v>0</v>
      </c>
      <c r="S1265" s="41">
        <f t="shared" si="2060"/>
        <v>0</v>
      </c>
      <c r="Y1265" s="1"/>
      <c r="Z1265" s="140"/>
      <c r="AA1265" s="206" t="str">
        <f t="shared" si="2061"/>
        <v/>
      </c>
      <c r="AB1265"/>
      <c r="AC1265"/>
      <c r="AD1265"/>
      <c r="AE1265"/>
      <c r="AF1265"/>
    </row>
    <row r="1266" spans="1:32" ns3:dyDescent="0.3">
      <c r="A1266" s="2"/>
      <c r="B1266" s="11"/>
      <c r="C1266" s="164" t="s">
        <v>431</v>
      </c>
      <c r="D1266" s="166" t="str">
        <f>IFERROR((F1266/E1266),"")</f>
        <v/>
      </c>
      <c r="E1266" s="4">
        <v>8</v>
      </c>
      <c r="F1266" s="3" t="str">
        <f>IFERROR((L1266-K1266),"")</f>
        <v/>
      </c>
      <c r="G1266" s="5">
        <f>G1262</f>
        <v>8.5</v>
      </c>
      <c r="H1266" s="39">
        <f>ROUNDUP(SUMPRODUCT(B1267:B1267,C1267:C1267)/50,2)</f>
        <v>1.1000000000000001</v>
      </c>
      <c r="I1266" s="34">
        <f>IFERROR((S1266*E1266),"")</f>
        <v>8</v>
      </c>
      <c r="J1266" s="78" t="str">
        <f>IFERROR(VLOOKUP(C1266,[2]Sheet1!$D:$J,7,0),"")</f>
        <v/>
      </c>
      <c r="K1266" s="80" t="str">
        <f>IFERROR((I1266+J1266),"")</f>
        <v/>
      </c>
      <c r="L1266" s="7">
        <f>IFERROR((G1266*H1266),"")</f>
        <v>9.3500000000000014</v>
      </c>
      <c r="M1266" s="8" t="str">
        <f>IFERROR(K1266-L1266,"")</f>
        <v/>
      </c>
      <c r="N1266" s="57" t="str">
        <f>IFERROR((K1266/H1266),"")</f>
        <v/>
      </c>
      <c r="P1266" s="1"/>
      <c r="Q1266" s="1">
        <v>6900</v>
      </c>
      <c r="R1266" s="1"/>
      <c r="S1266" s="41">
        <f t="shared" ref="S1266:S1267" si="2065">SUM(Y1266,T1266:X1266)</f>
        <v>1</v>
      </c>
      <c r="T1266" s="173"/>
      <c r="U1266" s="173"/>
      <c r="V1266" s="173">
        <v>1</v>
      </c>
      <c r="W1266" s="183"/>
      <c r="X1266" s="183"/>
      <c r="Y1266" s="183"/>
      <c r="AA1266" s="206">
        <f t="shared" ref="AA1266:AA1267" si="2066">IFERROR(H1266*7.5/E1266/7,"")</f>
        <v>0.14732142857142858</v>
      </c>
    </row>
    <row r="1267" spans="1:32" ns3:dyDescent="0.3">
      <c r="A1267" s="43" t="s">
        <v>492</v>
      </c>
      <c r="B1267" s="11">
        <f>ROUNDUP(HLOOKUP(A1267,'야채 계산기'!$2:$3,2,0),0)</f>
        <v>55</v>
      </c>
      <c r="C1267" s="164">
        <v>1</v>
      </c>
      <c r="D1267" s="166" t="str">
        <f t="shared" ref="D1267" si="2067">IFERROR((F1267/E1267),"")</f>
        <v/>
      </c>
      <c r="E1267" s="4"/>
      <c r="F1267" s="3"/>
      <c r="G1267" s="5"/>
      <c r="H1267" s="38"/>
      <c r="I1267" s="34">
        <f>IFERROR((S1267*E1267),"")</f>
        <v>0</v>
      </c>
      <c r="J1267" s="78" t="str">
        <f>IFERROR(VLOOKUP(C1267,[2]Sheet1!$D:$J,7,0),"")</f>
        <v/>
      </c>
      <c r="K1267" s="80" t="str">
        <f>IFERROR((I1267+J1267),"")</f>
        <v/>
      </c>
      <c r="L1267" s="7">
        <f>IFERROR((G1267*H1267),"")</f>
        <v>0</v>
      </c>
      <c r="M1267" s="8" t="str">
        <f>IFERROR(K1267-L1267,"")</f>
        <v/>
      </c>
      <c r="N1267" s="57" t="str">
        <f t="shared" ref="N1267" si="2068">IFERROR((K1267/H1267),"")</f>
        <v/>
      </c>
      <c r="O1267" s="9"/>
      <c r="P1267" s="10"/>
      <c r="Q1267" s="10"/>
      <c r="R1267" s="10">
        <f t="shared" ref="R1267" si="2069">O1267*P1267*Q1267</f>
        <v>0</v>
      </c>
      <c r="S1267" s="41">
        <f t="shared" si="2065"/>
        <v>0</v>
      </c>
      <c r="W1267" s="190"/>
      <c r="X1267" s="137"/>
      <c r="Y1267" s="42"/>
      <c r="Z1267" s="140"/>
      <c r="AA1267" s="206" t="str">
        <f t="shared" si="2066"/>
        <v/>
      </c>
      <c r="AB1267"/>
      <c r="AC1267"/>
      <c r="AD1267"/>
      <c r="AE1267"/>
      <c r="AF1267"/>
    </row>
    <row r="1268" spans="1:32" ns3:dyDescent="0.3">
      <c r="A1268" s="2"/>
      <c r="B1268" s="11"/>
      <c r="C1268" s="164" t="s">
        <v>775</v>
      </c>
      <c r="D1268" s="166" t="str">
        <f>IFERROR((F1268/E1268),"")</f>
        <v/>
      </c>
      <c r="E1268" s="4">
        <v>40</v>
      </c>
      <c r="F1268" s="3" t="str">
        <f>IFERROR((L1268-K1268),"")</f>
        <v/>
      </c>
      <c r="G1268" s="5">
        <f>G1264</f>
        <v>8.5</v>
      </c>
      <c r="H1268" s="39">
        <f>ROUNDUP(SUMPRODUCT(B1269:B1269,C1269:C1269)/500,2)</f>
        <v>4.04</v>
      </c>
      <c r="I1268" s="34">
        <f>IFERROR((S1268*E1268),"")</f>
        <v>40</v>
      </c>
      <c r="J1268" s="78" t="str">
        <f>IFERROR(VLOOKUP(C1268,[2]Sheet1!$D:$J,7,0),"")</f>
        <v/>
      </c>
      <c r="K1268" s="80" t="str">
        <f>IFERROR((I1268+J1268),"")</f>
        <v/>
      </c>
      <c r="L1268" s="7">
        <f>IFERROR((G1268*H1268),"")</f>
        <v>34.340000000000003</v>
      </c>
      <c r="M1268" s="8" t="str">
        <f>IFERROR(K1268-L1268,"")</f>
        <v/>
      </c>
      <c r="N1268" s="57" t="str">
        <f>IFERROR((K1268/H1268),"")</f>
        <v/>
      </c>
      <c r="P1268" s="1"/>
      <c r="Q1268" s="1"/>
      <c r="R1268" s="1"/>
      <c r="S1268" s="41">
        <f t="shared" si="2060"/>
        <v>1</v>
      </c>
      <c r="T1268" s="173"/>
      <c r="U1268" s="173"/>
      <c r="V1268" s="173">
        <v>1</v>
      </c>
      <c r="W1268" s="183"/>
      <c r="X1268" s="183"/>
      <c r="Y1268" s="183"/>
      <c r="AA1268" s="206">
        <f t="shared" si="2061"/>
        <v>0.10821428571428572</v>
      </c>
    </row>
    <row r="1269" spans="1:32" ns3:dyDescent="0.3">
      <c r="A1269" s="43" t="s">
        <v>732</v>
      </c>
      <c r="B1269" s="11">
        <f>ROUNDUP(HLOOKUP(A1269,'야채 계산기'!$2:$3,2,0),0)</f>
        <v>2020</v>
      </c>
      <c r="C1269" s="164">
        <v>1</v>
      </c>
      <c r="D1269" s="166" t="str">
        <f t="shared" ref="D1269" si="2070">IFERROR((F1269/E1269),"")</f>
        <v/>
      </c>
      <c r="E1269" s="4"/>
      <c r="F1269" s="3"/>
      <c r="G1269" s="5"/>
      <c r="H1269" s="38"/>
      <c r="I1269" s="34">
        <f>IFERROR((S1269*E1269),"")</f>
        <v>0</v>
      </c>
      <c r="J1269" s="78" t="str">
        <f>IFERROR(VLOOKUP(C1269,[2]Sheet1!$D:$J,7,0),"")</f>
        <v/>
      </c>
      <c r="K1269" s="80" t="str">
        <f>IFERROR((I1269+J1269),"")</f>
        <v/>
      </c>
      <c r="L1269" s="7">
        <f>IFERROR((G1269*H1269),"")</f>
        <v>0</v>
      </c>
      <c r="M1269" s="8" t="str">
        <f>IFERROR(K1269-L1269,"")</f>
        <v/>
      </c>
      <c r="N1269" s="57" t="str">
        <f t="shared" ref="N1269" si="2071">IFERROR((K1269/H1269),"")</f>
        <v/>
      </c>
      <c r="O1269" s="9"/>
      <c r="P1269" s="10"/>
      <c r="Q1269" s="10"/>
      <c r="R1269" s="10">
        <f t="shared" ref="R1269" si="2072">O1269*P1269*Q1269</f>
        <v>0</v>
      </c>
      <c r="S1269" s="41">
        <f t="shared" si="2060"/>
        <v>0</v>
      </c>
      <c r="W1269" s="190"/>
      <c r="X1269" s="137"/>
      <c r="Y1269" s="42"/>
      <c r="Z1269" s="140"/>
      <c r="AA1269" s="206" t="str">
        <f t="shared" si="2061"/>
        <v/>
      </c>
      <c r="AB1269"/>
      <c r="AC1269"/>
      <c r="AD1269"/>
      <c r="AE1269"/>
      <c r="AF1269"/>
    </row>
    <row r="1270" spans="1:32" hidden="1" ns3:dyDescent="0.3">
      <c r="A1270" s="2"/>
      <c r="B1270" s="11"/>
      <c r="C1270" s="262" t="s">
        <v>636</v>
      </c>
      <c r="D1270" s="166" t="str">
        <f>IFERROR((F1270/E1270),"")</f>
        <v/>
      </c>
      <c r="E1270" s="4">
        <v>4</v>
      </c>
      <c r="F1270" s="3" t="str">
        <f>IFERROR((L1270-K1270),"")</f>
        <v/>
      </c>
      <c r="G1270" s="5">
        <f>G1262</f>
        <v>8.5</v>
      </c>
      <c r="H1270" s="39" t="e">
        <f>ROUNDUP(SUMPRODUCT(B1271:B1271,C1271:C1271)/100,2)</f>
        <v>#N/A</v>
      </c>
      <c r="I1270" s="34">
        <f t="shared" si="2014"/>
        <v>0</v>
      </c>
      <c r="J1270" s="78" t="str">
        <f>IFERROR(VLOOKUP(C1270,[2]Sheet1!$D:$J,7,0),"")</f>
        <v/>
      </c>
      <c r="K1270" s="80" t="str">
        <f t="shared" si="2017"/>
        <v/>
      </c>
      <c r="L1270" s="7" t="str">
        <f t="shared" si="2015"/>
        <v/>
      </c>
      <c r="M1270" s="8" t="str">
        <f t="shared" si="2016"/>
        <v/>
      </c>
      <c r="N1270" s="57" t="str">
        <f>IFERROR((K1270/H1270),"")</f>
        <v/>
      </c>
      <c r="P1270" s="1"/>
      <c r="Q1270" s="1"/>
      <c r="R1270" s="1"/>
      <c r="S1270" s="41">
        <f t="shared" si="1860"/>
        <v>0</v>
      </c>
      <c r="T1270" s="173"/>
      <c r="U1270" s="173"/>
      <c r="V1270" s="173"/>
      <c r="W1270" s="183"/>
      <c r="X1270" s="183"/>
      <c r="Y1270" s="183"/>
      <c r="AA1270" s="206" t="str">
        <f t="shared" si="2034"/>
        <v/>
      </c>
    </row>
    <row r="1271" spans="1:32" hidden="1" ns3:dyDescent="0.3">
      <c r="A1271" s="278" t="s">
        <v>629</v>
      </c>
      <c r="B1271" s="11" t="e">
        <f>ROUNDUP(HLOOKUP(A1271,'야채 계산기'!$2:$3,2,0),0)</f>
        <v>#N/A</v>
      </c>
      <c r="C1271" s="164">
        <v>1</v>
      </c>
      <c r="D1271" s="166" t="str">
        <f t="shared" ref="D1271" si="2073">IFERROR((F1271/E1271),"")</f>
        <v/>
      </c>
      <c r="E1271" s="4"/>
      <c r="F1271" s="3"/>
      <c r="G1271" s="5"/>
      <c r="H1271" s="38"/>
      <c r="I1271" s="34">
        <f t="shared" si="2014"/>
        <v>0</v>
      </c>
      <c r="J1271" s="78" t="str">
        <f>IFERROR(VLOOKUP(C1271,[2]Sheet1!$D:$J,7,0),"")</f>
        <v/>
      </c>
      <c r="K1271" s="80" t="str">
        <f t="shared" si="2017"/>
        <v/>
      </c>
      <c r="L1271" s="7">
        <f t="shared" si="2015"/>
        <v>0</v>
      </c>
      <c r="M1271" s="8" t="str">
        <f t="shared" si="2016"/>
        <v/>
      </c>
      <c r="N1271" s="57" t="str">
        <f t="shared" ref="N1271" si="2074">IFERROR((K1271/H1271),"")</f>
        <v/>
      </c>
      <c r="O1271" s="9"/>
      <c r="P1271" s="10"/>
      <c r="Q1271" s="10"/>
      <c r="R1271" s="10">
        <f t="shared" ref="R1271" si="2075">O1271*P1271*Q1271</f>
        <v>0</v>
      </c>
      <c r="S1271" s="41">
        <f t="shared" si="1860"/>
        <v>0</v>
      </c>
      <c r="Y1271" s="1"/>
      <c r="Z1271" s="140"/>
      <c r="AA1271" s="206" t="str">
        <f t="shared" si="2034"/>
        <v/>
      </c>
      <c r="AB1271"/>
      <c r="AC1271"/>
      <c r="AD1271"/>
      <c r="AE1271"/>
      <c r="AF1271"/>
    </row>
    <row r="1272" spans="1:32" hidden="1" ns3:dyDescent="0.3">
      <c r="A1272" s="2"/>
      <c r="B1272" s="11"/>
      <c r="C1272" s="262" t="s">
        <v>637</v>
      </c>
      <c r="D1272" s="166" t="str">
        <f>IFERROR((F1272/E1272),"")</f>
        <v/>
      </c>
      <c r="E1272" s="4">
        <v>4</v>
      </c>
      <c r="F1272" s="3" t="str">
        <f>IFERROR((L1272-K1272),"")</f>
        <v/>
      </c>
      <c r="G1272" s="5">
        <f>G1270</f>
        <v>8.5</v>
      </c>
      <c r="H1272" s="39" t="e">
        <f>ROUNDUP(SUMPRODUCT(B1273:B1273,C1273:C1273)/100,2)</f>
        <v>#N/A</v>
      </c>
      <c r="I1272" s="34">
        <f>IFERROR((S1272*E1272),"")</f>
        <v>0</v>
      </c>
      <c r="J1272" s="78" t="str">
        <f>IFERROR(VLOOKUP(C1272,[2]Sheet1!$D:$J,7,0),"")</f>
        <v/>
      </c>
      <c r="K1272" s="80" t="str">
        <f>IFERROR((I1272+J1272),"")</f>
        <v/>
      </c>
      <c r="L1272" s="7" t="str">
        <f>IFERROR((G1272*H1272),"")</f>
        <v/>
      </c>
      <c r="M1272" s="8" t="str">
        <f>IFERROR(K1272-L1272,"")</f>
        <v/>
      </c>
      <c r="N1272" s="57" t="str">
        <f>IFERROR((K1272/H1272),"")</f>
        <v/>
      </c>
      <c r="P1272" s="1"/>
      <c r="Q1272" s="1"/>
      <c r="R1272" s="1"/>
      <c r="S1272" s="41">
        <f t="shared" si="1860"/>
        <v>0</v>
      </c>
      <c r="T1272" s="173"/>
      <c r="U1272" s="173"/>
      <c r="V1272" s="173"/>
      <c r="W1272" s="183"/>
      <c r="X1272" s="183"/>
      <c r="Y1272" s="183"/>
      <c r="AA1272" s="206" t="str">
        <f t="shared" si="2034"/>
        <v/>
      </c>
    </row>
    <row r="1273" spans="1:32" hidden="1" ns3:dyDescent="0.3">
      <c r="A1273" s="278" t="s">
        <v>629</v>
      </c>
      <c r="B1273" s="11" t="e">
        <f>ROUNDUP(HLOOKUP(A1273,'야채 계산기'!$2:$3,2,0),0)</f>
        <v>#N/A</v>
      </c>
      <c r="C1273" s="164">
        <v>1</v>
      </c>
      <c r="D1273" s="166" t="str">
        <f t="shared" ref="D1273:D1275" si="2076">IFERROR((F1273/E1273),"")</f>
        <v/>
      </c>
      <c r="E1273" s="4"/>
      <c r="F1273" s="3"/>
      <c r="G1273" s="5"/>
      <c r="H1273" s="38"/>
      <c r="I1273" s="34">
        <f>IFERROR((S1273*E1273),"")</f>
        <v>0</v>
      </c>
      <c r="J1273" s="78" t="str">
        <f>IFERROR(VLOOKUP(C1273,[2]Sheet1!$D:$J,7,0),"")</f>
        <v/>
      </c>
      <c r="K1273" s="80" t="str">
        <f>IFERROR((I1273+J1273),"")</f>
        <v/>
      </c>
      <c r="L1273" s="7">
        <f>IFERROR((G1273*H1273),"")</f>
        <v>0</v>
      </c>
      <c r="M1273" s="8" t="str">
        <f>IFERROR(K1273-L1273,"")</f>
        <v/>
      </c>
      <c r="N1273" s="57" t="str">
        <f t="shared" ref="N1273" si="2077">IFERROR((K1273/H1273),"")</f>
        <v/>
      </c>
      <c r="O1273" s="9"/>
      <c r="P1273" s="10"/>
      <c r="Q1273" s="10"/>
      <c r="R1273" s="10">
        <f t="shared" ref="R1273" si="2078">O1273*P1273*Q1273</f>
        <v>0</v>
      </c>
      <c r="S1273" s="41">
        <f t="shared" si="1860"/>
        <v>0</v>
      </c>
      <c r="W1273" s="190"/>
      <c r="X1273" s="137"/>
      <c r="Y1273" s="42"/>
      <c r="Z1273" s="140"/>
      <c r="AA1273" s="206" t="str">
        <f t="shared" si="2034"/>
        <v/>
      </c>
      <c r="AB1273"/>
      <c r="AC1273"/>
      <c r="AD1273"/>
      <c r="AE1273"/>
      <c r="AF1273"/>
    </row>
    <row r="1274" spans="1:32" ns3:dyDescent="0.3">
      <c r="A1274" s="58"/>
      <c r="B1274" s="2"/>
      <c r="C1274" s="62"/>
      <c r="D1274" s="166" t="str">
        <f t="shared" si="2076"/>
        <v/>
      </c>
      <c r="E1274" s="4"/>
      <c r="F1274" s="3"/>
      <c r="G1274" s="5"/>
      <c r="H1274" s="6"/>
      <c r="I1274" s="34">
        <f t="shared" si="2014"/>
        <v>0</v>
      </c>
      <c r="J1274" s="78" t="str">
        <f>IFERROR(VLOOKUP(C1274,[2]Sheet1!$D:$J,7,0),"")</f>
        <v/>
      </c>
      <c r="K1274" s="80" t="str">
        <f>IFERROR((I1274+J1274),"")</f>
        <v/>
      </c>
      <c r="L1274" s="7">
        <f t="shared" si="2015"/>
        <v>0</v>
      </c>
      <c r="M1274" s="8" t="str">
        <f t="shared" si="2016"/>
        <v/>
      </c>
      <c r="N1274" s="57"/>
      <c r="O1274" s="9"/>
      <c r="P1274" s="10"/>
      <c r="Q1274" s="10"/>
      <c r="R1274" s="10"/>
      <c r="S1274" s="41">
        <f t="shared" ref="S1274:S1320" si="2079">SUM(Y1274,T1274:X1274)</f>
        <v>0</v>
      </c>
      <c r="U1274" s="190"/>
      <c r="W1274" s="190"/>
      <c r="Y1274" s="42"/>
      <c r="AA1274" s="206"/>
    </row>
    <row r="1275" spans="1:32" ns3:dyDescent="0.3">
      <c r="A1275" s="58"/>
      <c r="B1275" s="2"/>
      <c r="C1275" s="62"/>
      <c r="D1275" s="166" t="str">
        <f t="shared" si="2076"/>
        <v/>
      </c>
      <c r="E1275" s="4"/>
      <c r="F1275" s="3"/>
      <c r="G1275" s="5"/>
      <c r="H1275" s="6"/>
      <c r="I1275" s="34">
        <f t="shared" si="2014"/>
        <v>0</v>
      </c>
      <c r="J1275" s="78" t="str">
        <f>IFERROR(VLOOKUP(C1275,[2]Sheet1!$D:$J,7,0),"")</f>
        <v/>
      </c>
      <c r="K1275" s="80" t="str">
        <f>IFERROR((I1275+J1275),"")</f>
        <v/>
      </c>
      <c r="L1275" s="7">
        <f t="shared" si="2015"/>
        <v>0</v>
      </c>
      <c r="M1275" s="8" t="str">
        <f t="shared" si="2016"/>
        <v/>
      </c>
      <c r="N1275" s="57"/>
      <c r="O1275" s="9"/>
      <c r="P1275" s="10"/>
      <c r="Q1275" s="10"/>
      <c r="R1275" s="10"/>
      <c r="S1275" s="41">
        <f>SUM(Y1275,T1275:X1275)</f>
        <v>0</v>
      </c>
      <c r="U1275" s="190"/>
      <c r="W1275" s="190"/>
      <c r="Y1275" s="42"/>
      <c r="AA1275" s="206"/>
    </row>
    <row r="1276" spans="1:32" ns3:dyDescent="0.3">
      <c r="A1276" s="184" t="s">
        <v>434</v>
      </c>
      <c r="B1276" s="184" t="s">
        <v>213</v>
      </c>
      <c r="C1276" s="152" t="s">
        <v>527</v>
      </c>
      <c r="D1276" s="111" t="str">
        <f>IFERROR((F1276/E1276),"")</f>
        <v/>
      </c>
      <c r="E1276" s="4"/>
      <c r="F1276" s="17"/>
      <c r="G1276" s="5"/>
      <c r="H1276" s="6"/>
      <c r="I1276" s="34">
        <f t="shared" si="2014"/>
        <v>0</v>
      </c>
      <c r="J1276" s="78" t="str">
        <f>IFERROR(VLOOKUP(C1276,[2]Sheet1!$D:$J,7,0),"")</f>
        <v/>
      </c>
      <c r="K1276" s="80" t="str">
        <f t="shared" ref="K1276:K1315" si="2080">IFERROR((I1276+J1276),"")</f>
        <v/>
      </c>
      <c r="L1276" s="7">
        <f t="shared" si="2015"/>
        <v>0</v>
      </c>
      <c r="M1276" s="8" t="str">
        <f t="shared" si="2016"/>
        <v/>
      </c>
      <c r="N1276" s="57" t="str">
        <f>IFERROR((K1276/H1276),"")</f>
        <v/>
      </c>
      <c r="O1276" s="9"/>
      <c r="P1276" s="10"/>
      <c r="Q1276" s="10"/>
      <c r="R1276" s="10">
        <f>O1276*P1276*Q1276</f>
        <v>0</v>
      </c>
      <c r="S1276" s="41">
        <f t="shared" si="2079"/>
        <v>0</v>
      </c>
      <c r="W1276" s="190"/>
      <c r="Y1276" s="42"/>
      <c r="AA1276" s="206" t="str">
        <f t="shared" ref="AA1276:AA1286" si="2081">IFERROR(H1276*7.5/E1276/7,"")</f>
        <v/>
      </c>
    </row>
    <row r="1277" spans="1:32" hidden="1" ns3:dyDescent="0.3">
      <c r="A1277" s="2"/>
      <c r="B1277" s="11"/>
      <c r="C1277" s="236" t="s">
        <v>683</v>
      </c>
      <c r="D1277" s="166" t="str">
        <f>IFERROR((F1277/E1277),"")</f>
        <v/>
      </c>
      <c r="E1277" s="4">
        <v>4</v>
      </c>
      <c r="F1277" s="3" t="str">
        <f>IFERROR((L1277-K1277),"")</f>
        <v/>
      </c>
      <c r="G1277" s="5">
        <v>10</v>
      </c>
      <c r="H1277" s="39" t="e">
        <f>ROUNDUP(SUMPRODUCT(B1278:B1278,C1278:C1278)/100,2)</f>
        <v>#N/A</v>
      </c>
      <c r="I1277" s="34">
        <f>IFERROR((S1277*E1277),"")</f>
        <v>0</v>
      </c>
      <c r="J1277" s="78" t="str">
        <f>IFERROR(VLOOKUP(C1277,[2]Sheet1!$D:$J,7,0),"")</f>
        <v/>
      </c>
      <c r="K1277" s="80" t="str">
        <f>IFERROR((I1277+J1277),"")</f>
        <v/>
      </c>
      <c r="L1277" s="7" t="str">
        <f>IFERROR((G1277*H1277),"")</f>
        <v/>
      </c>
      <c r="M1277" s="8" t="str">
        <f>IFERROR(K1277-L1277,"")</f>
        <v/>
      </c>
      <c r="N1277" s="57" t="str">
        <f>IFERROR((K1277/H1277),"")</f>
        <v/>
      </c>
      <c r="P1277" s="1"/>
      <c r="Q1277" s="1">
        <v>22000</v>
      </c>
      <c r="R1277" s="1"/>
      <c r="S1277" s="41">
        <f t="shared" ref="S1277:S1278" si="2082">SUM(Y1277,T1277:X1277)</f>
        <v>0</v>
      </c>
      <c r="U1277" s="173"/>
      <c r="V1277" s="259"/>
      <c r="W1277" s="190"/>
      <c r="X1277" s="183"/>
      <c r="Y1277" s="42"/>
      <c r="AA1277" s="206" t="str">
        <f t="shared" ref="AA1277:AA1278" si="2083">IFERROR(H1277*7/E1277/7,"")</f>
        <v/>
      </c>
    </row>
    <row r="1278" spans="1:32" hidden="1" ns3:dyDescent="0.3">
      <c r="A1278" s="297" t="s">
        <v>671</v>
      </c>
      <c r="B1278" s="11" t="e">
        <f>ROUNDUP(HLOOKUP(A1278,'야채 계산기'!$2:$3,2,0),0)</f>
        <v>#N/A</v>
      </c>
      <c r="C1278" s="236">
        <v>1</v>
      </c>
      <c r="D1278" s="166" t="str">
        <f t="shared" ref="D1278" si="2084">IFERROR((F1278/E1278),"")</f>
        <v/>
      </c>
      <c r="E1278" s="4"/>
      <c r="F1278" s="3"/>
      <c r="G1278" s="5"/>
      <c r="H1278" s="38"/>
      <c r="I1278" s="34">
        <f>IFERROR((S1278*E1278),"")</f>
        <v>0</v>
      </c>
      <c r="J1278" s="78" t="str">
        <f>IFERROR(VLOOKUP(C1278,[2]Sheet1!$D:$J,7,0),"")</f>
        <v/>
      </c>
      <c r="K1278" s="80" t="str">
        <f>IFERROR((I1278+J1278),"")</f>
        <v/>
      </c>
      <c r="L1278" s="7">
        <f>IFERROR((G1278*H1278),"")</f>
        <v>0</v>
      </c>
      <c r="M1278" s="8" t="str">
        <f>IFERROR(K1278-L1278,"")</f>
        <v/>
      </c>
      <c r="N1278" s="57" t="str">
        <f t="shared" ref="N1278" si="2085">IFERROR((K1278/H1278),"")</f>
        <v/>
      </c>
      <c r="O1278" s="9"/>
      <c r="P1278" s="10"/>
      <c r="Q1278" s="10"/>
      <c r="R1278" s="10">
        <f t="shared" ref="R1278" si="2086">O1278*P1278*Q1278</f>
        <v>0</v>
      </c>
      <c r="S1278" s="41">
        <f t="shared" si="2082"/>
        <v>0</v>
      </c>
      <c r="V1278" s="259"/>
      <c r="W1278" s="190"/>
      <c r="Y1278" s="42"/>
      <c r="Z1278" s="140"/>
      <c r="AA1278" s="206" t="str">
        <f t="shared" si="2083"/>
        <v/>
      </c>
      <c r="AB1278"/>
      <c r="AC1278"/>
      <c r="AD1278"/>
      <c r="AE1278"/>
      <c r="AF1278"/>
    </row>
    <row r="1279" spans="1:32" hidden="1" ns3:dyDescent="0.3">
      <c r="A1279" s="263"/>
      <c r="B1279" s="11"/>
      <c r="C1279" s="236" t="s">
        <v>685</v>
      </c>
      <c r="D1279" s="166" t="str">
        <f>IFERROR((F1279/E1279),"")</f>
        <v/>
      </c>
      <c r="E1279" s="4">
        <v>4</v>
      </c>
      <c r="F1279" s="3" t="str">
        <f>IFERROR((L1279-K1279),"")</f>
        <v/>
      </c>
      <c r="G1279" s="5">
        <f>G1277</f>
        <v>10</v>
      </c>
      <c r="H1279" s="39" t="e">
        <f>ROUNDUP(SUMPRODUCT(B1280:B1280,C1280:C1280)/100,2)</f>
        <v>#N/A</v>
      </c>
      <c r="I1279" s="34">
        <f t="shared" ref="I1279:I1280" si="2087">IFERROR((S1279*E1279),"")</f>
        <v>0</v>
      </c>
      <c r="J1279" s="78" t="str">
        <f>IFERROR(VLOOKUP(C1279,[2]Sheet1!$D:$J,7,0),"")</f>
        <v/>
      </c>
      <c r="K1279" s="80" t="str">
        <f t="shared" ref="K1279:K1280" si="2088">IFERROR((I1279+J1279),"")</f>
        <v/>
      </c>
      <c r="L1279" s="7" t="str">
        <f t="shared" ref="L1279:L1280" si="2089">IFERROR((G1279*H1279),"")</f>
        <v/>
      </c>
      <c r="M1279" s="8" t="str">
        <f t="shared" ref="M1279:M1280" si="2090">IFERROR(K1279-L1279,"")</f>
        <v/>
      </c>
      <c r="N1279" s="57" t="str">
        <f>IFERROR((K1279/H1279),"")</f>
        <v/>
      </c>
      <c r="P1279" s="1"/>
      <c r="Q1279" s="1">
        <v>11600</v>
      </c>
      <c r="R1279" s="1"/>
      <c r="S1279" s="41">
        <f t="shared" ref="S1279:S1280" si="2091">SUM(Y1279,T1279:X1279)</f>
        <v>0</v>
      </c>
      <c r="U1279" s="173"/>
      <c r="V1279" s="259"/>
      <c r="W1279" s="190"/>
      <c r="X1279" s="183"/>
      <c r="Y1279" s="42"/>
      <c r="AA1279" s="206" t="str">
        <f t="shared" ref="AA1279:AA1280" si="2092">IFERROR(H1279*7/E1279/7,"")</f>
        <v/>
      </c>
    </row>
    <row r="1280" spans="1:32" hidden="1" ns3:dyDescent="0.3">
      <c r="A1280" s="297" t="s">
        <v>671</v>
      </c>
      <c r="B1280" s="11" t="e">
        <f>ROUNDUP(HLOOKUP(A1280,'야채 계산기'!$2:$3,2,0),0)</f>
        <v>#N/A</v>
      </c>
      <c r="C1280" s="236">
        <v>1</v>
      </c>
      <c r="D1280" s="166" t="str">
        <f t="shared" ref="D1280" si="2093">IFERROR((F1280/E1280),"")</f>
        <v/>
      </c>
      <c r="E1280" s="4"/>
      <c r="F1280" s="3"/>
      <c r="G1280" s="5"/>
      <c r="H1280" s="38"/>
      <c r="I1280" s="34">
        <f t="shared" si="2087"/>
        <v>0</v>
      </c>
      <c r="J1280" s="78" t="str">
        <f>IFERROR(VLOOKUP(C1280,[2]Sheet1!$D:$J,7,0),"")</f>
        <v/>
      </c>
      <c r="K1280" s="80" t="str">
        <f t="shared" si="2088"/>
        <v/>
      </c>
      <c r="L1280" s="7">
        <f t="shared" si="2089"/>
        <v>0</v>
      </c>
      <c r="M1280" s="8" t="str">
        <f t="shared" si="2090"/>
        <v/>
      </c>
      <c r="N1280" s="57" t="str">
        <f t="shared" ref="N1280" si="2094">IFERROR((K1280/H1280),"")</f>
        <v/>
      </c>
      <c r="O1280" s="9"/>
      <c r="P1280" s="10"/>
      <c r="Q1280" s="10"/>
      <c r="R1280" s="10">
        <f t="shared" ref="R1280" si="2095">O1280*P1280*Q1280</f>
        <v>0</v>
      </c>
      <c r="S1280" s="41">
        <f t="shared" si="2091"/>
        <v>0</v>
      </c>
      <c r="V1280" s="259"/>
      <c r="W1280" s="190"/>
      <c r="Y1280" s="42"/>
      <c r="Z1280" s="140"/>
      <c r="AA1280" s="206" t="str">
        <f t="shared" si="2092"/>
        <v/>
      </c>
      <c r="AB1280"/>
      <c r="AC1280"/>
      <c r="AD1280"/>
      <c r="AE1280"/>
      <c r="AF1280"/>
    </row>
    <row r="1281" spans="1:32" hidden="1" ns3:dyDescent="0.3">
      <c r="A1281" s="263"/>
      <c r="B1281" s="11"/>
      <c r="C1281" s="236" t="s">
        <v>684</v>
      </c>
      <c r="D1281" s="166" t="str">
        <f>IFERROR((F1281/E1281),"")</f>
        <v/>
      </c>
      <c r="E1281" s="4">
        <v>4</v>
      </c>
      <c r="F1281" s="3" t="str">
        <f>IFERROR((L1281-K1281),"")</f>
        <v/>
      </c>
      <c r="G1281" s="5">
        <f>G1277</f>
        <v>10</v>
      </c>
      <c r="H1281" s="39" t="e">
        <f>ROUNDUP(SUMPRODUCT(B1282:B1282,C1282:C1282)/100,2)</f>
        <v>#N/A</v>
      </c>
      <c r="I1281" s="34">
        <f>IFERROR((S1281*E1281),"")</f>
        <v>0</v>
      </c>
      <c r="J1281" s="78" t="str">
        <f>IFERROR(VLOOKUP(C1281,[2]Sheet1!$D:$J,7,0),"")</f>
        <v/>
      </c>
      <c r="K1281" s="80" t="str">
        <f>IFERROR((I1281+J1281),"")</f>
        <v/>
      </c>
      <c r="L1281" s="7" t="str">
        <f>IFERROR((G1281*H1281),"")</f>
        <v/>
      </c>
      <c r="M1281" s="8" t="str">
        <f>IFERROR(K1281-L1281,"")</f>
        <v/>
      </c>
      <c r="N1281" s="57" t="str">
        <f>IFERROR((K1281/H1281),"")</f>
        <v/>
      </c>
      <c r="P1281" s="1"/>
      <c r="Q1281" s="1">
        <v>9700</v>
      </c>
      <c r="R1281" s="1"/>
      <c r="S1281" s="41">
        <f t="shared" ref="S1281:S1282" si="2096">SUM(Y1281,T1281:X1281)</f>
        <v>0</v>
      </c>
      <c r="U1281" s="173"/>
      <c r="V1281" s="259"/>
      <c r="W1281" s="190"/>
      <c r="X1281" s="183"/>
      <c r="Y1281" s="42"/>
      <c r="AA1281" s="206" t="str">
        <f t="shared" ref="AA1281:AA1282" si="2097">IFERROR(H1281*7/E1281/7,"")</f>
        <v/>
      </c>
    </row>
    <row r="1282" spans="1:32" hidden="1" ns3:dyDescent="0.3">
      <c r="A1282" s="297" t="s">
        <v>671</v>
      </c>
      <c r="B1282" s="11" t="e">
        <f>ROUNDUP(HLOOKUP(A1282,'야채 계산기'!$2:$3,2,0),0)</f>
        <v>#N/A</v>
      </c>
      <c r="C1282" s="62">
        <v>1</v>
      </c>
      <c r="D1282" s="166" t="str">
        <f t="shared" ref="D1282" si="2098">IFERROR((F1282/E1282),"")</f>
        <v/>
      </c>
      <c r="E1282" s="4"/>
      <c r="F1282" s="3"/>
      <c r="G1282" s="5"/>
      <c r="H1282" s="38"/>
      <c r="I1282" s="34">
        <f>IFERROR((S1282*E1282),"")</f>
        <v>0</v>
      </c>
      <c r="J1282" s="78" t="str">
        <f>IFERROR(VLOOKUP(C1282,[2]Sheet1!$D:$J,7,0),"")</f>
        <v/>
      </c>
      <c r="K1282" s="80" t="str">
        <f>IFERROR((I1282+J1282),"")</f>
        <v/>
      </c>
      <c r="L1282" s="7">
        <f>IFERROR((G1282*H1282),"")</f>
        <v>0</v>
      </c>
      <c r="M1282" s="8" t="str">
        <f>IFERROR(K1282-L1282,"")</f>
        <v/>
      </c>
      <c r="N1282" s="57" t="str">
        <f t="shared" ref="N1282" si="2099">IFERROR((K1282/H1282),"")</f>
        <v/>
      </c>
      <c r="O1282" s="9"/>
      <c r="P1282" s="10"/>
      <c r="Q1282" s="10"/>
      <c r="R1282" s="10">
        <f t="shared" ref="R1282" si="2100">O1282*P1282*Q1282</f>
        <v>0</v>
      </c>
      <c r="S1282" s="41">
        <f t="shared" si="2096"/>
        <v>0</v>
      </c>
      <c r="V1282" s="190"/>
      <c r="W1282" s="190"/>
      <c r="Y1282" s="42"/>
      <c r="Z1282" s="140"/>
      <c r="AA1282" s="206" t="str">
        <f t="shared" si="2097"/>
        <v/>
      </c>
      <c r="AB1282"/>
      <c r="AC1282"/>
      <c r="AD1282"/>
      <c r="AE1282"/>
      <c r="AF1282"/>
    </row>
    <row r="1283" spans="1:32" ns3:dyDescent="0.3">
      <c r="A1283" s="2"/>
      <c r="B1283" s="11"/>
      <c r="C1283" s="62" t="s">
        <v>440</v>
      </c>
      <c r="D1283" s="166" t="str">
        <f>IFERROR((F1283/E1283),"")</f>
        <v/>
      </c>
      <c r="E1283" s="4">
        <v>30</v>
      </c>
      <c r="F1283" s="3" t="str">
        <f>IFERROR((L1283-K1283),"")</f>
        <v/>
      </c>
      <c r="G1283" s="5">
        <v>10</v>
      </c>
      <c r="H1283" s="39">
        <f>ROUNDUP(SUMPRODUCT(B1284:B1284,C1284:C1284)/100,2)</f>
        <v>0.55000000000000004</v>
      </c>
      <c r="I1283" s="34">
        <f t="shared" ref="I1283:I1307" si="2101">IFERROR((S1283*E1283),"")</f>
        <v>0</v>
      </c>
      <c r="J1283" s="78" t="str">
        <f>IFERROR(VLOOKUP(C1283,[2]Sheet1!$D:$J,7,0),"")</f>
        <v/>
      </c>
      <c r="K1283" s="80" t="str">
        <f t="shared" ref="K1283:K1307" si="2102">IFERROR((I1283+J1283),"")</f>
        <v/>
      </c>
      <c r="L1283" s="7">
        <f t="shared" ref="L1283:L1307" si="2103">IFERROR((G1283*H1283),"")</f>
        <v>5.5</v>
      </c>
      <c r="M1283" s="8" t="str">
        <f t="shared" ref="M1283:M1307" si="2104">IFERROR(K1283-L1283,"")</f>
        <v/>
      </c>
      <c r="N1283" s="57" t="str">
        <f>IFERROR((K1283/H1283),"")</f>
        <v/>
      </c>
      <c r="P1283" s="1"/>
      <c r="Q1283" s="1">
        <v>970</v>
      </c>
      <c r="R1283" s="1"/>
      <c r="S1283" s="41">
        <f t="shared" si="2079"/>
        <v>0</v>
      </c>
      <c r="U1283" s="173"/>
      <c r="V1283" s="190"/>
      <c r="W1283" s="190"/>
      <c r="X1283" s="183"/>
      <c r="Y1283" s="42"/>
      <c r="AA1283" s="206">
        <f t="shared" si="2081"/>
        <v>1.9642857142857146E-2</v>
      </c>
    </row>
    <row r="1284" spans="1:32" ns3:dyDescent="0.3">
      <c r="A1284" s="43" t="s">
        <v>492</v>
      </c>
      <c r="B1284" s="11">
        <f>ROUNDUP(HLOOKUP(A1284,'야채 계산기'!$2:$3,2,0),0)</f>
        <v>55</v>
      </c>
      <c r="C1284" s="164">
        <v>1</v>
      </c>
      <c r="D1284" s="166" t="str">
        <f t="shared" ref="D1284" si="2105">IFERROR((F1284/E1284),"")</f>
        <v/>
      </c>
      <c r="E1284" s="4"/>
      <c r="F1284" s="3"/>
      <c r="G1284" s="5"/>
      <c r="H1284" s="38"/>
      <c r="I1284" s="34">
        <f t="shared" ref="I1284" si="2106">IFERROR((S1284*E1284),"")</f>
        <v>0</v>
      </c>
      <c r="J1284" s="78" t="str">
        <f>IFERROR(VLOOKUP(C1284,[2]Sheet1!$D:$J,7,0),"")</f>
        <v/>
      </c>
      <c r="K1284" s="80" t="str">
        <f t="shared" ref="K1284" si="2107">IFERROR((I1284+J1284),"")</f>
        <v/>
      </c>
      <c r="L1284" s="7">
        <f t="shared" ref="L1284" si="2108">IFERROR((G1284*H1284),"")</f>
        <v>0</v>
      </c>
      <c r="M1284" s="8" t="str">
        <f t="shared" ref="M1284" si="2109">IFERROR(K1284-L1284,"")</f>
        <v/>
      </c>
      <c r="N1284" s="57" t="str">
        <f t="shared" ref="N1284" si="2110">IFERROR((K1284/H1284),"")</f>
        <v/>
      </c>
      <c r="O1284" s="9"/>
      <c r="P1284" s="10"/>
      <c r="Q1284" s="10"/>
      <c r="R1284" s="10">
        <f t="shared" ref="R1284" si="2111">O1284*P1284*Q1284</f>
        <v>0</v>
      </c>
      <c r="S1284" s="41">
        <f t="shared" si="2079"/>
        <v>0</v>
      </c>
      <c r="V1284" s="190"/>
      <c r="W1284" s="190"/>
      <c r="Y1284" s="42"/>
      <c r="Z1284" s="140"/>
      <c r="AA1284" s="206" t="str">
        <f t="shared" si="2081"/>
        <v/>
      </c>
      <c r="AB1284"/>
      <c r="AC1284"/>
      <c r="AD1284"/>
      <c r="AE1284"/>
      <c r="AF1284"/>
    </row>
    <row r="1285" spans="1:32" ns3:dyDescent="0.3">
      <c r="A1285" s="2"/>
      <c r="B1285" s="11"/>
      <c r="C1285" s="62" t="s">
        <v>441</v>
      </c>
      <c r="D1285" s="166" t="str">
        <f>IFERROR((F1285/E1285),"")</f>
        <v/>
      </c>
      <c r="E1285" s="4">
        <v>30</v>
      </c>
      <c r="F1285" s="3" t="str">
        <f>IFERROR((L1285-K1285),"")</f>
        <v/>
      </c>
      <c r="G1285" s="5">
        <f>G1283</f>
        <v>10</v>
      </c>
      <c r="H1285" s="39">
        <f>ROUNDUP(SUMPRODUCT(B1286:B1286,C1286:C1286)/100,2)</f>
        <v>0.55000000000000004</v>
      </c>
      <c r="I1285" s="34">
        <f t="shared" si="2101"/>
        <v>0</v>
      </c>
      <c r="J1285" s="78" t="str">
        <f>IFERROR(VLOOKUP(C1285,[2]Sheet1!$D:$J,7,0),"")</f>
        <v/>
      </c>
      <c r="K1285" s="80" t="str">
        <f t="shared" si="2102"/>
        <v/>
      </c>
      <c r="L1285" s="7">
        <f t="shared" si="2103"/>
        <v>5.5</v>
      </c>
      <c r="M1285" s="8" t="str">
        <f t="shared" si="2104"/>
        <v/>
      </c>
      <c r="N1285" s="57" t="str">
        <f>IFERROR((K1285/H1285),"")</f>
        <v/>
      </c>
      <c r="P1285" s="1"/>
      <c r="Q1285" s="1">
        <v>970</v>
      </c>
      <c r="R1285" s="1"/>
      <c r="S1285" s="41">
        <f t="shared" si="2079"/>
        <v>0</v>
      </c>
      <c r="U1285" s="173"/>
      <c r="V1285" s="190"/>
      <c r="W1285" s="190"/>
      <c r="X1285" s="183"/>
      <c r="Y1285" s="42"/>
      <c r="AA1285" s="206">
        <f t="shared" si="2081"/>
        <v>1.9642857142857146E-2</v>
      </c>
    </row>
    <row r="1286" spans="1:32" ns3:dyDescent="0.3">
      <c r="A1286" s="43" t="s">
        <v>492</v>
      </c>
      <c r="B1286" s="11">
        <f>ROUNDUP(HLOOKUP(A1286,'야채 계산기'!$2:$3,2,0),0)</f>
        <v>55</v>
      </c>
      <c r="C1286" s="164">
        <v>1</v>
      </c>
      <c r="D1286" s="166" t="str">
        <f>IFERROR((F1286/E1286),"")</f>
        <v/>
      </c>
      <c r="E1286" s="4"/>
      <c r="F1286" s="3"/>
      <c r="G1286" s="5"/>
      <c r="H1286" s="38"/>
      <c r="I1286" s="34">
        <f t="shared" si="2101"/>
        <v>0</v>
      </c>
      <c r="J1286" s="78" t="str">
        <f>IFERROR(VLOOKUP(C1286,[2]Sheet1!$D:$J,7,0),"")</f>
        <v/>
      </c>
      <c r="K1286" s="80" t="str">
        <f t="shared" si="2102"/>
        <v/>
      </c>
      <c r="L1286" s="7">
        <f t="shared" si="2103"/>
        <v>0</v>
      </c>
      <c r="M1286" s="8" t="str">
        <f t="shared" si="2104"/>
        <v/>
      </c>
      <c r="N1286" s="57" t="str">
        <f t="shared" ref="N1286" si="2112">IFERROR((K1286/H1286),"")</f>
        <v/>
      </c>
      <c r="O1286" s="9"/>
      <c r="P1286" s="10"/>
      <c r="Q1286" s="10"/>
      <c r="R1286" s="10">
        <f t="shared" ref="R1286" si="2113">O1286*P1286*Q1286</f>
        <v>0</v>
      </c>
      <c r="S1286" s="41">
        <f>SUM(Y1286,T1286:X1286)</f>
        <v>0</v>
      </c>
      <c r="V1286" s="190"/>
      <c r="W1286" s="190"/>
      <c r="Y1286" s="42"/>
      <c r="Z1286" s="140"/>
      <c r="AA1286" s="206" t="str">
        <f t="shared" si="2081"/>
        <v/>
      </c>
      <c r="AB1286"/>
      <c r="AC1286"/>
      <c r="AD1286"/>
      <c r="AE1286"/>
      <c r="AF1286"/>
    </row>
    <row r="1287" spans="1:32" ns3:dyDescent="0.3">
      <c r="A1287" s="2"/>
      <c r="B1287" s="11"/>
      <c r="C1287" s="164" t="s">
        <v>485</v>
      </c>
      <c r="D1287" s="166" t="str">
        <f>IFERROR((F1287/E1287),"")</f>
        <v/>
      </c>
      <c r="E1287" s="4">
        <v>4</v>
      </c>
      <c r="F1287" s="3" t="str">
        <f>IFERROR((L1287-K1287),"")</f>
        <v/>
      </c>
      <c r="G1287" s="5">
        <f>G1283</f>
        <v>10</v>
      </c>
      <c r="H1287" s="39">
        <f>ROUNDUP(SUMPRODUCT(B1288,C1288)/100,2)</f>
        <v>10.8</v>
      </c>
      <c r="I1287" s="34">
        <f t="shared" si="2101"/>
        <v>80</v>
      </c>
      <c r="J1287" s="78" t="str">
        <f>IFERROR(VLOOKUP(C1287,[2]Sheet1!$D:$J,7,0),"")</f>
        <v/>
      </c>
      <c r="K1287" s="80" t="str">
        <f t="shared" si="2102"/>
        <v/>
      </c>
      <c r="L1287" s="7">
        <f t="shared" si="2103"/>
        <v>108</v>
      </c>
      <c r="M1287" s="8" t="str">
        <f t="shared" si="2104"/>
        <v/>
      </c>
      <c r="N1287" s="57" t="str">
        <f>IFERROR((K1287/H1287),"")</f>
        <v/>
      </c>
      <c r="P1287" s="1"/>
      <c r="Q1287" s="1"/>
      <c r="R1287" s="1"/>
      <c r="S1287" s="41">
        <f t="shared" si="2079"/>
        <v>20</v>
      </c>
      <c r="T1287" s="1">
        <v>4</v>
      </c>
      <c r="U1287" s="173"/>
      <c r="V1287" s="190">
        <v>8</v>
      </c>
      <c r="W1287" s="190"/>
      <c r="X1287" s="183">
        <v>8</v>
      </c>
      <c r="Y1287" s="42"/>
      <c r="AA1287" s="206">
        <f t="shared" ref="AA1287:AA1316" si="2114">IFERROR(H1287*7/E1287/7,"")</f>
        <v>2.7</v>
      </c>
    </row>
    <row r="1288" spans="1:32" ns3:dyDescent="0.3">
      <c r="A1288" s="43" t="s">
        <v>496</v>
      </c>
      <c r="B1288" s="11">
        <f>ROUNDUP(HLOOKUP(A1288,'야채 계산기'!$2:$3,2,0),0)</f>
        <v>1080</v>
      </c>
      <c r="C1288" s="164">
        <v>1</v>
      </c>
      <c r="D1288" s="166" t="str">
        <f t="shared" ref="D1288" si="2115">IFERROR((F1288/E1288),"")</f>
        <v/>
      </c>
      <c r="E1288" s="4"/>
      <c r="F1288" s="3"/>
      <c r="G1288" s="5"/>
      <c r="H1288" s="38"/>
      <c r="I1288" s="34">
        <f t="shared" si="2101"/>
        <v>0</v>
      </c>
      <c r="J1288" s="78" t="str">
        <f>IFERROR(VLOOKUP(C1288,[2]Sheet1!$D:$J,7,0),"")</f>
        <v/>
      </c>
      <c r="K1288" s="80" t="str">
        <f t="shared" si="2102"/>
        <v/>
      </c>
      <c r="L1288" s="7">
        <f t="shared" si="2103"/>
        <v>0</v>
      </c>
      <c r="M1288" s="8" t="str">
        <f t="shared" si="2104"/>
        <v/>
      </c>
      <c r="N1288" s="57" t="str">
        <f t="shared" ref="N1288" si="2116">IFERROR((K1288/H1288),"")</f>
        <v/>
      </c>
      <c r="O1288" s="9"/>
      <c r="P1288" s="10"/>
      <c r="Q1288" s="10"/>
      <c r="R1288" s="10">
        <f t="shared" ref="R1288" si="2117">O1288*P1288*Q1288</f>
        <v>0</v>
      </c>
      <c r="S1288" s="41">
        <f t="shared" si="2079"/>
        <v>0</v>
      </c>
      <c r="V1288" s="190"/>
      <c r="W1288" s="190"/>
      <c r="Y1288" s="42"/>
      <c r="Z1288" s="140"/>
      <c r="AA1288" s="206" t="str">
        <f t="shared" si="2114"/>
        <v/>
      </c>
      <c r="AB1288"/>
      <c r="AC1288"/>
      <c r="AD1288"/>
      <c r="AE1288"/>
      <c r="AF1288"/>
    </row>
    <row r="1289" spans="1:32" ns3:dyDescent="0.3">
      <c r="A1289" s="2"/>
      <c r="B1289" s="11"/>
      <c r="C1289" s="164" t="s">
        <v>646</v>
      </c>
      <c r="D1289" s="166" t="str">
        <f>IFERROR((F1289/E1289),"")</f>
        <v/>
      </c>
      <c r="E1289" s="4">
        <v>4</v>
      </c>
      <c r="F1289" s="3" t="str">
        <f>IFERROR((L1289-K1289),"")</f>
        <v/>
      </c>
      <c r="G1289" s="5">
        <f>G1316</f>
        <v>10</v>
      </c>
      <c r="H1289" s="39">
        <f>ROUNDUP(SUMPRODUCT(B1290:B1290,C1290:C1290)/100,2)</f>
        <v>14.7</v>
      </c>
      <c r="I1289" s="34">
        <f>IFERROR((S1289*E1289),"")</f>
        <v>104</v>
      </c>
      <c r="J1289" s="78" t="str">
        <f>IFERROR(VLOOKUP(C1289,[2]Sheet1!$D:$J,7,0),"")</f>
        <v/>
      </c>
      <c r="K1289" s="80" t="str">
        <f>IFERROR((I1289+J1289),"")</f>
        <v/>
      </c>
      <c r="L1289" s="7">
        <f>IFERROR((G1289*H1289),"")</f>
        <v>147</v>
      </c>
      <c r="M1289" s="8" t="str">
        <f>IFERROR(K1289-L1289,"")</f>
        <v/>
      </c>
      <c r="N1289" s="57" t="str">
        <f>IFERROR((K1289/H1289),"")</f>
        <v/>
      </c>
      <c r="P1289" s="1"/>
      <c r="Q1289" s="1">
        <v>9525</v>
      </c>
      <c r="R1289" s="1"/>
      <c r="S1289" s="41">
        <f>SUM(Y1289,T1289:X1289)</f>
        <v>26</v>
      </c>
      <c r="T1289" s="1">
        <v>8</v>
      </c>
      <c r="U1289" s="173"/>
      <c r="V1289" s="190">
        <v>9</v>
      </c>
      <c r="W1289" s="190"/>
      <c r="X1289" s="183">
        <v>9</v>
      </c>
      <c r="Y1289" s="42"/>
      <c r="AA1289" s="206">
        <f>IFERROR(H1289*7/E1289/7,"")</f>
        <v>3.6749999999999998</v>
      </c>
    </row>
    <row r="1290" spans="1:32" ns3:dyDescent="0.3">
      <c r="A1290" s="43" t="s">
        <v>638</v>
      </c>
      <c r="B1290" s="11">
        <f>ROUNDUP(HLOOKUP(A1290,'야채 계산기'!$2:$3,2,0),0)</f>
        <v>1470</v>
      </c>
      <c r="C1290" s="164">
        <v>1</v>
      </c>
      <c r="D1290" s="166" t="str">
        <f t="shared" ref="D1290" si="2118">IFERROR((F1290/E1290),"")</f>
        <v/>
      </c>
      <c r="E1290" s="4"/>
      <c r="F1290" s="3"/>
      <c r="G1290" s="5"/>
      <c r="H1290" s="38"/>
      <c r="I1290" s="34">
        <f>IFERROR((S1290*E1290),"")</f>
        <v>0</v>
      </c>
      <c r="J1290" s="78" t="str">
        <f>IFERROR(VLOOKUP(C1290,[2]Sheet1!$D:$J,7,0),"")</f>
        <v/>
      </c>
      <c r="K1290" s="80" t="str">
        <f>IFERROR((I1290+J1290),"")</f>
        <v/>
      </c>
      <c r="L1290" s="7">
        <f>IFERROR((G1290*H1290),"")</f>
        <v>0</v>
      </c>
      <c r="M1290" s="8" t="str">
        <f>IFERROR(K1290-L1290,"")</f>
        <v/>
      </c>
      <c r="N1290" s="57" t="str">
        <f t="shared" ref="N1290" si="2119">IFERROR((K1290/H1290),"")</f>
        <v/>
      </c>
      <c r="O1290" s="9"/>
      <c r="P1290" s="10"/>
      <c r="Q1290" s="10"/>
      <c r="R1290" s="10">
        <f t="shared" ref="R1290" si="2120">O1290*P1290*Q1290</f>
        <v>0</v>
      </c>
      <c r="S1290" s="41">
        <f>SUM(Y1290,T1290:X1290)</f>
        <v>0</v>
      </c>
      <c r="V1290" s="190"/>
      <c r="W1290" s="190"/>
      <c r="Y1290" s="42"/>
      <c r="Z1290" s="140"/>
      <c r="AA1290" s="206" t="str">
        <f>IFERROR(H1290*7/E1290/7,"")</f>
        <v/>
      </c>
      <c r="AB1290"/>
      <c r="AC1290"/>
      <c r="AD1290"/>
      <c r="AE1290"/>
      <c r="AF1290"/>
    </row>
    <row r="1291" spans="1:32" ns3:dyDescent="0.3">
      <c r="A1291" s="2"/>
      <c r="B1291" s="11"/>
      <c r="C1291" s="164" t="s">
        <v>647</v>
      </c>
      <c r="D1291" s="166" t="str">
        <f>IFERROR((F1291/E1291),"")</f>
        <v/>
      </c>
      <c r="E1291" s="4">
        <v>4</v>
      </c>
      <c r="F1291" s="3" t="str">
        <f>IFERROR((L1291-K1291),"")</f>
        <v/>
      </c>
      <c r="G1291" s="5">
        <f>G1289</f>
        <v>10</v>
      </c>
      <c r="H1291" s="39">
        <f>ROUNDUP(SUMPRODUCT(B1292:B1292,C1292:C1292)/100,2)</f>
        <v>14.7</v>
      </c>
      <c r="I1291" s="34">
        <f>IFERROR((S1291*E1291),"")</f>
        <v>104</v>
      </c>
      <c r="J1291" s="78" t="str">
        <f>IFERROR(VLOOKUP(C1291,[2]Sheet1!$D:$J,7,0),"")</f>
        <v/>
      </c>
      <c r="K1291" s="80" t="str">
        <f>IFERROR((I1291+J1291),"")</f>
        <v/>
      </c>
      <c r="L1291" s="7">
        <f>IFERROR((G1291*H1291),"")</f>
        <v>147</v>
      </c>
      <c r="M1291" s="8" t="str">
        <f>IFERROR(K1291-L1291,"")</f>
        <v/>
      </c>
      <c r="N1291" s="57" t="str">
        <f>IFERROR((K1291/H1291),"")</f>
        <v/>
      </c>
      <c r="P1291" s="1"/>
      <c r="Q1291" s="1">
        <v>10300</v>
      </c>
      <c r="R1291" s="1"/>
      <c r="S1291" s="41">
        <f>SUM(Y1291,T1291:X1291)</f>
        <v>26</v>
      </c>
      <c r="T1291" s="1">
        <v>8</v>
      </c>
      <c r="U1291" s="173"/>
      <c r="V1291" s="190">
        <v>9</v>
      </c>
      <c r="W1291" s="190"/>
      <c r="X1291" s="183">
        <v>9</v>
      </c>
      <c r="Y1291" s="42"/>
      <c r="AA1291" s="206">
        <f>IFERROR(H1291*7/E1291/7,"")</f>
        <v>3.6749999999999998</v>
      </c>
    </row>
    <row r="1292" spans="1:32" ns3:dyDescent="0.3">
      <c r="A1292" s="43" t="s">
        <v>638</v>
      </c>
      <c r="B1292" s="11">
        <f>ROUNDUP(HLOOKUP(A1292,'야채 계산기'!$2:$3,2,0),0)</f>
        <v>1470</v>
      </c>
      <c r="C1292" s="164">
        <v>1</v>
      </c>
      <c r="D1292" s="166" t="str">
        <f t="shared" ref="D1292" si="2121">IFERROR((F1292/E1292),"")</f>
        <v/>
      </c>
      <c r="E1292" s="4"/>
      <c r="F1292" s="3"/>
      <c r="G1292" s="5"/>
      <c r="H1292" s="38"/>
      <c r="I1292" s="34">
        <f>IFERROR((S1292*E1292),"")</f>
        <v>0</v>
      </c>
      <c r="J1292" s="78" t="str">
        <f>IFERROR(VLOOKUP(C1292,[2]Sheet1!$D:$J,7,0),"")</f>
        <v/>
      </c>
      <c r="K1292" s="80" t="str">
        <f>IFERROR((I1292+J1292),"")</f>
        <v/>
      </c>
      <c r="L1292" s="7">
        <f>IFERROR((G1292*H1292),"")</f>
        <v>0</v>
      </c>
      <c r="M1292" s="8" t="str">
        <f>IFERROR(K1292-L1292,"")</f>
        <v/>
      </c>
      <c r="N1292" s="57" t="str">
        <f t="shared" ref="N1292" si="2122">IFERROR((K1292/H1292),"")</f>
        <v/>
      </c>
      <c r="O1292" s="9"/>
      <c r="P1292" s="10"/>
      <c r="Q1292" s="10"/>
      <c r="R1292" s="10">
        <f t="shared" ref="R1292" si="2123">O1292*P1292*Q1292</f>
        <v>0</v>
      </c>
      <c r="S1292" s="41">
        <f>SUM(Y1292,T1292:X1292)</f>
        <v>0</v>
      </c>
      <c r="V1292" s="190"/>
      <c r="W1292" s="190"/>
      <c r="Y1292" s="42"/>
      <c r="Z1292" s="140"/>
      <c r="AA1292" s="206" t="str">
        <f>IFERROR(H1292*7/E1292/7,"")</f>
        <v/>
      </c>
      <c r="AB1292"/>
      <c r="AC1292"/>
      <c r="AD1292"/>
      <c r="AE1292"/>
      <c r="AF1292"/>
    </row>
    <row r="1293" spans="1:32" ht="16.5" customHeight="1" ns3:dyDescent="0.3">
      <c r="A1293" s="2"/>
      <c r="B1293" s="11"/>
      <c r="C1293" s="164" t="s">
        <v>439</v>
      </c>
      <c r="D1293" s="166" t="str">
        <f>IFERROR((F1293/E1293),"")</f>
        <v/>
      </c>
      <c r="E1293" s="4">
        <v>4</v>
      </c>
      <c r="F1293" s="3" t="str">
        <f>IFERROR((L1293-K1293),"")</f>
        <v/>
      </c>
      <c r="G1293" s="5">
        <f>G1287</f>
        <v>10</v>
      </c>
      <c r="H1293" s="39">
        <f>ROUNDUP(SUMPRODUCT(B1294,C1294)/100,2)</f>
        <v>10.8</v>
      </c>
      <c r="I1293" s="34">
        <f t="shared" si="2101"/>
        <v>72</v>
      </c>
      <c r="J1293" s="78" t="str">
        <f>IFERROR(VLOOKUP(C1293,[2]Sheet1!$D:$J,7,0),"")</f>
        <v/>
      </c>
      <c r="K1293" s="80" t="str">
        <f t="shared" si="2102"/>
        <v/>
      </c>
      <c r="L1293" s="7">
        <f t="shared" si="2103"/>
        <v>108</v>
      </c>
      <c r="M1293" s="8" t="str">
        <f t="shared" si="2104"/>
        <v/>
      </c>
      <c r="N1293" s="57" t="str">
        <f>IFERROR((K1293/H1293),"")</f>
        <v/>
      </c>
      <c r="P1293" s="1"/>
      <c r="Q1293" s="1"/>
      <c r="R1293" s="1"/>
      <c r="S1293" s="41">
        <f t="shared" si="2079"/>
        <v>18</v>
      </c>
      <c r="T1293" s="1">
        <v>4</v>
      </c>
      <c r="U1293" s="173"/>
      <c r="V1293" s="190">
        <v>7</v>
      </c>
      <c r="W1293" s="190"/>
      <c r="X1293" s="183">
        <v>7</v>
      </c>
      <c r="Y1293" s="42"/>
      <c r="AA1293" s="206">
        <f t="shared" si="2114"/>
        <v>2.7</v>
      </c>
    </row>
    <row r="1294" spans="1:32" ht="16.5" customHeight="1" ns3:dyDescent="0.3">
      <c r="A1294" s="43" t="s">
        <v>496</v>
      </c>
      <c r="B1294" s="11">
        <f>ROUNDUP(HLOOKUP(A1294,'야채 계산기'!$2:$3,2,0),0)</f>
        <v>1080</v>
      </c>
      <c r="C1294" s="164">
        <v>1</v>
      </c>
      <c r="D1294" s="166" t="str">
        <f t="shared" ref="D1294" si="2124">IFERROR((F1294/E1294),"")</f>
        <v/>
      </c>
      <c r="E1294" s="4"/>
      <c r="F1294" s="3"/>
      <c r="G1294" s="5"/>
      <c r="H1294" s="38"/>
      <c r="I1294" s="34">
        <f t="shared" si="2101"/>
        <v>0</v>
      </c>
      <c r="J1294" s="78" t="str">
        <f>IFERROR(VLOOKUP(C1294,[2]Sheet1!$D:$J,7,0),"")</f>
        <v/>
      </c>
      <c r="K1294" s="80" t="str">
        <f t="shared" si="2102"/>
        <v/>
      </c>
      <c r="L1294" s="7">
        <f t="shared" si="2103"/>
        <v>0</v>
      </c>
      <c r="M1294" s="8" t="str">
        <f t="shared" si="2104"/>
        <v/>
      </c>
      <c r="N1294" s="57" t="str">
        <f t="shared" ref="N1294" si="2125">IFERROR((K1294/H1294),"")</f>
        <v/>
      </c>
      <c r="O1294" s="9"/>
      <c r="P1294" s="10"/>
      <c r="Q1294" s="10"/>
      <c r="R1294" s="10">
        <f t="shared" ref="R1294" si="2126">O1294*P1294*Q1294</f>
        <v>0</v>
      </c>
      <c r="S1294" s="41">
        <f t="shared" si="2079"/>
        <v>0</v>
      </c>
      <c r="V1294" s="190"/>
      <c r="W1294" s="190"/>
      <c r="Y1294" s="42"/>
      <c r="Z1294" s="140"/>
      <c r="AA1294" s="206" t="str">
        <f t="shared" si="2114"/>
        <v/>
      </c>
      <c r="AB1294"/>
      <c r="AC1294"/>
      <c r="AD1294"/>
      <c r="AE1294"/>
      <c r="AF1294"/>
    </row>
    <row r="1295" spans="1:32" hidden="1" ns3:dyDescent="0.3">
      <c r="A1295" s="2"/>
      <c r="B1295" s="11" t="e">
        <f>ROUNDUP(HLOOKUP(A1295,'야채 계산기'!$2:$3,2,0),0)</f>
        <v>#N/A</v>
      </c>
      <c r="C1295" s="262" t="s">
        <v>438</v>
      </c>
      <c r="D1295" s="166" t="str">
        <f>IFERROR((F1295/E1295),"")</f>
        <v/>
      </c>
      <c r="E1295" s="4">
        <v>4</v>
      </c>
      <c r="F1295" s="3" t="str">
        <f>IFERROR((L1295-K1295),"")</f>
        <v/>
      </c>
      <c r="G1295" s="5">
        <f>G1293</f>
        <v>10</v>
      </c>
      <c r="H1295" s="39" t="e">
        <f>ROUNDUP(SUMPRODUCT(B1296:B1297,C1296:C1297)/100,2)</f>
        <v>#N/A</v>
      </c>
      <c r="I1295" s="34">
        <f t="shared" si="2101"/>
        <v>0</v>
      </c>
      <c r="J1295" s="78" t="str">
        <f>IFERROR(VLOOKUP(C1295,[2]Sheet1!$D:$J,7,0),"")</f>
        <v/>
      </c>
      <c r="K1295" s="80" t="str">
        <f t="shared" si="2102"/>
        <v/>
      </c>
      <c r="L1295" s="7" t="str">
        <f t="shared" si="2103"/>
        <v/>
      </c>
      <c r="M1295" s="8" t="str">
        <f t="shared" si="2104"/>
        <v/>
      </c>
      <c r="N1295" s="57" t="str">
        <f>IFERROR((K1295/H1295),"")</f>
        <v/>
      </c>
      <c r="P1295" s="1"/>
      <c r="Q1295" s="1">
        <v>12910</v>
      </c>
      <c r="R1295" s="1"/>
      <c r="S1295" s="41">
        <f t="shared" si="2079"/>
        <v>0</v>
      </c>
      <c r="U1295" s="173"/>
      <c r="V1295" s="190"/>
      <c r="W1295" s="190"/>
      <c r="X1295" s="183"/>
      <c r="Y1295" s="42"/>
      <c r="AA1295" s="206" t="str">
        <f t="shared" si="2114"/>
        <v/>
      </c>
    </row>
    <row r="1296" spans="1:32" hidden="1" ns3:dyDescent="0.3">
      <c r="A1296" s="43" t="s">
        <v>495</v>
      </c>
      <c r="B1296" s="11">
        <f>ROUNDUP(HLOOKUP(A1296,'야채 계산기'!$2:$3,2,0),0)</f>
        <v>0</v>
      </c>
      <c r="C1296" s="164">
        <v>1</v>
      </c>
      <c r="D1296" s="166" t="str">
        <f t="shared" ref="D1296:D1297" si="2127">IFERROR((F1296/E1296),"")</f>
        <v/>
      </c>
      <c r="E1296" s="4"/>
      <c r="F1296" s="3"/>
      <c r="G1296" s="5"/>
      <c r="H1296" s="38"/>
      <c r="I1296" s="34">
        <f t="shared" si="2101"/>
        <v>0</v>
      </c>
      <c r="J1296" s="78" t="str">
        <f>IFERROR(VLOOKUP(C1296,[2]Sheet1!$D:$J,7,0),"")</f>
        <v/>
      </c>
      <c r="K1296" s="80" t="str">
        <f t="shared" si="2102"/>
        <v/>
      </c>
      <c r="L1296" s="7">
        <f t="shared" si="2103"/>
        <v>0</v>
      </c>
      <c r="M1296" s="8" t="str">
        <f t="shared" si="2104"/>
        <v/>
      </c>
      <c r="N1296" s="57" t="str">
        <f t="shared" ref="N1296:N1297" si="2128">IFERROR((K1296/H1296),"")</f>
        <v/>
      </c>
      <c r="O1296" s="9"/>
      <c r="P1296" s="10"/>
      <c r="Q1296" s="10"/>
      <c r="R1296" s="10">
        <f t="shared" ref="R1296:R1297" si="2129">O1296*P1296*Q1296</f>
        <v>0</v>
      </c>
      <c r="S1296" s="41">
        <f t="shared" si="2079"/>
        <v>0</v>
      </c>
      <c r="V1296" s="190"/>
      <c r="W1296" s="190"/>
      <c r="Y1296" s="42"/>
      <c r="Z1296" s="140"/>
      <c r="AA1296" s="206" t="str">
        <f t="shared" si="2114"/>
        <v/>
      </c>
      <c r="AB1296"/>
      <c r="AC1296"/>
      <c r="AD1296"/>
      <c r="AE1296"/>
      <c r="AF1296"/>
    </row>
    <row r="1297" spans="1:32" hidden="1" ns3:dyDescent="0.3">
      <c r="A1297" s="280" t="s">
        <v>493</v>
      </c>
      <c r="B1297" s="11" t="e">
        <f>ROUNDUP(HLOOKUP(A1297,'야채 계산기'!$2:$3,2,0),0)</f>
        <v>#N/A</v>
      </c>
      <c r="C1297" s="164">
        <v>1</v>
      </c>
      <c r="D1297" s="166" t="str">
        <f t="shared" si="2127"/>
        <v/>
      </c>
      <c r="E1297" s="4"/>
      <c r="F1297" s="3"/>
      <c r="G1297" s="5"/>
      <c r="H1297" s="38"/>
      <c r="I1297" s="34">
        <f t="shared" si="2101"/>
        <v>0</v>
      </c>
      <c r="J1297" s="78" t="str">
        <f>IFERROR(VLOOKUP(C1297,[2]Sheet1!$D:$J,7,0),"")</f>
        <v/>
      </c>
      <c r="K1297" s="80" t="str">
        <f t="shared" si="2102"/>
        <v/>
      </c>
      <c r="L1297" s="7">
        <f t="shared" si="2103"/>
        <v>0</v>
      </c>
      <c r="M1297" s="8" t="str">
        <f t="shared" si="2104"/>
        <v/>
      </c>
      <c r="N1297" s="57" t="str">
        <f t="shared" si="2128"/>
        <v/>
      </c>
      <c r="O1297" s="9"/>
      <c r="P1297" s="10"/>
      <c r="Q1297" s="10"/>
      <c r="R1297" s="10">
        <f t="shared" si="2129"/>
        <v>0</v>
      </c>
      <c r="S1297" s="41">
        <f t="shared" si="2079"/>
        <v>0</v>
      </c>
      <c r="V1297" s="190"/>
      <c r="W1297" s="190"/>
      <c r="Y1297" s="42"/>
      <c r="Z1297" s="140"/>
      <c r="AA1297" s="206" t="str">
        <f t="shared" si="2114"/>
        <v/>
      </c>
      <c r="AB1297"/>
      <c r="AC1297"/>
      <c r="AD1297"/>
      <c r="AE1297"/>
      <c r="AF1297"/>
    </row>
    <row r="1298" spans="1:32" ns3:dyDescent="0.3">
      <c r="A1298" s="2"/>
      <c r="B1298" s="11"/>
      <c r="C1298" s="164" t="s">
        <v>707</v>
      </c>
      <c r="D1298" s="166" t="str">
        <f>IFERROR((F1298/E1298),"")</f>
        <v/>
      </c>
      <c r="E1298" s="4">
        <v>4</v>
      </c>
      <c r="F1298" s="3" t="str">
        <f>IFERROR((L1298-K1298),"")</f>
        <v/>
      </c>
      <c r="G1298" s="5">
        <f>G1283</f>
        <v>10</v>
      </c>
      <c r="H1298" s="39">
        <f>ROUNDUP(SUMPRODUCT(B1299:B1299,C1299:C1299)/100,2)</f>
        <v>16.8</v>
      </c>
      <c r="I1298" s="34">
        <f>IFERROR((S1298*E1298),"")</f>
        <v>104</v>
      </c>
      <c r="J1298" s="78" t="str">
        <f>IFERROR(VLOOKUP(C1298,[2]Sheet1!$D:$J,7,0),"")</f>
        <v/>
      </c>
      <c r="K1298" s="80" t="str">
        <f>IFERROR((I1298+J1298),"")</f>
        <v/>
      </c>
      <c r="L1298" s="7">
        <f>IFERROR((G1298*H1298),"")</f>
        <v>168</v>
      </c>
      <c r="M1298" s="8" t="str">
        <f>IFERROR(K1298-L1298,"")</f>
        <v/>
      </c>
      <c r="N1298" s="57" t="str">
        <f>IFERROR((K1298/H1298),"")</f>
        <v/>
      </c>
      <c r="P1298" s="1"/>
      <c r="Q1298" s="1">
        <v>12910</v>
      </c>
      <c r="R1298" s="1"/>
      <c r="S1298" s="41">
        <f>SUM(Y1298,T1298:X1298)</f>
        <v>26</v>
      </c>
      <c r="T1298" s="1">
        <v>10</v>
      </c>
      <c r="U1298" s="173"/>
      <c r="V1298" s="190">
        <v>8</v>
      </c>
      <c r="W1298" s="190"/>
      <c r="X1298" s="183">
        <v>8</v>
      </c>
      <c r="Y1298" s="42"/>
      <c r="AA1298" s="206">
        <f>IFERROR(H1298*7/E1298/7,"")</f>
        <v>4.2</v>
      </c>
    </row>
    <row r="1299" spans="1:32" ns3:dyDescent="0.3">
      <c r="A1299" s="43" t="s">
        <v>709</v>
      </c>
      <c r="B1299" s="11">
        <f>ROUNDUP(HLOOKUP(A1299,'야채 계산기'!$2:$3,2,0),0)</f>
        <v>1680</v>
      </c>
      <c r="C1299" s="164">
        <v>1</v>
      </c>
      <c r="D1299" s="166" t="str">
        <f t="shared" ref="D1299" si="2130">IFERROR((F1299/E1299),"")</f>
        <v/>
      </c>
      <c r="E1299" s="4"/>
      <c r="F1299" s="3"/>
      <c r="G1299" s="5"/>
      <c r="H1299" s="38"/>
      <c r="I1299" s="34">
        <f>IFERROR((S1299*E1299),"")</f>
        <v>0</v>
      </c>
      <c r="J1299" s="78" t="str">
        <f>IFERROR(VLOOKUP(C1299,[2]Sheet1!$D:$J,7,0),"")</f>
        <v/>
      </c>
      <c r="K1299" s="80" t="str">
        <f>IFERROR((I1299+J1299),"")</f>
        <v/>
      </c>
      <c r="L1299" s="7">
        <f>IFERROR((G1299*H1299),"")</f>
        <v>0</v>
      </c>
      <c r="M1299" s="8" t="str">
        <f>IFERROR(K1299-L1299,"")</f>
        <v/>
      </c>
      <c r="N1299" s="57" t="str">
        <f t="shared" ref="N1299" si="2131">IFERROR((K1299/H1299),"")</f>
        <v/>
      </c>
      <c r="O1299" s="9"/>
      <c r="P1299" s="10"/>
      <c r="Q1299" s="10"/>
      <c r="R1299" s="10">
        <f t="shared" ref="R1299" si="2132">O1299*P1299*Q1299</f>
        <v>0</v>
      </c>
      <c r="S1299" s="41">
        <f>SUM(Y1299,T1299:X1299)</f>
        <v>0</v>
      </c>
      <c r="V1299" s="190"/>
      <c r="W1299" s="190"/>
      <c r="Y1299" s="42"/>
      <c r="Z1299" s="140"/>
      <c r="AA1299" s="206" t="str">
        <f>IFERROR(H1299*7/E1299/7,"")</f>
        <v/>
      </c>
      <c r="AB1299"/>
      <c r="AC1299"/>
      <c r="AD1299"/>
      <c r="AE1299"/>
      <c r="AF1299"/>
    </row>
    <row r="1300" spans="1:32" ns3:dyDescent="0.3">
      <c r="A1300" s="43"/>
      <c r="B1300" s="11"/>
      <c r="C1300" s="164" t="s">
        <v>708</v>
      </c>
      <c r="D1300" s="166" t="str">
        <f>IFERROR((F1300/E1300),"")</f>
        <v/>
      </c>
      <c r="E1300" s="4">
        <v>4</v>
      </c>
      <c r="F1300" s="3" t="str">
        <f>IFERROR((L1300-K1300),"")</f>
        <v/>
      </c>
      <c r="G1300" s="5">
        <f>G1283</f>
        <v>10</v>
      </c>
      <c r="H1300" s="39">
        <f>ROUNDUP(SUMPRODUCT(B1301:B1301,C1301:C1301)/100,2)</f>
        <v>16.8</v>
      </c>
      <c r="I1300" s="34">
        <f>IFERROR((S1300*E1300),"")</f>
        <v>128</v>
      </c>
      <c r="J1300" s="78" t="str">
        <f>IFERROR(VLOOKUP(C1300,[2]Sheet1!$D:$J,7,0),"")</f>
        <v/>
      </c>
      <c r="K1300" s="80" t="str">
        <f>IFERROR((I1300+J1300),"")</f>
        <v/>
      </c>
      <c r="L1300" s="7">
        <f>IFERROR((G1300*H1300),"")</f>
        <v>168</v>
      </c>
      <c r="M1300" s="8" t="str">
        <f>IFERROR(K1300-L1300,"")</f>
        <v/>
      </c>
      <c r="N1300" s="57" t="str">
        <f>IFERROR((K1300/H1300),"")</f>
        <v/>
      </c>
      <c r="P1300" s="1"/>
      <c r="Q1300" s="1"/>
      <c r="R1300" s="1"/>
      <c r="S1300" s="41">
        <f>SUM(Y1300,T1300:X1300)</f>
        <v>32</v>
      </c>
      <c r="T1300" s="1">
        <v>12</v>
      </c>
      <c r="U1300" s="173"/>
      <c r="V1300" s="190">
        <v>10</v>
      </c>
      <c r="W1300" s="190"/>
      <c r="X1300" s="183">
        <v>10</v>
      </c>
      <c r="Y1300" s="42"/>
      <c r="AA1300" s="206">
        <f>IFERROR(H1300*7/E1300/7,"")</f>
        <v>4.2</v>
      </c>
    </row>
    <row r="1301" spans="1:32" ns3:dyDescent="0.3">
      <c r="A1301" s="43" t="s">
        <v>709</v>
      </c>
      <c r="B1301" s="11">
        <f>ROUNDUP(HLOOKUP(A1301,'야채 계산기'!$2:$3,2,0),0)</f>
        <v>1680</v>
      </c>
      <c r="C1301" s="164">
        <v>1</v>
      </c>
      <c r="D1301" s="166" t="str">
        <f t="shared" ref="D1301" si="2133">IFERROR((F1301/E1301),"")</f>
        <v/>
      </c>
      <c r="E1301" s="4"/>
      <c r="F1301" s="3"/>
      <c r="G1301" s="5"/>
      <c r="H1301" s="38"/>
      <c r="I1301" s="34">
        <f>IFERROR((S1301*E1301),"")</f>
        <v>0</v>
      </c>
      <c r="J1301" s="78" t="str">
        <f>IFERROR(VLOOKUP(C1301,[2]Sheet1!$D:$J,7,0),"")</f>
        <v/>
      </c>
      <c r="K1301" s="80" t="str">
        <f>IFERROR((I1301+J1301),"")</f>
        <v/>
      </c>
      <c r="L1301" s="7">
        <f>IFERROR((G1301*H1301),"")</f>
        <v>0</v>
      </c>
      <c r="M1301" s="8" t="str">
        <f>IFERROR(K1301-L1301,"")</f>
        <v/>
      </c>
      <c r="N1301" s="57" t="str">
        <f t="shared" ref="N1301" si="2134">IFERROR((K1301/H1301),"")</f>
        <v/>
      </c>
      <c r="O1301" s="9"/>
      <c r="P1301" s="10"/>
      <c r="Q1301" s="10"/>
      <c r="R1301" s="10">
        <f t="shared" ref="R1301" si="2135">O1301*P1301*Q1301</f>
        <v>0</v>
      </c>
      <c r="S1301" s="41">
        <f>SUM(Y1301,T1301:X1301)</f>
        <v>0</v>
      </c>
      <c r="V1301" s="190"/>
      <c r="W1301" s="190"/>
      <c r="Y1301" s="42"/>
      <c r="Z1301" s="140"/>
      <c r="AA1301" s="206" t="str">
        <f>IFERROR(H1301*7/E1301/7,"")</f>
        <v/>
      </c>
      <c r="AB1301"/>
      <c r="AC1301"/>
      <c r="AD1301"/>
      <c r="AE1301"/>
      <c r="AF1301"/>
    </row>
    <row r="1302" spans="1:32" ns3:dyDescent="0.3">
      <c r="A1302" s="43"/>
      <c r="B1302" s="11"/>
      <c r="C1302" s="164" t="s">
        <v>436</v>
      </c>
      <c r="D1302" s="166" t="str">
        <f>IFERROR((F1302/E1302),"")</f>
        <v/>
      </c>
      <c r="E1302" s="4">
        <v>4</v>
      </c>
      <c r="F1302" s="3" t="str">
        <f>IFERROR((L1302-K1302),"")</f>
        <v/>
      </c>
      <c r="G1302" s="5">
        <f>G1283</f>
        <v>10</v>
      </c>
      <c r="H1302" s="39">
        <f>ROUNDUP(SUMPRODUCT(B1303:B1303,C1303:C1303)/150,2)</f>
        <v>5.4</v>
      </c>
      <c r="I1302" s="34">
        <f t="shared" si="2101"/>
        <v>32</v>
      </c>
      <c r="J1302" s="78" t="str">
        <f>IFERROR(VLOOKUP(C1302,[2]Sheet1!$D:$J,7,0),"")</f>
        <v/>
      </c>
      <c r="K1302" s="80" t="str">
        <f t="shared" si="2102"/>
        <v/>
      </c>
      <c r="L1302" s="7">
        <f t="shared" si="2103"/>
        <v>54</v>
      </c>
      <c r="M1302" s="8" t="str">
        <f t="shared" si="2104"/>
        <v/>
      </c>
      <c r="N1302" s="57" t="str">
        <f>IFERROR((K1302/H1302),"")</f>
        <v/>
      </c>
      <c r="P1302" s="1"/>
      <c r="Q1302" s="1">
        <v>17732</v>
      </c>
      <c r="R1302" s="1"/>
      <c r="S1302" s="41">
        <f t="shared" si="2079"/>
        <v>8</v>
      </c>
      <c r="T1302" s="1">
        <v>2</v>
      </c>
      <c r="U1302" s="173"/>
      <c r="V1302" s="190">
        <v>3</v>
      </c>
      <c r="W1302" s="190"/>
      <c r="X1302" s="183">
        <v>3</v>
      </c>
      <c r="Y1302" s="42"/>
      <c r="AA1302" s="206">
        <f t="shared" si="2114"/>
        <v>1.35</v>
      </c>
    </row>
    <row r="1303" spans="1:32" ns3:dyDescent="0.3">
      <c r="A1303" s="43" t="s">
        <v>571</v>
      </c>
      <c r="B1303" s="11">
        <f>ROUNDUP(HLOOKUP(A1303,'야채 계산기'!$2:$3,2,0),0)</f>
        <v>810</v>
      </c>
      <c r="C1303" s="164">
        <v>1</v>
      </c>
      <c r="D1303" s="166" t="str">
        <f t="shared" ref="D1303" si="2136">IFERROR((F1303/E1303),"")</f>
        <v/>
      </c>
      <c r="E1303" s="4"/>
      <c r="F1303" s="3"/>
      <c r="G1303" s="5"/>
      <c r="H1303" s="38"/>
      <c r="I1303" s="34">
        <f t="shared" si="2101"/>
        <v>0</v>
      </c>
      <c r="J1303" s="78" t="str">
        <f>IFERROR(VLOOKUP(C1303,[2]Sheet1!$D:$J,7,0),"")</f>
        <v/>
      </c>
      <c r="K1303" s="80" t="str">
        <f t="shared" si="2102"/>
        <v/>
      </c>
      <c r="L1303" s="7">
        <f t="shared" si="2103"/>
        <v>0</v>
      </c>
      <c r="M1303" s="8" t="str">
        <f t="shared" si="2104"/>
        <v/>
      </c>
      <c r="N1303" s="57" t="str">
        <f t="shared" ref="N1303" si="2137">IFERROR((K1303/H1303),"")</f>
        <v/>
      </c>
      <c r="O1303" s="9"/>
      <c r="P1303" s="10"/>
      <c r="Q1303" s="10"/>
      <c r="R1303" s="10">
        <f t="shared" ref="R1303" si="2138">O1303*P1303*Q1303</f>
        <v>0</v>
      </c>
      <c r="S1303" s="41">
        <f t="shared" si="2079"/>
        <v>0</v>
      </c>
      <c r="V1303" s="190"/>
      <c r="W1303" s="190"/>
      <c r="Y1303" s="42"/>
      <c r="Z1303" s="140"/>
      <c r="AA1303" s="206" t="str">
        <f t="shared" si="2114"/>
        <v/>
      </c>
      <c r="AB1303"/>
      <c r="AC1303"/>
      <c r="AD1303"/>
      <c r="AE1303"/>
      <c r="AF1303"/>
    </row>
    <row r="1304" spans="1:32" ns3:dyDescent="0.3">
      <c r="A1304" s="2"/>
      <c r="B1304" s="11"/>
      <c r="C1304" s="164" t="s">
        <v>437</v>
      </c>
      <c r="D1304" s="166" t="str">
        <f>IFERROR((F1304/E1304),"")</f>
        <v/>
      </c>
      <c r="E1304" s="4">
        <v>4</v>
      </c>
      <c r="F1304" s="3" t="str">
        <f>IFERROR((L1304-K1304),"")</f>
        <v/>
      </c>
      <c r="G1304" s="5">
        <f>G1283</f>
        <v>10</v>
      </c>
      <c r="H1304" s="39">
        <f>ROUNDUP(SUMPRODUCT(B1305:B1305,C1305:C1305)/150,2)</f>
        <v>4.2699999999999996</v>
      </c>
      <c r="I1304" s="34">
        <f t="shared" si="2101"/>
        <v>24</v>
      </c>
      <c r="J1304" s="78" t="str">
        <f>IFERROR(VLOOKUP(C1304,[2]Sheet1!$D:$J,7,0),"")</f>
        <v/>
      </c>
      <c r="K1304" s="80" t="str">
        <f t="shared" si="2102"/>
        <v/>
      </c>
      <c r="L1304" s="7">
        <f t="shared" si="2103"/>
        <v>42.699999999999996</v>
      </c>
      <c r="M1304" s="8" t="str">
        <f t="shared" si="2104"/>
        <v/>
      </c>
      <c r="N1304" s="57" t="str">
        <f>IFERROR((K1304/H1304),"")</f>
        <v/>
      </c>
      <c r="P1304" s="1"/>
      <c r="Q1304" s="1">
        <v>17140</v>
      </c>
      <c r="R1304" s="1"/>
      <c r="S1304" s="41">
        <f t="shared" si="2079"/>
        <v>6</v>
      </c>
      <c r="T1304" s="1">
        <v>4</v>
      </c>
      <c r="U1304" s="173"/>
      <c r="V1304" s="190">
        <v>1</v>
      </c>
      <c r="W1304" s="190"/>
      <c r="X1304" s="183">
        <v>1</v>
      </c>
      <c r="Y1304" s="42"/>
      <c r="AA1304" s="206">
        <f t="shared" si="2114"/>
        <v>1.0674999999999999</v>
      </c>
    </row>
    <row r="1305" spans="1:32" ns3:dyDescent="0.3">
      <c r="A1305" s="43" t="s">
        <v>494</v>
      </c>
      <c r="B1305" s="11">
        <f>ROUNDUP(HLOOKUP(A1305,'야채 계산기'!$2:$3,2,0),0)</f>
        <v>640</v>
      </c>
      <c r="C1305" s="164">
        <v>1</v>
      </c>
      <c r="D1305" s="166" t="str">
        <f t="shared" ref="D1305" si="2139">IFERROR((F1305/E1305),"")</f>
        <v/>
      </c>
      <c r="E1305" s="4"/>
      <c r="F1305" s="3"/>
      <c r="G1305" s="5"/>
      <c r="H1305" s="38"/>
      <c r="I1305" s="34">
        <f t="shared" si="2101"/>
        <v>0</v>
      </c>
      <c r="J1305" s="78" t="str">
        <f>IFERROR(VLOOKUP(C1305,[2]Sheet1!$D:$J,7,0),"")</f>
        <v/>
      </c>
      <c r="K1305" s="80" t="str">
        <f t="shared" si="2102"/>
        <v/>
      </c>
      <c r="L1305" s="7">
        <f t="shared" si="2103"/>
        <v>0</v>
      </c>
      <c r="M1305" s="8" t="str">
        <f t="shared" si="2104"/>
        <v/>
      </c>
      <c r="N1305" s="57" t="str">
        <f t="shared" ref="N1305" si="2140">IFERROR((K1305/H1305),"")</f>
        <v/>
      </c>
      <c r="O1305" s="9"/>
      <c r="P1305" s="10"/>
      <c r="Q1305" s="10"/>
      <c r="R1305" s="10">
        <f t="shared" ref="R1305" si="2141">O1305*P1305*Q1305</f>
        <v>0</v>
      </c>
      <c r="S1305" s="41">
        <f t="shared" si="2079"/>
        <v>0</v>
      </c>
      <c r="V1305" s="190"/>
      <c r="W1305" s="190"/>
      <c r="Y1305" s="42"/>
      <c r="Z1305" s="140"/>
      <c r="AA1305" s="206" t="str">
        <f t="shared" si="2114"/>
        <v/>
      </c>
      <c r="AB1305"/>
      <c r="AC1305"/>
      <c r="AD1305"/>
      <c r="AE1305"/>
      <c r="AF1305"/>
    </row>
    <row r="1306" spans="1:32" ns3:dyDescent="0.3">
      <c r="A1306" s="2"/>
      <c r="B1306" s="11"/>
      <c r="C1306" s="164" t="s">
        <v>717</v>
      </c>
      <c r="D1306" s="166" t="str">
        <f>IFERROR((F1306/E1306),"")</f>
        <v/>
      </c>
      <c r="E1306" s="4">
        <v>6</v>
      </c>
      <c r="F1306" s="3" t="str">
        <f>IFERROR((L1306-K1306),"")</f>
        <v/>
      </c>
      <c r="G1306" s="5">
        <f>G1304</f>
        <v>10</v>
      </c>
      <c r="H1306" s="39">
        <f>ROUNDUP(SUMPRODUCT(B1307:B1307,C1307:C1307)/100,2)</f>
        <v>22</v>
      </c>
      <c r="I1306" s="34">
        <f t="shared" si="2101"/>
        <v>150</v>
      </c>
      <c r="J1306" s="78" t="str">
        <f>IFERROR(VLOOKUP(C1306,[2]Sheet1!$D:$J,7,0),"")</f>
        <v/>
      </c>
      <c r="K1306" s="80" t="str">
        <f t="shared" si="2102"/>
        <v/>
      </c>
      <c r="L1306" s="7">
        <f t="shared" si="2103"/>
        <v>220</v>
      </c>
      <c r="M1306" s="8" t="str">
        <f>IFERROR(K1306-L1306,"")</f>
        <v/>
      </c>
      <c r="N1306" s="57" t="str">
        <f>IFERROR((K1306/H1306),"")</f>
        <v/>
      </c>
      <c r="P1306" s="1"/>
      <c r="Q1306" s="1">
        <v>14914</v>
      </c>
      <c r="R1306" s="1"/>
      <c r="S1306" s="41">
        <f t="shared" si="2079"/>
        <v>25</v>
      </c>
      <c r="T1306" s="1">
        <v>9</v>
      </c>
      <c r="U1306" s="173"/>
      <c r="V1306" s="190">
        <v>8</v>
      </c>
      <c r="W1306" s="190"/>
      <c r="X1306" s="183">
        <v>8</v>
      </c>
      <c r="Y1306" s="42"/>
      <c r="AA1306" s="206">
        <f t="shared" si="2114"/>
        <v>3.666666666666667</v>
      </c>
    </row>
    <row r="1307" spans="1:32" ns3:dyDescent="0.3">
      <c r="A1307" s="43" t="s">
        <v>762</v>
      </c>
      <c r="B1307" s="11">
        <f>ROUNDUP(HLOOKUP(A1307,'야채 계산기'!$2:$3,2,0),0)</f>
        <v>2200</v>
      </c>
      <c r="C1307" s="164">
        <v>1</v>
      </c>
      <c r="D1307" s="166" t="str">
        <f t="shared" ref="D1307" si="2142">IFERROR((F1307/E1307),"")</f>
        <v/>
      </c>
      <c r="E1307" s="4"/>
      <c r="F1307" s="3"/>
      <c r="G1307" s="5"/>
      <c r="H1307" s="38"/>
      <c r="I1307" s="34">
        <f t="shared" si="2101"/>
        <v>0</v>
      </c>
      <c r="J1307" s="78" t="str">
        <f>IFERROR(VLOOKUP(C1307,[2]Sheet1!$D:$J,7,0),"")</f>
        <v/>
      </c>
      <c r="K1307" s="80" t="str">
        <f t="shared" si="2102"/>
        <v/>
      </c>
      <c r="L1307" s="7">
        <f t="shared" si="2103"/>
        <v>0</v>
      </c>
      <c r="M1307" s="8" t="str">
        <f t="shared" si="2104"/>
        <v/>
      </c>
      <c r="N1307" s="57" t="str">
        <f t="shared" ref="N1307" si="2143">IFERROR((K1307/H1307),"")</f>
        <v/>
      </c>
      <c r="O1307" s="9"/>
      <c r="P1307" s="10"/>
      <c r="Q1307" s="10"/>
      <c r="R1307" s="10">
        <f t="shared" ref="R1307" si="2144">O1307*P1307*Q1307</f>
        <v>0</v>
      </c>
      <c r="S1307" s="41">
        <f t="shared" si="2079"/>
        <v>0</v>
      </c>
      <c r="V1307" s="190"/>
      <c r="W1307" s="190"/>
      <c r="Y1307" s="42"/>
      <c r="Z1307" s="140"/>
      <c r="AA1307" s="206" t="str">
        <f t="shared" si="2114"/>
        <v/>
      </c>
      <c r="AB1307"/>
      <c r="AC1307"/>
      <c r="AD1307"/>
      <c r="AE1307"/>
      <c r="AF1307"/>
    </row>
    <row r="1308" spans="1:32" ns3:dyDescent="0.3">
      <c r="A1308" s="2"/>
      <c r="B1308" s="11"/>
      <c r="C1308" s="164" t="s">
        <v>435</v>
      </c>
      <c r="D1308" s="166" t="str">
        <f>IFERROR((F1308/E1308),"")</f>
        <v/>
      </c>
      <c r="E1308" s="4">
        <v>4</v>
      </c>
      <c r="F1308" s="3" t="str">
        <f>IFERROR((L1308-K1308),"")</f>
        <v/>
      </c>
      <c r="G1308" s="5">
        <f>G1306</f>
        <v>10</v>
      </c>
      <c r="H1308" s="39">
        <f>ROUNDUP(SUMPRODUCT(B1309:B1309,C1309:C1309)/150,2)</f>
        <v>14.67</v>
      </c>
      <c r="I1308" s="34">
        <f t="shared" si="2014"/>
        <v>100</v>
      </c>
      <c r="J1308" s="78" t="str">
        <f>IFERROR(VLOOKUP(C1308,[2]Sheet1!$D:$J,7,0),"")</f>
        <v/>
      </c>
      <c r="K1308" s="80" t="str">
        <f t="shared" si="2080"/>
        <v/>
      </c>
      <c r="L1308" s="7">
        <f t="shared" si="2015"/>
        <v>146.69999999999999</v>
      </c>
      <c r="M1308" s="8" t="str">
        <f t="shared" si="2016"/>
        <v/>
      </c>
      <c r="N1308" s="57" t="str">
        <f>IFERROR((K1308/H1308),"")</f>
        <v/>
      </c>
      <c r="P1308" s="1"/>
      <c r="Q1308" s="1">
        <v>19232</v>
      </c>
      <c r="R1308" s="1"/>
      <c r="S1308" s="41">
        <f t="shared" si="2079"/>
        <v>25</v>
      </c>
      <c r="T1308" s="1">
        <v>9</v>
      </c>
      <c r="U1308" s="173"/>
      <c r="V1308" s="190">
        <v>8</v>
      </c>
      <c r="W1308" s="190"/>
      <c r="X1308" s="183">
        <v>8</v>
      </c>
      <c r="Y1308" s="42"/>
      <c r="AA1308" s="206">
        <f t="shared" si="2114"/>
        <v>3.6675</v>
      </c>
    </row>
    <row r="1309" spans="1:32" ns3:dyDescent="0.3">
      <c r="A1309" s="43" t="s">
        <v>763</v>
      </c>
      <c r="B1309" s="11">
        <f>ROUNDUP(HLOOKUP(A1309,'야채 계산기'!$2:$3,2,0),0)</f>
        <v>2200</v>
      </c>
      <c r="C1309" s="164">
        <v>1</v>
      </c>
      <c r="D1309" s="166" t="str">
        <f t="shared" ref="D1309" si="2145">IFERROR((F1309/E1309),"")</f>
        <v/>
      </c>
      <c r="E1309" s="4"/>
      <c r="F1309" s="3"/>
      <c r="G1309" s="5"/>
      <c r="H1309" s="38"/>
      <c r="I1309" s="34">
        <f t="shared" si="2014"/>
        <v>0</v>
      </c>
      <c r="J1309" s="78" t="str">
        <f>IFERROR(VLOOKUP(C1309,[2]Sheet1!$D:$J,7,0),"")</f>
        <v/>
      </c>
      <c r="K1309" s="80" t="str">
        <f t="shared" si="2080"/>
        <v/>
      </c>
      <c r="L1309" s="7">
        <f t="shared" si="2015"/>
        <v>0</v>
      </c>
      <c r="M1309" s="8" t="str">
        <f t="shared" si="2016"/>
        <v/>
      </c>
      <c r="N1309" s="57" t="str">
        <f t="shared" ref="N1309" si="2146">IFERROR((K1309/H1309),"")</f>
        <v/>
      </c>
      <c r="O1309" s="9"/>
      <c r="P1309" s="10"/>
      <c r="Q1309" s="10"/>
      <c r="R1309" s="10">
        <f t="shared" ref="R1309" si="2147">O1309*P1309*Q1309</f>
        <v>0</v>
      </c>
      <c r="S1309" s="41">
        <f t="shared" si="2079"/>
        <v>0</v>
      </c>
      <c r="V1309" s="190"/>
      <c r="W1309" s="190"/>
      <c r="Y1309" s="42"/>
      <c r="Z1309" s="140"/>
      <c r="AA1309" s="206" t="str">
        <f t="shared" si="2114"/>
        <v/>
      </c>
      <c r="AB1309"/>
      <c r="AC1309"/>
      <c r="AD1309"/>
      <c r="AE1309"/>
      <c r="AF1309"/>
    </row>
    <row r="1310" spans="1:32" hidden="1" ns3:dyDescent="0.3">
      <c r="A1310" s="2"/>
      <c r="B1310" s="11" t="e">
        <f>ROUNDUP(HLOOKUP(A1310,'야채 계산기'!$2:$3,2,0),0)</f>
        <v>#N/A</v>
      </c>
      <c r="C1310" s="236" t="s">
        <v>524</v>
      </c>
      <c r="D1310" s="166" t="str">
        <f>IFERROR((F1310/E1310),"")</f>
        <v/>
      </c>
      <c r="E1310" s="4">
        <v>4</v>
      </c>
      <c r="F1310" s="3" t="str">
        <f>IFERROR((L1310-K1310),"")</f>
        <v/>
      </c>
      <c r="G1310" s="5">
        <f>G1308</f>
        <v>10</v>
      </c>
      <c r="H1310" s="39" t="e">
        <f>ROUNDUP(SUMPRODUCT(B1311:B1312,C1311:C1312)/100,2)</f>
        <v>#N/A</v>
      </c>
      <c r="I1310" s="34">
        <f t="shared" si="2014"/>
        <v>0</v>
      </c>
      <c r="J1310" s="78" t="str">
        <f>IFERROR(VLOOKUP(C1310,[2]Sheet1!$D:$J,7,0),"")</f>
        <v/>
      </c>
      <c r="K1310" s="80" t="str">
        <f t="shared" si="2080"/>
        <v/>
      </c>
      <c r="L1310" s="7" t="str">
        <f t="shared" si="2015"/>
        <v/>
      </c>
      <c r="M1310" s="8" t="str">
        <f t="shared" si="2016"/>
        <v/>
      </c>
      <c r="N1310" s="57" t="str">
        <f>IFERROR((K1310/H1310),"")</f>
        <v/>
      </c>
      <c r="P1310" s="1"/>
      <c r="Q1310" s="1">
        <v>16400</v>
      </c>
      <c r="R1310" s="1"/>
      <c r="S1310" s="41">
        <f t="shared" si="2079"/>
        <v>0</v>
      </c>
      <c r="U1310" s="173"/>
      <c r="V1310" s="190"/>
      <c r="W1310" s="190"/>
      <c r="X1310" s="183"/>
      <c r="Y1310" s="42"/>
      <c r="AA1310" s="206" t="str">
        <f t="shared" si="2114"/>
        <v/>
      </c>
    </row>
    <row r="1311" spans="1:32" hidden="1" ns3:dyDescent="0.3">
      <c r="A1311" s="43" t="s">
        <v>504</v>
      </c>
      <c r="B1311" s="11" t="e">
        <f>ROUNDUP(HLOOKUP(A1311,'야채 계산기'!$2:$3,2,0),0)</f>
        <v>#N/A</v>
      </c>
      <c r="C1311" s="164">
        <v>1</v>
      </c>
      <c r="D1311" s="166" t="str">
        <f t="shared" ref="D1311" si="2148">IFERROR((F1311/E1311),"")</f>
        <v/>
      </c>
      <c r="E1311" s="4"/>
      <c r="F1311" s="3"/>
      <c r="G1311" s="5"/>
      <c r="H1311" s="38"/>
      <c r="I1311" s="34">
        <f t="shared" ref="I1311" si="2149">IFERROR((S1311*E1311),"")</f>
        <v>0</v>
      </c>
      <c r="J1311" s="78" t="str">
        <f>IFERROR(VLOOKUP(C1311,[2]Sheet1!$D:$J,7,0),"")</f>
        <v/>
      </c>
      <c r="K1311" s="80" t="str">
        <f t="shared" ref="K1311" si="2150">IFERROR((I1311+J1311),"")</f>
        <v/>
      </c>
      <c r="L1311" s="7">
        <f t="shared" ref="L1311" si="2151">IFERROR((G1311*H1311),"")</f>
        <v>0</v>
      </c>
      <c r="M1311" s="8" t="str">
        <f t="shared" ref="M1311" si="2152">IFERROR(K1311-L1311,"")</f>
        <v/>
      </c>
      <c r="N1311" s="57" t="str">
        <f t="shared" ref="N1311" si="2153">IFERROR((K1311/H1311),"")</f>
        <v/>
      </c>
      <c r="O1311" s="9"/>
      <c r="P1311" s="10"/>
      <c r="Q1311" s="10"/>
      <c r="R1311" s="10">
        <f t="shared" ref="R1311" si="2154">O1311*P1311*Q1311</f>
        <v>0</v>
      </c>
      <c r="S1311" s="41">
        <f t="shared" si="2079"/>
        <v>0</v>
      </c>
      <c r="V1311" s="190"/>
      <c r="W1311" s="190"/>
      <c r="Y1311" s="42"/>
      <c r="Z1311" s="140"/>
      <c r="AA1311" s="206" t="str">
        <f t="shared" si="2114"/>
        <v/>
      </c>
      <c r="AB1311"/>
      <c r="AC1311"/>
      <c r="AD1311"/>
      <c r="AE1311"/>
      <c r="AF1311"/>
    </row>
    <row r="1312" spans="1:32" hidden="1" ns3:dyDescent="0.3">
      <c r="A1312" s="242" t="s">
        <v>557</v>
      </c>
      <c r="B1312" s="11" t="e">
        <f>ROUNDUP(HLOOKUP(A1312,'야채 계산기'!$2:$3,2,0),0)</f>
        <v>#N/A</v>
      </c>
      <c r="C1312" s="164">
        <v>1</v>
      </c>
      <c r="D1312" s="166" t="str">
        <f t="shared" ref="D1312" si="2155">IFERROR((F1312/E1312),"")</f>
        <v/>
      </c>
      <c r="E1312" s="4"/>
      <c r="F1312" s="3"/>
      <c r="G1312" s="5"/>
      <c r="H1312" s="38"/>
      <c r="I1312" s="34">
        <f t="shared" si="2014"/>
        <v>0</v>
      </c>
      <c r="J1312" s="78" t="str">
        <f>IFERROR(VLOOKUP(C1312,[2]Sheet1!$D:$J,7,0),"")</f>
        <v/>
      </c>
      <c r="K1312" s="80" t="str">
        <f t="shared" si="2080"/>
        <v/>
      </c>
      <c r="L1312" s="7">
        <f t="shared" si="2015"/>
        <v>0</v>
      </c>
      <c r="M1312" s="8" t="str">
        <f t="shared" si="2016"/>
        <v/>
      </c>
      <c r="N1312" s="57" t="str">
        <f t="shared" ref="N1312" si="2156">IFERROR((K1312/H1312),"")</f>
        <v/>
      </c>
      <c r="O1312" s="9"/>
      <c r="P1312" s="10"/>
      <c r="Q1312" s="10"/>
      <c r="R1312" s="10">
        <f t="shared" ref="R1312" si="2157">O1312*P1312*Q1312</f>
        <v>0</v>
      </c>
      <c r="S1312" s="41">
        <f t="shared" si="2079"/>
        <v>0</v>
      </c>
      <c r="V1312" s="190"/>
      <c r="W1312" s="190"/>
      <c r="Y1312" s="42"/>
      <c r="Z1312" s="140"/>
      <c r="AA1312" s="206" t="str">
        <f t="shared" si="2114"/>
        <v/>
      </c>
      <c r="AB1312"/>
      <c r="AC1312"/>
      <c r="AD1312"/>
      <c r="AE1312"/>
      <c r="AF1312"/>
    </row>
    <row r="1313" spans="1:32" hidden="1" ns3:dyDescent="0.3">
      <c r="A1313" s="2"/>
      <c r="B1313" s="11" t="e">
        <f>ROUNDUP(HLOOKUP(A1313,'야채 계산기'!$2:$3,2,0),0)</f>
        <v>#N/A</v>
      </c>
      <c r="C1313" s="236" t="s">
        <v>525</v>
      </c>
      <c r="D1313" s="166" t="str">
        <f>IFERROR((F1313/E1313),"")</f>
        <v/>
      </c>
      <c r="E1313" s="4">
        <v>4</v>
      </c>
      <c r="F1313" s="3" t="str">
        <f>IFERROR((L1313-K1313),"")</f>
        <v/>
      </c>
      <c r="G1313" s="5">
        <f>G1310</f>
        <v>10</v>
      </c>
      <c r="H1313" s="39" t="e">
        <f>ROUNDUP(SUMPRODUCT(B1314:B1315,C1314:C1315)/100,2)</f>
        <v>#N/A</v>
      </c>
      <c r="I1313" s="34">
        <f t="shared" si="2014"/>
        <v>0</v>
      </c>
      <c r="J1313" s="78" t="str">
        <f>IFERROR(VLOOKUP(C1313,[2]Sheet1!$D:$J,7,0),"")</f>
        <v/>
      </c>
      <c r="K1313" s="80" t="str">
        <f t="shared" si="2080"/>
        <v/>
      </c>
      <c r="L1313" s="7" t="str">
        <f t="shared" si="2015"/>
        <v/>
      </c>
      <c r="M1313" s="8" t="str">
        <f t="shared" si="2016"/>
        <v/>
      </c>
      <c r="N1313" s="57" t="str">
        <f>IFERROR((K1313/H1313),"")</f>
        <v/>
      </c>
      <c r="P1313" s="1"/>
      <c r="Q1313" s="1">
        <v>8400</v>
      </c>
      <c r="R1313" s="1"/>
      <c r="S1313" s="41">
        <f t="shared" si="2079"/>
        <v>0</v>
      </c>
      <c r="U1313" s="173"/>
      <c r="V1313" s="190"/>
      <c r="W1313" s="190"/>
      <c r="X1313" s="183"/>
      <c r="Y1313" s="42"/>
      <c r="AA1313" s="206" t="str">
        <f t="shared" si="2114"/>
        <v/>
      </c>
    </row>
    <row r="1314" spans="1:32" ht="16.5" hidden="1" customHeight="1" ns3:dyDescent="0.3">
      <c r="A1314" s="43" t="s">
        <v>504</v>
      </c>
      <c r="B1314" s="11" t="e">
        <f>ROUNDUP(HLOOKUP(A1314,'야채 계산기'!$2:$3,2,0),0)</f>
        <v>#N/A</v>
      </c>
      <c r="C1314" s="164">
        <v>1</v>
      </c>
      <c r="D1314" s="166" t="str">
        <f t="shared" ref="D1314" si="2158">IFERROR((F1314/E1314),"")</f>
        <v/>
      </c>
      <c r="E1314" s="4"/>
      <c r="F1314" s="3"/>
      <c r="G1314" s="5"/>
      <c r="H1314" s="38"/>
      <c r="I1314" s="34">
        <f t="shared" ref="I1314" si="2159">IFERROR((S1314*E1314),"")</f>
        <v>0</v>
      </c>
      <c r="J1314" s="78" t="str">
        <f>IFERROR(VLOOKUP(C1314,[2]Sheet1!$D:$J,7,0),"")</f>
        <v/>
      </c>
      <c r="K1314" s="80" t="str">
        <f t="shared" ref="K1314" si="2160">IFERROR((I1314+J1314),"")</f>
        <v/>
      </c>
      <c r="L1314" s="7">
        <f t="shared" ref="L1314" si="2161">IFERROR((G1314*H1314),"")</f>
        <v>0</v>
      </c>
      <c r="M1314" s="8" t="str">
        <f t="shared" ref="M1314" si="2162">IFERROR(K1314-L1314,"")</f>
        <v/>
      </c>
      <c r="N1314" s="57" t="str">
        <f t="shared" ref="N1314" si="2163">IFERROR((K1314/H1314),"")</f>
        <v/>
      </c>
      <c r="O1314" s="9"/>
      <c r="P1314" s="10"/>
      <c r="Q1314" s="10"/>
      <c r="R1314" s="10">
        <f t="shared" ref="R1314" si="2164">O1314*P1314*Q1314</f>
        <v>0</v>
      </c>
      <c r="S1314" s="41">
        <f t="shared" si="2079"/>
        <v>0</v>
      </c>
      <c r="V1314" s="190"/>
      <c r="W1314" s="190"/>
      <c r="Y1314" s="42"/>
      <c r="Z1314" s="140"/>
      <c r="AA1314" s="206" t="str">
        <f t="shared" si="2114"/>
        <v/>
      </c>
      <c r="AB1314"/>
      <c r="AC1314"/>
      <c r="AD1314"/>
      <c r="AE1314"/>
      <c r="AF1314"/>
    </row>
    <row r="1315" spans="1:32" hidden="1" ns3:dyDescent="0.3">
      <c r="A1315" s="242" t="s">
        <v>557</v>
      </c>
      <c r="B1315" s="11" t="e">
        <f>ROUNDUP(HLOOKUP(A1315,'야채 계산기'!$2:$3,2,0),0)</f>
        <v>#N/A</v>
      </c>
      <c r="C1315" s="164">
        <v>1</v>
      </c>
      <c r="D1315" s="166" t="str">
        <f t="shared" ref="D1315" si="2165">IFERROR((F1315/E1315),"")</f>
        <v/>
      </c>
      <c r="E1315" s="4"/>
      <c r="F1315" s="3"/>
      <c r="G1315" s="5"/>
      <c r="H1315" s="38"/>
      <c r="I1315" s="34">
        <f t="shared" si="2014"/>
        <v>0</v>
      </c>
      <c r="J1315" s="78" t="str">
        <f>IFERROR(VLOOKUP(C1315,[2]Sheet1!$D:$J,7,0),"")</f>
        <v/>
      </c>
      <c r="K1315" s="80" t="str">
        <f t="shared" si="2080"/>
        <v/>
      </c>
      <c r="L1315" s="7">
        <f t="shared" si="2015"/>
        <v>0</v>
      </c>
      <c r="M1315" s="8" t="str">
        <f t="shared" si="2016"/>
        <v/>
      </c>
      <c r="N1315" s="57" t="str">
        <f t="shared" ref="N1315" si="2166">IFERROR((K1315/H1315),"")</f>
        <v/>
      </c>
      <c r="O1315" s="9"/>
      <c r="P1315" s="10"/>
      <c r="Q1315" s="10"/>
      <c r="R1315" s="10">
        <f t="shared" ref="R1315" si="2167">O1315*P1315*Q1315</f>
        <v>0</v>
      </c>
      <c r="S1315" s="41">
        <f t="shared" si="2079"/>
        <v>0</v>
      </c>
      <c r="V1315" s="190"/>
      <c r="W1315" s="190"/>
      <c r="Y1315" s="42"/>
      <c r="Z1315" s="140"/>
      <c r="AA1315" s="206" t="str">
        <f t="shared" si="2114"/>
        <v/>
      </c>
      <c r="AB1315"/>
      <c r="AC1315"/>
      <c r="AD1315"/>
      <c r="AE1315"/>
      <c r="AF1315"/>
    </row>
    <row r="1316" spans="1:32" hidden="1" ns3:dyDescent="0.3">
      <c r="A1316" s="2"/>
      <c r="B1316" s="11" t="e">
        <f>ROUNDUP(HLOOKUP(A1316,'야채 계산기'!$2:$3,2,0),0)</f>
        <v>#N/A</v>
      </c>
      <c r="C1316" s="236" t="s">
        <v>526</v>
      </c>
      <c r="D1316" s="166" t="str">
        <f>IFERROR((F1316/E1316),"")</f>
        <v/>
      </c>
      <c r="E1316" s="4">
        <v>4</v>
      </c>
      <c r="F1316" s="3" t="str">
        <f>IFERROR((L1316-K1316),"")</f>
        <v/>
      </c>
      <c r="G1316" s="5">
        <f>G1313</f>
        <v>10</v>
      </c>
      <c r="H1316" s="39" t="e">
        <f>ROUNDUP(SUMPRODUCT(B1317:B1318,C1317:C1318)/200,2)</f>
        <v>#N/A</v>
      </c>
      <c r="I1316" s="34">
        <f t="shared" ref="I1316:I1320" si="2168">IFERROR((S1316*E1316),"")</f>
        <v>0</v>
      </c>
      <c r="J1316" s="78" t="str">
        <f>IFERROR(VLOOKUP(C1316,[2]Sheet1!$D:$J,7,0),"")</f>
        <v/>
      </c>
      <c r="K1316" s="80" t="str">
        <f t="shared" ref="K1316:K1320" si="2169">IFERROR((I1316+J1316),"")</f>
        <v/>
      </c>
      <c r="L1316" s="7" t="str">
        <f t="shared" ref="L1316:L1320" si="2170">IFERROR((G1316*H1316),"")</f>
        <v/>
      </c>
      <c r="M1316" s="8" t="str">
        <f t="shared" ref="M1316:M1320" si="2171">IFERROR(K1316-L1316,"")</f>
        <v/>
      </c>
      <c r="N1316" s="57" t="str">
        <f>IFERROR((K1316/H1316),"")</f>
        <v/>
      </c>
      <c r="P1316" s="1"/>
      <c r="Q1316" s="1">
        <v>17800</v>
      </c>
      <c r="R1316" s="1"/>
      <c r="S1316" s="41">
        <f t="shared" si="2079"/>
        <v>0</v>
      </c>
      <c r="U1316" s="173"/>
      <c r="V1316" s="190"/>
      <c r="W1316" s="190"/>
      <c r="X1316" s="183"/>
      <c r="Y1316" s="42"/>
      <c r="AA1316" s="206" t="str">
        <f t="shared" si="2114"/>
        <v/>
      </c>
    </row>
    <row r="1317" spans="1:32" hidden="1" ns3:dyDescent="0.3">
      <c r="A1317" s="43" t="s">
        <v>504</v>
      </c>
      <c r="B1317" s="11" t="e">
        <f>ROUNDUP(HLOOKUP(A1317,'야채 계산기'!$2:$3,2,0),0)</f>
        <v>#N/A</v>
      </c>
      <c r="C1317" s="164">
        <v>1</v>
      </c>
      <c r="D1317" s="166" t="str">
        <f t="shared" ref="D1317" si="2172">IFERROR((F1317/E1317),"")</f>
        <v/>
      </c>
      <c r="E1317" s="4"/>
      <c r="F1317" s="3"/>
      <c r="G1317" s="5"/>
      <c r="H1317" s="38"/>
      <c r="I1317" s="34">
        <f t="shared" ref="I1317" si="2173">IFERROR((S1317*E1317),"")</f>
        <v>0</v>
      </c>
      <c r="J1317" s="78" t="str">
        <f>IFERROR(VLOOKUP(C1317,[2]Sheet1!$D:$J,7,0),"")</f>
        <v/>
      </c>
      <c r="K1317" s="80" t="str">
        <f t="shared" ref="K1317" si="2174">IFERROR((I1317+J1317),"")</f>
        <v/>
      </c>
      <c r="L1317" s="7">
        <f t="shared" ref="L1317" si="2175">IFERROR((G1317*H1317),"")</f>
        <v>0</v>
      </c>
      <c r="M1317" s="8" t="str">
        <f t="shared" ref="M1317" si="2176">IFERROR(K1317-L1317,"")</f>
        <v/>
      </c>
      <c r="N1317" s="57" t="str">
        <f t="shared" ref="N1317" si="2177">IFERROR((K1317/H1317),"")</f>
        <v/>
      </c>
      <c r="O1317" s="9"/>
      <c r="P1317" s="10"/>
      <c r="Q1317" s="10"/>
      <c r="R1317" s="10">
        <f t="shared" ref="R1317" si="2178">O1317*P1317*Q1317</f>
        <v>0</v>
      </c>
      <c r="S1317" s="41">
        <f t="shared" si="2079"/>
        <v>0</v>
      </c>
      <c r="W1317" s="190"/>
      <c r="X1317" s="137"/>
      <c r="Y1317" s="42"/>
      <c r="Z1317" s="140"/>
      <c r="AA1317" s="206"/>
      <c r="AB1317"/>
      <c r="AC1317"/>
      <c r="AD1317"/>
      <c r="AE1317"/>
      <c r="AF1317"/>
    </row>
    <row r="1318" spans="1:32" hidden="1" ns3:dyDescent="0.3">
      <c r="A1318" s="242" t="s">
        <v>557</v>
      </c>
      <c r="B1318" s="11" t="e">
        <f>ROUNDUP(HLOOKUP(A1318,'야채 계산기'!$2:$3,2,0),0)</f>
        <v>#N/A</v>
      </c>
      <c r="C1318" s="164">
        <v>1</v>
      </c>
      <c r="D1318" s="166" t="str">
        <f t="shared" ref="D1318" si="2179">IFERROR((F1318/E1318),"")</f>
        <v/>
      </c>
      <c r="E1318" s="4"/>
      <c r="F1318" s="3"/>
      <c r="G1318" s="5"/>
      <c r="H1318" s="38"/>
      <c r="I1318" s="34">
        <f t="shared" si="2168"/>
        <v>0</v>
      </c>
      <c r="J1318" s="78" t="str">
        <f>IFERROR(VLOOKUP(C1318,[2]Sheet1!$D:$J,7,0),"")</f>
        <v/>
      </c>
      <c r="K1318" s="80" t="str">
        <f t="shared" si="2169"/>
        <v/>
      </c>
      <c r="L1318" s="7">
        <f t="shared" si="2170"/>
        <v>0</v>
      </c>
      <c r="M1318" s="8" t="str">
        <f t="shared" si="2171"/>
        <v/>
      </c>
      <c r="N1318" s="57" t="str">
        <f t="shared" ref="N1318" si="2180">IFERROR((K1318/H1318),"")</f>
        <v/>
      </c>
      <c r="O1318" s="9"/>
      <c r="P1318" s="10"/>
      <c r="Q1318" s="10"/>
      <c r="R1318" s="10">
        <f t="shared" ref="R1318" si="2181">O1318*P1318*Q1318</f>
        <v>0</v>
      </c>
      <c r="S1318" s="41">
        <f t="shared" si="2079"/>
        <v>0</v>
      </c>
      <c r="W1318" s="190"/>
      <c r="X1318" s="137"/>
      <c r="Y1318" s="42"/>
      <c r="Z1318" s="140"/>
      <c r="AA1318" s="206"/>
      <c r="AB1318"/>
      <c r="AC1318"/>
      <c r="AD1318"/>
      <c r="AE1318"/>
      <c r="AF1318"/>
    </row>
    <row r="1319" spans="1:32" hidden="1" ns3:dyDescent="0.3">
      <c r="A1319" s="2"/>
      <c r="B1319" s="11" t="e">
        <f>ROUNDUP(HLOOKUP(A1319,'야채 계산기'!$2:$3,2,0),0)</f>
        <v>#N/A</v>
      </c>
      <c r="C1319" s="262" t="s">
        <v>718</v>
      </c>
      <c r="D1319" s="166" t="str">
        <f>IFERROR((F1319/E1319),"")</f>
        <v/>
      </c>
      <c r="E1319" s="4">
        <v>8</v>
      </c>
      <c r="F1319" s="3" t="str">
        <f>IFERROR((L1319-K1319),"")</f>
        <v/>
      </c>
      <c r="G1319" s="5">
        <v>10</v>
      </c>
      <c r="H1319" s="39" t="e">
        <f>ROUNDUP(SUMPRODUCT(B1320:B1320,C1320:C1320)/100,2)</f>
        <v>#N/A</v>
      </c>
      <c r="I1319" s="34">
        <f t="shared" si="2168"/>
        <v>0</v>
      </c>
      <c r="J1319" s="78" t="str">
        <f>IFERROR(VLOOKUP(C1319,[2]Sheet1!$D:$J,7,0),"")</f>
        <v/>
      </c>
      <c r="K1319" s="80" t="str">
        <f t="shared" si="2169"/>
        <v/>
      </c>
      <c r="L1319" s="7" t="str">
        <f t="shared" si="2170"/>
        <v/>
      </c>
      <c r="M1319" s="8" t="str">
        <f t="shared" si="2171"/>
        <v/>
      </c>
      <c r="N1319" s="57" t="str">
        <f>IFERROR((K1319/H1319),"")</f>
        <v/>
      </c>
      <c r="P1319" s="1"/>
      <c r="Q1319" s="1"/>
      <c r="R1319" s="1"/>
      <c r="S1319" s="41">
        <f t="shared" si="2079"/>
        <v>0</v>
      </c>
      <c r="U1319" s="173"/>
      <c r="V1319" s="190"/>
      <c r="W1319" s="190"/>
      <c r="X1319" s="183"/>
      <c r="Y1319" s="42"/>
      <c r="AA1319" s="206" t="str">
        <f t="shared" ref="AA1319:AA1320" si="2182">IFERROR(H1319*7/E1319/7,"")</f>
        <v/>
      </c>
    </row>
    <row r="1320" spans="1:32" hidden="1" ns3:dyDescent="0.3">
      <c r="A1320" s="280" t="s">
        <v>697</v>
      </c>
      <c r="B1320" s="11" t="e">
        <f>ROUNDUP(HLOOKUP(A1320,'야채 계산기'!$2:$3,2,0),0)</f>
        <v>#N/A</v>
      </c>
      <c r="C1320" s="164">
        <v>1</v>
      </c>
      <c r="D1320" s="166" t="str">
        <f t="shared" ref="D1320" si="2183">IFERROR((F1320/E1320),"")</f>
        <v/>
      </c>
      <c r="E1320" s="4"/>
      <c r="F1320" s="3"/>
      <c r="G1320" s="5"/>
      <c r="H1320" s="38"/>
      <c r="I1320" s="34">
        <f t="shared" si="2168"/>
        <v>0</v>
      </c>
      <c r="J1320" s="78" t="str">
        <f>IFERROR(VLOOKUP(C1320,[2]Sheet1!$D:$J,7,0),"")</f>
        <v/>
      </c>
      <c r="K1320" s="80" t="str">
        <f t="shared" si="2169"/>
        <v/>
      </c>
      <c r="L1320" s="7">
        <f t="shared" si="2170"/>
        <v>0</v>
      </c>
      <c r="M1320" s="8" t="str">
        <f t="shared" si="2171"/>
        <v/>
      </c>
      <c r="N1320" s="57" t="str">
        <f t="shared" ref="N1320" si="2184">IFERROR((K1320/H1320),"")</f>
        <v/>
      </c>
      <c r="O1320" s="9"/>
      <c r="P1320" s="10"/>
      <c r="Q1320" s="10"/>
      <c r="R1320" s="10">
        <f t="shared" ref="R1320" si="2185">O1320*P1320*Q1320</f>
        <v>0</v>
      </c>
      <c r="S1320" s="41">
        <f t="shared" si="2079"/>
        <v>0</v>
      </c>
      <c r="V1320" s="190"/>
      <c r="W1320" s="190"/>
      <c r="Y1320" s="42"/>
      <c r="Z1320" s="140"/>
      <c r="AA1320" s="206" t="str">
        <f t="shared" si="2182"/>
        <v/>
      </c>
      <c r="AB1320"/>
      <c r="AC1320"/>
      <c r="AD1320"/>
      <c r="AE1320"/>
      <c r="AF1320"/>
    </row>
    <row r="1321" spans="1:32" hidden="1" ns3:dyDescent="0.3">
      <c r="A1321" s="2"/>
      <c r="B1321" s="11" t="e">
        <f>ROUNDUP(HLOOKUP(A1321,'야채 계산기'!$2:$3,2,0),0)</f>
        <v>#N/A</v>
      </c>
      <c r="C1321" s="262" t="s">
        <v>658</v>
      </c>
      <c r="D1321" s="166" t="str">
        <f>IFERROR((F1321/E1321),"")</f>
        <v/>
      </c>
      <c r="E1321" s="4">
        <v>4</v>
      </c>
      <c r="F1321" s="3" t="str">
        <f>IFERROR((L1321-K1321),"")</f>
        <v/>
      </c>
      <c r="G1321" s="5">
        <f>G1283</f>
        <v>10</v>
      </c>
      <c r="H1321" s="39">
        <f>ROUNDUP(SUMPRODUCT(B1322:B1322,C1322:C1322)/50,2)</f>
        <v>0</v>
      </c>
      <c r="I1321" s="34">
        <f t="shared" ref="I1321:I1324" si="2186">IFERROR((S1321*E1321),"")</f>
        <v>0</v>
      </c>
      <c r="J1321" s="78" t="str">
        <f>IFERROR(VLOOKUP(C1321,[2]Sheet1!$D:$J,7,0),"")</f>
        <v/>
      </c>
      <c r="K1321" s="80" t="str">
        <f t="shared" ref="K1321:K1324" si="2187">IFERROR((I1321+J1321),"")</f>
        <v/>
      </c>
      <c r="L1321" s="7">
        <f t="shared" ref="L1321:L1324" si="2188">IFERROR((G1321*H1321),"")</f>
        <v>0</v>
      </c>
      <c r="M1321" s="8" t="str">
        <f t="shared" ref="M1321:M1324" si="2189">IFERROR(K1321-L1321,"")</f>
        <v/>
      </c>
      <c r="N1321" s="57" t="str">
        <f>IFERROR((K1321/H1321),"")</f>
        <v/>
      </c>
      <c r="P1321" s="1"/>
      <c r="Q1321" s="1">
        <v>5436</v>
      </c>
      <c r="R1321" s="1"/>
      <c r="S1321" s="41">
        <f t="shared" ref="S1321:S1324" si="2190">SUM(Y1321,T1321:X1321)</f>
        <v>0</v>
      </c>
      <c r="U1321" s="173"/>
      <c r="V1321" s="190"/>
      <c r="W1321" s="190"/>
      <c r="X1321" s="183"/>
      <c r="Y1321" s="42"/>
      <c r="AA1321" s="206">
        <f t="shared" ref="AA1321:AA1324" si="2191">IFERROR(H1321*7/E1321/7,"")</f>
        <v>0</v>
      </c>
    </row>
    <row r="1322" spans="1:32" hidden="1" ns3:dyDescent="0.3">
      <c r="A1322" s="280" t="s">
        <v>691</v>
      </c>
      <c r="B1322" s="11">
        <f>ROUNDUP(HLOOKUP(A1322,'야채 계산기'!$2:$3,2,0),0)</f>
        <v>0</v>
      </c>
      <c r="C1322" s="164">
        <v>1</v>
      </c>
      <c r="D1322" s="166" t="str">
        <f t="shared" ref="D1322" si="2192">IFERROR((F1322/E1322),"")</f>
        <v/>
      </c>
      <c r="E1322" s="4"/>
      <c r="F1322" s="3"/>
      <c r="G1322" s="5"/>
      <c r="H1322" s="38"/>
      <c r="I1322" s="34">
        <f t="shared" si="2186"/>
        <v>0</v>
      </c>
      <c r="J1322" s="78" t="str">
        <f>IFERROR(VLOOKUP(C1322,[2]Sheet1!$D:$J,7,0),"")</f>
        <v/>
      </c>
      <c r="K1322" s="80" t="str">
        <f t="shared" si="2187"/>
        <v/>
      </c>
      <c r="L1322" s="7">
        <f t="shared" si="2188"/>
        <v>0</v>
      </c>
      <c r="M1322" s="8" t="str">
        <f t="shared" si="2189"/>
        <v/>
      </c>
      <c r="N1322" s="57" t="str">
        <f t="shared" ref="N1322" si="2193">IFERROR((K1322/H1322),"")</f>
        <v/>
      </c>
      <c r="O1322" s="9"/>
      <c r="P1322" s="10"/>
      <c r="Q1322" s="10"/>
      <c r="R1322" s="10">
        <f t="shared" ref="R1322" si="2194">O1322*P1322*Q1322</f>
        <v>0</v>
      </c>
      <c r="S1322" s="41">
        <f t="shared" si="2190"/>
        <v>0</v>
      </c>
      <c r="V1322" s="190"/>
      <c r="W1322" s="190"/>
      <c r="Y1322" s="42"/>
      <c r="Z1322" s="140"/>
      <c r="AA1322" s="206" t="str">
        <f t="shared" si="2191"/>
        <v/>
      </c>
      <c r="AB1322"/>
      <c r="AC1322"/>
      <c r="AD1322"/>
      <c r="AE1322"/>
      <c r="AF1322"/>
    </row>
    <row r="1323" spans="1:32" hidden="1" ns3:dyDescent="0.3">
      <c r="A1323" s="2"/>
      <c r="B1323" s="11" t="e">
        <f>ROUNDUP(HLOOKUP(A1323,'야채 계산기'!$2:$3,2,0),0)</f>
        <v>#N/A</v>
      </c>
      <c r="C1323" s="262" t="s">
        <v>659</v>
      </c>
      <c r="D1323" s="166" t="str">
        <f>IFERROR((F1323/E1323),"")</f>
        <v/>
      </c>
      <c r="E1323" s="4">
        <v>4</v>
      </c>
      <c r="F1323" s="3" t="str">
        <f>IFERROR((L1323-K1323),"")</f>
        <v/>
      </c>
      <c r="G1323" s="5">
        <f>G1283</f>
        <v>10</v>
      </c>
      <c r="H1323" s="39">
        <f>ROUNDUP(SUMPRODUCT(B1324:B1324,C1324:C1324)/50,2)</f>
        <v>0</v>
      </c>
      <c r="I1323" s="34">
        <f t="shared" si="2186"/>
        <v>0</v>
      </c>
      <c r="J1323" s="78" t="str">
        <f>IFERROR(VLOOKUP(C1323,[2]Sheet1!$D:$J,7,0),"")</f>
        <v/>
      </c>
      <c r="K1323" s="80" t="str">
        <f t="shared" si="2187"/>
        <v/>
      </c>
      <c r="L1323" s="7">
        <f t="shared" si="2188"/>
        <v>0</v>
      </c>
      <c r="M1323" s="8" t="str">
        <f t="shared" si="2189"/>
        <v/>
      </c>
      <c r="N1323" s="57" t="str">
        <f>IFERROR((K1323/H1323),"")</f>
        <v/>
      </c>
      <c r="P1323" s="1"/>
      <c r="Q1323" s="1">
        <v>6914</v>
      </c>
      <c r="R1323" s="1"/>
      <c r="S1323" s="41">
        <f t="shared" si="2190"/>
        <v>0</v>
      </c>
      <c r="U1323" s="173"/>
      <c r="V1323" s="190"/>
      <c r="W1323" s="190"/>
      <c r="X1323" s="183"/>
      <c r="Y1323" s="42"/>
      <c r="AA1323" s="206">
        <f t="shared" si="2191"/>
        <v>0</v>
      </c>
    </row>
    <row r="1324" spans="1:32" hidden="1" ns3:dyDescent="0.3">
      <c r="A1324" s="280" t="s">
        <v>691</v>
      </c>
      <c r="B1324" s="11">
        <f>ROUNDUP(HLOOKUP(A1324,'야채 계산기'!$2:$3,2,0),0)</f>
        <v>0</v>
      </c>
      <c r="C1324" s="164">
        <v>1</v>
      </c>
      <c r="D1324" s="166" t="str">
        <f t="shared" ref="D1324" si="2195">IFERROR((F1324/E1324),"")</f>
        <v/>
      </c>
      <c r="E1324" s="4"/>
      <c r="F1324" s="3"/>
      <c r="G1324" s="5"/>
      <c r="H1324" s="38"/>
      <c r="I1324" s="34">
        <f t="shared" si="2186"/>
        <v>0</v>
      </c>
      <c r="J1324" s="78" t="str">
        <f>IFERROR(VLOOKUP(C1324,[2]Sheet1!$D:$J,7,0),"")</f>
        <v/>
      </c>
      <c r="K1324" s="80" t="str">
        <f t="shared" si="2187"/>
        <v/>
      </c>
      <c r="L1324" s="7">
        <f t="shared" si="2188"/>
        <v>0</v>
      </c>
      <c r="M1324" s="8" t="str">
        <f t="shared" si="2189"/>
        <v/>
      </c>
      <c r="N1324" s="57" t="str">
        <f t="shared" ref="N1324" si="2196">IFERROR((K1324/H1324),"")</f>
        <v/>
      </c>
      <c r="O1324" s="9"/>
      <c r="P1324" s="10"/>
      <c r="Q1324" s="10"/>
      <c r="R1324" s="10">
        <f t="shared" ref="R1324" si="2197">O1324*P1324*Q1324</f>
        <v>0</v>
      </c>
      <c r="S1324" s="41">
        <f t="shared" si="2190"/>
        <v>0</v>
      </c>
      <c r="V1324" s="190"/>
      <c r="W1324" s="190"/>
      <c r="Y1324" s="42"/>
      <c r="Z1324" s="140"/>
      <c r="AA1324" s="206" t="str">
        <f t="shared" si="2191"/>
        <v/>
      </c>
      <c r="AB1324"/>
      <c r="AC1324"/>
      <c r="AD1324"/>
      <c r="AE1324"/>
      <c r="AF1324"/>
    </row>
    <row r="1325" spans="1:32" hidden="1" ns3:dyDescent="0.3">
      <c r="A1325" s="2"/>
      <c r="B1325" s="11" t="e">
        <f>ROUNDUP(HLOOKUP(A1325,'야채 계산기'!$2:$3,2,0),0)</f>
        <v>#N/A</v>
      </c>
      <c r="C1325" s="262" t="s">
        <v>660</v>
      </c>
      <c r="D1325" s="166" t="str">
        <f>IFERROR((F1325/E1325),"")</f>
        <v/>
      </c>
      <c r="E1325" s="4">
        <v>3</v>
      </c>
      <c r="F1325" s="3" t="str">
        <f>IFERROR((L1325-K1325),"")</f>
        <v/>
      </c>
      <c r="G1325" s="5">
        <v>10</v>
      </c>
      <c r="H1325" s="39">
        <f>ROUNDUP(SUMPRODUCT(B1326:B1326,C1326:C1326)/400,2)</f>
        <v>0</v>
      </c>
      <c r="I1325" s="34">
        <f t="shared" ref="I1325:I1326" si="2198">IFERROR((S1325*E1325),"")</f>
        <v>0</v>
      </c>
      <c r="J1325" s="78" t="str">
        <f>IFERROR(VLOOKUP(C1325,[2]Sheet1!$D:$J,7,0),"")</f>
        <v/>
      </c>
      <c r="K1325" s="80" t="str">
        <f t="shared" ref="K1325:K1326" si="2199">IFERROR((I1325+J1325),"")</f>
        <v/>
      </c>
      <c r="L1325" s="7">
        <f t="shared" ref="L1325:L1326" si="2200">IFERROR((G1325*H1325),"")</f>
        <v>0</v>
      </c>
      <c r="M1325" s="8" t="str">
        <f t="shared" ref="M1325:M1326" si="2201">IFERROR(K1325-L1325,"")</f>
        <v/>
      </c>
      <c r="N1325" s="57" t="str">
        <f>IFERROR((K1325/H1325),"")</f>
        <v/>
      </c>
      <c r="P1325" s="1"/>
      <c r="Q1325" s="1">
        <v>23520</v>
      </c>
      <c r="R1325" s="1"/>
      <c r="S1325" s="41">
        <f t="shared" ref="S1325:S1326" si="2202">SUM(Y1325,T1325:X1325)</f>
        <v>0</v>
      </c>
      <c r="U1325" s="173"/>
      <c r="V1325" s="190"/>
      <c r="W1325" s="190"/>
      <c r="X1325" s="183"/>
      <c r="Y1325" s="42"/>
      <c r="AA1325" s="206">
        <f t="shared" ref="AA1325:AA1326" si="2203">IFERROR(H1325*7/E1325/7,"")</f>
        <v>0</v>
      </c>
    </row>
    <row r="1326" spans="1:32" hidden="1" ns3:dyDescent="0.3">
      <c r="A1326" s="280" t="s">
        <v>654</v>
      </c>
      <c r="B1326" s="11">
        <f>ROUNDUP(HLOOKUP(A1326,'야채 계산기'!$2:$3,2,0),0)</f>
        <v>0</v>
      </c>
      <c r="C1326" s="164">
        <v>1</v>
      </c>
      <c r="D1326" s="166" t="str">
        <f t="shared" ref="D1326" si="2204">IFERROR((F1326/E1326),"")</f>
        <v/>
      </c>
      <c r="E1326" s="4"/>
      <c r="F1326" s="3"/>
      <c r="G1326" s="5"/>
      <c r="H1326" s="38"/>
      <c r="I1326" s="34">
        <f t="shared" si="2198"/>
        <v>0</v>
      </c>
      <c r="J1326" s="78" t="str">
        <f>IFERROR(VLOOKUP(C1326,[2]Sheet1!$D:$J,7,0),"")</f>
        <v/>
      </c>
      <c r="K1326" s="80" t="str">
        <f t="shared" si="2199"/>
        <v/>
      </c>
      <c r="L1326" s="7">
        <f t="shared" si="2200"/>
        <v>0</v>
      </c>
      <c r="M1326" s="8" t="str">
        <f t="shared" si="2201"/>
        <v/>
      </c>
      <c r="N1326" s="57" t="str">
        <f t="shared" ref="N1326" si="2205">IFERROR((K1326/H1326),"")</f>
        <v/>
      </c>
      <c r="O1326" s="9"/>
      <c r="P1326" s="10"/>
      <c r="Q1326" s="10"/>
      <c r="R1326" s="10">
        <f t="shared" ref="R1326" si="2206">O1326*P1326*Q1326</f>
        <v>0</v>
      </c>
      <c r="S1326" s="41">
        <f t="shared" si="2202"/>
        <v>0</v>
      </c>
      <c r="V1326" s="190"/>
      <c r="W1326" s="190"/>
      <c r="Y1326" s="42"/>
      <c r="Z1326" s="140"/>
      <c r="AA1326" s="206" t="str">
        <f t="shared" si="2203"/>
        <v/>
      </c>
      <c r="AB1326"/>
      <c r="AC1326"/>
      <c r="AD1326"/>
      <c r="AE1326"/>
      <c r="AF1326"/>
    </row>
    <row r="1327" spans="1:32" ns3:dyDescent="0.3">
      <c r="W1327" s="190"/>
      <c r="AA1327"/>
      <c r="AB1327"/>
      <c r="AC1327"/>
      <c r="AD1327"/>
      <c r="AE1327"/>
      <c r="AF1327"/>
    </row>
    <row r="1328" spans="1:32" ns3:dyDescent="0.3">
      <c r="W1328" s="190"/>
      <c r="AA1328"/>
      <c r="AB1328"/>
      <c r="AC1328"/>
      <c r="AD1328"/>
      <c r="AE1328"/>
      <c r="AF1328"/>
    </row>
    <row r="1329" spans="23:32" ns3:dyDescent="0.3">
      <c r="W1329" s="190"/>
      <c r="AA1329"/>
      <c r="AB1329"/>
      <c r="AC1329"/>
      <c r="AD1329"/>
      <c r="AE1329"/>
      <c r="AF1329"/>
    </row>
    <row r="1330" spans="23:32" ns3:dyDescent="0.3">
      <c r="W1330" s="190"/>
      <c r="AA1330"/>
      <c r="AB1330"/>
      <c r="AC1330"/>
      <c r="AD1330"/>
      <c r="AE1330"/>
      <c r="AF1330"/>
    </row>
    <row r="1331" spans="23:32" ns3:dyDescent="0.3">
      <c r="AA1331"/>
      <c r="AB1331"/>
      <c r="AC1331"/>
      <c r="AD1331"/>
      <c r="AE1331"/>
      <c r="AF1331"/>
    </row>
    <row r="1332" spans="23:32" ns3:dyDescent="0.3">
      <c r="AA1332"/>
      <c r="AB1332"/>
      <c r="AC1332"/>
      <c r="AD1332"/>
      <c r="AE1332"/>
      <c r="AF1332"/>
    </row>
  </sheetData>
  <sheetProtection formatCells="0"/>
  <autoFilter ref="A1:AA1025" ns2:uid="{00000000-0009-0000-0000-000004000000}"/>
  <mergeCells count="4">
    <mergeCell ref="AB866:AI866"/>
    <mergeCell ref="AB867:AC867"/>
    <mergeCell ref="AB868:AC868"/>
    <mergeCell ref="AB869:AC869"/>
  </mergeCells>
  <phoneticPr fontId="3" type="noConversion"/>
  <conditionalFormatting sqref="B1:B25 B352:B395 B397 B698:B699 B702 B728 B732:B745 B749:B751 B754:B756 B820 B822:B823 B832:B834 B836:B838 B841">
    <cfRule type="expression" dxfId="241" priority="4295">
      <formula>ISNUMBER(B1)</formula>
    </cfRule>
  </conditionalFormatting>
  <conditionalFormatting sqref="B27:B30">
    <cfRule type="expression" dxfId="240" priority="823">
      <formula>ISNUMBER(B27)</formula>
    </cfRule>
  </conditionalFormatting>
  <conditionalFormatting sqref="B32:B285">
    <cfRule type="expression" dxfId="239" priority="15">
      <formula>ISNUMBER(B32)</formula>
    </cfRule>
  </conditionalFormatting>
  <conditionalFormatting sqref="B288:B332">
    <cfRule type="expression" dxfId="238" priority="40">
      <formula>ISNUMBER(B288)</formula>
    </cfRule>
  </conditionalFormatting>
  <conditionalFormatting sqref="B334:B350">
    <cfRule type="expression" dxfId="237" priority="800">
      <formula>ISNUMBER(B334)</formula>
    </cfRule>
  </conditionalFormatting>
  <conditionalFormatting sqref="B399:B693">
    <cfRule type="expression" dxfId="236" priority="7">
      <formula>ISNUMBER(B399)</formula>
    </cfRule>
  </conditionalFormatting>
  <conditionalFormatting sqref="B704:B726">
    <cfRule type="expression" dxfId="235" priority="10">
      <formula>ISNUMBER(B704)</formula>
    </cfRule>
  </conditionalFormatting>
  <conditionalFormatting sqref="B774:B811">
    <cfRule type="expression" dxfId="234" priority="104">
      <formula>ISNUMBER(B774)</formula>
    </cfRule>
  </conditionalFormatting>
  <conditionalFormatting sqref="B813:B818">
    <cfRule type="expression" dxfId="233" priority="569">
      <formula>ISNUMBER(B813)</formula>
    </cfRule>
  </conditionalFormatting>
  <conditionalFormatting sqref="B825:B829">
    <cfRule type="expression" dxfId="232" priority="276">
      <formula>ISNUMBER(B825)</formula>
    </cfRule>
  </conditionalFormatting>
  <conditionalFormatting sqref="B845:B857">
    <cfRule type="expression" dxfId="231" priority="21">
      <formula>ISNUMBER(B845)</formula>
    </cfRule>
  </conditionalFormatting>
  <conditionalFormatting sqref="B860:B986">
    <cfRule type="expression" dxfId="230" priority="38">
      <formula>ISNUMBER(B860)</formula>
    </cfRule>
  </conditionalFormatting>
  <conditionalFormatting sqref="B988">
    <cfRule type="expression" dxfId="229" priority="2785">
      <formula>ISNUMBER(B988)</formula>
    </cfRule>
  </conditionalFormatting>
  <conditionalFormatting sqref="B990:B1000">
    <cfRule type="expression" dxfId="228" priority="22">
      <formula>ISNUMBER(B990)</formula>
    </cfRule>
  </conditionalFormatting>
  <conditionalFormatting sqref="B1003:B1005">
    <cfRule type="expression" dxfId="227" priority="2704">
      <formula>ISNUMBER(B1003)</formula>
    </cfRule>
  </conditionalFormatting>
  <conditionalFormatting sqref="B1007:B1014">
    <cfRule type="expression" dxfId="226" priority="1183">
      <formula>ISNUMBER(B1007)</formula>
    </cfRule>
  </conditionalFormatting>
  <conditionalFormatting sqref="B1016:B1019">
    <cfRule type="expression" dxfId="225" priority="1186">
      <formula>ISNUMBER(B1016)</formula>
    </cfRule>
  </conditionalFormatting>
  <conditionalFormatting sqref="B1022:B1048576">
    <cfRule type="expression" dxfId="224" priority="2">
      <formula>ISNUMBER(B1022)</formula>
    </cfRule>
  </conditionalFormatting>
  <conditionalFormatting sqref="C311">
    <cfRule type="expression" dxfId="223" priority="4066">
      <formula>AND(C311&lt;1.6, C311&lt;&gt;"")</formula>
    </cfRule>
  </conditionalFormatting>
  <conditionalFormatting sqref="N1:N1067">
    <cfRule type="expression" dxfId="222" priority="6">
      <formula>AND(N1&lt;1.6, N1&lt;&gt;"")</formula>
    </cfRule>
  </conditionalFormatting>
  <conditionalFormatting sqref="N1032:N1033">
    <cfRule type="expression" dxfId="221" priority="2001">
      <formula>AND(N1032&lt;=3, N1032&lt;&gt;"")</formula>
    </cfRule>
  </conditionalFormatting>
  <conditionalFormatting sqref="N1035">
    <cfRule type="expression" dxfId="220" priority="1994">
      <formula>AND(N1035&lt;=3, N1035&lt;&gt;"")</formula>
    </cfRule>
  </conditionalFormatting>
  <conditionalFormatting sqref="N1037">
    <cfRule type="expression" dxfId="219" priority="1987">
      <formula>AND(N1037&lt;=3, N1037&lt;&gt;"")</formula>
    </cfRule>
  </conditionalFormatting>
  <conditionalFormatting sqref="N1039">
    <cfRule type="expression" dxfId="218" priority="1980">
      <formula>AND(N1039&lt;=3, N1039&lt;&gt;"")</formula>
    </cfRule>
  </conditionalFormatting>
  <conditionalFormatting sqref="N1041">
    <cfRule type="expression" dxfId="217" priority="1973">
      <formula>AND(N1041&lt;=3, N1041&lt;&gt;"")</formula>
    </cfRule>
  </conditionalFormatting>
  <conditionalFormatting sqref="N1043">
    <cfRule type="expression" dxfId="216" priority="1966">
      <formula>AND(N1043&lt;=3, N1043&lt;&gt;"")</formula>
    </cfRule>
  </conditionalFormatting>
  <conditionalFormatting sqref="N1047:N1048">
    <cfRule type="expression" dxfId="215" priority="1951">
      <formula>AND(N1047&lt;=3, N1047&lt;&gt;"")</formula>
    </cfRule>
  </conditionalFormatting>
  <conditionalFormatting sqref="N1052:N1053">
    <cfRule type="expression" dxfId="214" priority="1936">
      <formula>AND(N1052&lt;=3, N1052&lt;&gt;"")</formula>
    </cfRule>
  </conditionalFormatting>
  <conditionalFormatting sqref="N1057:N1062">
    <cfRule type="expression" dxfId="213" priority="1896">
      <formula>AND(N1057&lt;=3, N1057&lt;&gt;"")</formula>
    </cfRule>
  </conditionalFormatting>
  <conditionalFormatting sqref="N1064">
    <cfRule type="expression" dxfId="212" priority="1921">
      <formula>AND(N1064&lt;=3, N1064&lt;&gt;"")</formula>
    </cfRule>
  </conditionalFormatting>
  <conditionalFormatting sqref="N1068:N1071">
    <cfRule type="expression" dxfId="211" priority="1885">
      <formula>AND(N1068&lt;=3, N1068&lt;&gt;"")</formula>
    </cfRule>
  </conditionalFormatting>
  <conditionalFormatting sqref="N1068:N1072">
    <cfRule type="expression" dxfId="210" priority="1880">
      <formula>AND(N1068&lt;1.6, N1068&lt;&gt;"")</formula>
    </cfRule>
  </conditionalFormatting>
  <conditionalFormatting sqref="N1069">
    <cfRule type="expression" dxfId="209" priority="1878">
      <formula>AND(N1069&lt;=3, N1069&lt;&gt;"")</formula>
    </cfRule>
  </conditionalFormatting>
  <conditionalFormatting sqref="N1069:N1070">
    <cfRule type="expression" dxfId="208" priority="1873">
      <formula>AND(N1069&lt;1.6, N1069&lt;&gt;"")</formula>
    </cfRule>
  </conditionalFormatting>
  <conditionalFormatting sqref="N1073">
    <cfRule type="expression" dxfId="207" priority="1167">
      <formula>AND(N1073&lt;=3, N1073&lt;&gt;"")</formula>
    </cfRule>
  </conditionalFormatting>
  <conditionalFormatting sqref="N1073:N1074">
    <cfRule type="expression" dxfId="206" priority="1168">
      <formula>AND(N1073&lt;1.6, N1073&lt;&gt;"")</formula>
    </cfRule>
    <cfRule type="expression" dxfId="205" priority="1171">
      <formula>AND(N1073&lt;=3, N1073&lt;&gt;"")</formula>
    </cfRule>
  </conditionalFormatting>
  <conditionalFormatting sqref="N1073:N1076">
    <cfRule type="expression" dxfId="204" priority="1157">
      <formula>AND(N1073&lt;1.6, N1073&lt;&gt;"")</formula>
    </cfRule>
  </conditionalFormatting>
  <conditionalFormatting sqref="N1075">
    <cfRule type="expression" dxfId="203" priority="1156">
      <formula>AND(N1075&lt;=3, N1075&lt;&gt;"")</formula>
    </cfRule>
  </conditionalFormatting>
  <conditionalFormatting sqref="N1075:N1076">
    <cfRule type="expression" dxfId="202" priority="1160">
      <formula>AND(N1075&lt;=3, N1075&lt;&gt;"")</formula>
    </cfRule>
  </conditionalFormatting>
  <conditionalFormatting sqref="N1075:N1080">
    <cfRule type="expression" dxfId="201" priority="612">
      <formula>AND(N1075&lt;1.6, N1075&lt;&gt;"")</formula>
    </cfRule>
  </conditionalFormatting>
  <conditionalFormatting sqref="N1077">
    <cfRule type="expression" dxfId="200" priority="611">
      <formula>AND(N1077&lt;=3, N1077&lt;&gt;"")</formula>
    </cfRule>
  </conditionalFormatting>
  <conditionalFormatting sqref="N1077:N1078">
    <cfRule type="expression" dxfId="199" priority="606">
      <formula>AND(N1077&lt;1.6, N1077&lt;&gt;"")</formula>
    </cfRule>
  </conditionalFormatting>
  <conditionalFormatting sqref="N1077:N1079">
    <cfRule type="expression" dxfId="198" priority="615">
      <formula>AND(N1077&lt;=3, N1077&lt;&gt;"")</formula>
    </cfRule>
  </conditionalFormatting>
  <conditionalFormatting sqref="N1079:N1080">
    <cfRule type="expression" dxfId="197" priority="1038">
      <formula>AND(N1079&lt;1.6, N1079&lt;&gt;"")</formula>
    </cfRule>
    <cfRule type="expression" dxfId="196" priority="1041">
      <formula>AND(N1079&lt;=3, N1079&lt;&gt;"")</formula>
    </cfRule>
  </conditionalFormatting>
  <conditionalFormatting sqref="N1083:N1086 N1089:N1094">
    <cfRule type="expression" dxfId="195" priority="1867">
      <formula>AND(N1083&lt;=3, N1083&lt;&gt;"")</formula>
    </cfRule>
  </conditionalFormatting>
  <conditionalFormatting sqref="N1084">
    <cfRule type="expression" dxfId="194" priority="1786">
      <formula>AND(N1084&lt;=3, N1084&lt;&gt;"")</formula>
    </cfRule>
  </conditionalFormatting>
  <conditionalFormatting sqref="N1084:N1088">
    <cfRule type="expression" dxfId="193" priority="129">
      <formula>AND(N1084&lt;1.6, N1084&lt;&gt;"")</formula>
    </cfRule>
  </conditionalFormatting>
  <conditionalFormatting sqref="N1087">
    <cfRule type="expression" dxfId="192" priority="128">
      <formula>AND(N1087&lt;=3, N1087&lt;&gt;"")</formula>
    </cfRule>
  </conditionalFormatting>
  <conditionalFormatting sqref="N1087:N1088">
    <cfRule type="expression" dxfId="191" priority="127">
      <formula>AND(N1087&lt;1.6, N1087&lt;&gt;"")</formula>
    </cfRule>
    <cfRule type="expression" dxfId="190" priority="130">
      <formula>AND(N1087&lt;=3, N1087&lt;&gt;"")</formula>
    </cfRule>
  </conditionalFormatting>
  <conditionalFormatting sqref="N1089">
    <cfRule type="expression" dxfId="189" priority="1793">
      <formula>AND(N1089&lt;=3, N1089&lt;&gt;"")</formula>
    </cfRule>
  </conditionalFormatting>
  <conditionalFormatting sqref="N1089:N1094 N1081:N1086">
    <cfRule type="expression" dxfId="188" priority="1864">
      <formula>AND(N1081&lt;1.6, N1081&lt;&gt;"")</formula>
    </cfRule>
  </conditionalFormatting>
  <conditionalFormatting sqref="N1089:N1098">
    <cfRule type="expression" dxfId="187" priority="1352">
      <formula>AND(N1089&lt;1.6, N1089&lt;&gt;"")</formula>
    </cfRule>
  </conditionalFormatting>
  <conditionalFormatting sqref="N1091">
    <cfRule type="expression" dxfId="186" priority="1842">
      <formula>AND(N1091&lt;=3, N1091&lt;&gt;"")</formula>
    </cfRule>
  </conditionalFormatting>
  <conditionalFormatting sqref="N1093">
    <cfRule type="expression" dxfId="185" priority="1835">
      <formula>AND(N1093&lt;=3, N1093&lt;&gt;"")</formula>
    </cfRule>
  </conditionalFormatting>
  <conditionalFormatting sqref="N1095">
    <cfRule type="expression" dxfId="184" priority="1351">
      <formula>AND(N1095&lt;=3, N1095&lt;&gt;"")</formula>
    </cfRule>
  </conditionalFormatting>
  <conditionalFormatting sqref="N1095:N1096">
    <cfRule type="expression" dxfId="183" priority="1346">
      <formula>AND(N1095&lt;1.6, N1095&lt;&gt;"")</formula>
    </cfRule>
  </conditionalFormatting>
  <conditionalFormatting sqref="N1095:N1097">
    <cfRule type="expression" dxfId="182" priority="1355">
      <formula>AND(N1095&lt;=3, N1095&lt;&gt;"")</formula>
    </cfRule>
  </conditionalFormatting>
  <conditionalFormatting sqref="N1097:N1098 N1101">
    <cfRule type="expression" dxfId="181" priority="1863">
      <formula>AND(N1097&lt;=3, N1097&lt;&gt;"")</formula>
    </cfRule>
  </conditionalFormatting>
  <conditionalFormatting sqref="N1099">
    <cfRule type="expression" dxfId="180" priority="58">
      <formula>AND(N1099&lt;=3, N1099&lt;&gt;"")</formula>
    </cfRule>
  </conditionalFormatting>
  <conditionalFormatting sqref="N1099:N1100">
    <cfRule type="expression" dxfId="179" priority="57">
      <formula>AND(N1099&lt;1.6, N1099&lt;&gt;"")</formula>
    </cfRule>
  </conditionalFormatting>
  <conditionalFormatting sqref="N1101:N1106 N1097:N1098">
    <cfRule type="expression" dxfId="178" priority="1851">
      <formula>AND(N1097&lt;1.6, N1097&lt;&gt;"")</formula>
    </cfRule>
  </conditionalFormatting>
  <conditionalFormatting sqref="N1103">
    <cfRule type="expression" dxfId="177" priority="1849">
      <formula>AND(N1103&lt;=3, N1103&lt;&gt;"")</formula>
    </cfRule>
  </conditionalFormatting>
  <conditionalFormatting sqref="N1103:N1104">
    <cfRule type="expression" dxfId="176" priority="1844">
      <formula>AND(N1103&lt;1.6, N1103&lt;&gt;"")</formula>
    </cfRule>
  </conditionalFormatting>
  <conditionalFormatting sqref="N1105">
    <cfRule type="expression" dxfId="175" priority="1856">
      <formula>AND(N1105&lt;=3, N1105&lt;&gt;"")</formula>
    </cfRule>
  </conditionalFormatting>
  <conditionalFormatting sqref="N1107">
    <cfRule type="expression" dxfId="174" priority="962">
      <formula>AND(N1107&lt;=3, N1107&lt;&gt;"")</formula>
    </cfRule>
  </conditionalFormatting>
  <conditionalFormatting sqref="N1107:N1108">
    <cfRule type="expression" dxfId="173" priority="957">
      <formula>AND(N1107&lt;1.6, N1107&lt;&gt;"")</formula>
    </cfRule>
  </conditionalFormatting>
  <conditionalFormatting sqref="N1107:N1110">
    <cfRule type="expression" dxfId="172" priority="964">
      <formula>AND(N1107&lt;1.6, N1107&lt;&gt;"")</formula>
    </cfRule>
  </conditionalFormatting>
  <conditionalFormatting sqref="N1109">
    <cfRule type="expression" dxfId="171" priority="1800">
      <formula>AND(N1109&lt;=3, N1109&lt;&gt;"")</formula>
    </cfRule>
  </conditionalFormatting>
  <conditionalFormatting sqref="N1109:N1116">
    <cfRule type="expression" dxfId="170" priority="1809">
      <formula>AND(N1109&lt;1.6, N1109&lt;&gt;"")</formula>
    </cfRule>
  </conditionalFormatting>
  <conditionalFormatting sqref="N1111">
    <cfRule type="expression" dxfId="169" priority="1821">
      <formula>AND(N1111&lt;=3, N1111&lt;&gt;"")</formula>
    </cfRule>
  </conditionalFormatting>
  <conditionalFormatting sqref="N1113">
    <cfRule type="expression" dxfId="168" priority="1807">
      <formula>AND(N1113&lt;=3, N1113&lt;&gt;"")</formula>
    </cfRule>
  </conditionalFormatting>
  <conditionalFormatting sqref="N1113:N1114">
    <cfRule type="expression" dxfId="167" priority="1802">
      <formula>AND(N1113&lt;1.6, N1113&lt;&gt;"")</formula>
    </cfRule>
  </conditionalFormatting>
  <conditionalFormatting sqref="N1115">
    <cfRule type="expression" dxfId="166" priority="1814">
      <formula>AND(N1115&lt;=3, N1115&lt;&gt;"")</formula>
    </cfRule>
  </conditionalFormatting>
  <conditionalFormatting sqref="N1117:N1136">
    <cfRule type="expression" dxfId="165" priority="180">
      <formula>AND(N1117&lt;1.6, N1117&lt;&gt;"")</formula>
    </cfRule>
  </conditionalFormatting>
  <conditionalFormatting sqref="N1119:N1120">
    <cfRule type="expression" dxfId="164" priority="1768">
      <formula>AND(N1119&lt;=3, N1119&lt;&gt;"")</formula>
    </cfRule>
  </conditionalFormatting>
  <conditionalFormatting sqref="N1122">
    <cfRule type="expression" dxfId="163" priority="1310">
      <formula>AND(N1122&lt;=3, N1122&lt;&gt;"")</formula>
    </cfRule>
  </conditionalFormatting>
  <conditionalFormatting sqref="N1126:N1131">
    <cfRule type="expression" dxfId="162" priority="182">
      <formula>AND(N1126&lt;=3, N1126&lt;&gt;"")</formula>
    </cfRule>
  </conditionalFormatting>
  <conditionalFormatting sqref="N1129">
    <cfRule type="expression" dxfId="161" priority="179">
      <formula>AND(N1129&lt;=3, N1129&lt;&gt;"")</formula>
    </cfRule>
  </conditionalFormatting>
  <conditionalFormatting sqref="N1129:N1130">
    <cfRule type="expression" dxfId="160" priority="178">
      <formula>AND(N1129&lt;1.6, N1129&lt;&gt;"")</formula>
    </cfRule>
  </conditionalFormatting>
  <conditionalFormatting sqref="N1131:N1134">
    <cfRule type="expression" dxfId="159" priority="1727">
      <formula>AND(N1131&lt;1.6, N1131&lt;&gt;"")</formula>
    </cfRule>
  </conditionalFormatting>
  <conditionalFormatting sqref="N1131:N1141">
    <cfRule type="expression" dxfId="158" priority="1753">
      <formula>AND(N1131&lt;=3, N1131&lt;&gt;"")</formula>
    </cfRule>
  </conditionalFormatting>
  <conditionalFormatting sqref="N1133">
    <cfRule type="expression" dxfId="157" priority="1725">
      <formula>AND(N1133&lt;=3, N1133&lt;&gt;"")</formula>
    </cfRule>
  </conditionalFormatting>
  <conditionalFormatting sqref="N1135">
    <cfRule type="expression" dxfId="156" priority="1711">
      <formula>AND(N1135&lt;=3, N1135&lt;&gt;"")</formula>
    </cfRule>
  </conditionalFormatting>
  <conditionalFormatting sqref="N1137">
    <cfRule type="expression" dxfId="155" priority="1655">
      <formula>AND(N1137&lt;=3, N1137&lt;&gt;"")</formula>
    </cfRule>
  </conditionalFormatting>
  <conditionalFormatting sqref="N1137:N1140">
    <cfRule type="expression" dxfId="154" priority="1650">
      <formula>AND(N1137&lt;1.6, N1137&lt;&gt;"")</formula>
    </cfRule>
  </conditionalFormatting>
  <conditionalFormatting sqref="N1137:N1154">
    <cfRule type="expression" dxfId="153" priority="1706">
      <formula>AND(N1137&lt;1.6, N1137&lt;&gt;"")</formula>
    </cfRule>
  </conditionalFormatting>
  <conditionalFormatting sqref="N1139">
    <cfRule type="expression" dxfId="152" priority="1634">
      <formula>AND(N1139&lt;=3, N1139&lt;&gt;"")</formula>
    </cfRule>
  </conditionalFormatting>
  <conditionalFormatting sqref="N1139:N1140">
    <cfRule type="expression" dxfId="151" priority="1629">
      <formula>AND(N1139&lt;1.6, N1139&lt;&gt;"")</formula>
    </cfRule>
  </conditionalFormatting>
  <conditionalFormatting sqref="N1143">
    <cfRule type="expression" dxfId="150" priority="1627">
      <formula>AND(N1143&lt;=3, N1143&lt;&gt;"")</formula>
    </cfRule>
  </conditionalFormatting>
  <conditionalFormatting sqref="N1143:N1144">
    <cfRule type="expression" dxfId="149" priority="1622">
      <formula>AND(N1143&lt;1.6, N1143&lt;&gt;"")</formula>
    </cfRule>
  </conditionalFormatting>
  <conditionalFormatting sqref="N1145">
    <cfRule type="expression" dxfId="148" priority="1739">
      <formula>AND(N1145&lt;=3, N1145&lt;&gt;"")</formula>
    </cfRule>
  </conditionalFormatting>
  <conditionalFormatting sqref="N1147">
    <cfRule type="expression" dxfId="147" priority="1303">
      <formula>AND(N1147&lt;=3, N1147&lt;&gt;"")</formula>
    </cfRule>
  </conditionalFormatting>
  <conditionalFormatting sqref="N1147:N1148">
    <cfRule type="expression" dxfId="146" priority="1293">
      <formula>AND(N1147&lt;1.6, N1147&lt;&gt;"")</formula>
    </cfRule>
    <cfRule type="expression" dxfId="145" priority="1296">
      <formula>AND(N1147&lt;=3, N1147&lt;&gt;"")</formula>
    </cfRule>
    <cfRule type="expression" dxfId="144" priority="1298">
      <formula>AND(N1147&lt;1.6, N1147&lt;&gt;"")</formula>
    </cfRule>
  </conditionalFormatting>
  <conditionalFormatting sqref="N1149">
    <cfRule type="expression" dxfId="143" priority="1676">
      <formula>AND(N1149&lt;=3, N1149&lt;&gt;"")</formula>
    </cfRule>
  </conditionalFormatting>
  <conditionalFormatting sqref="N1149:N1160">
    <cfRule type="expression" dxfId="142" priority="1664">
      <formula>AND(N1149&lt;1.6, N1149&lt;&gt;"")</formula>
    </cfRule>
  </conditionalFormatting>
  <conditionalFormatting sqref="N1151">
    <cfRule type="expression" dxfId="141" priority="1669">
      <formula>AND(N1151&lt;=3, N1151&lt;&gt;"")</formula>
    </cfRule>
  </conditionalFormatting>
  <conditionalFormatting sqref="N1153">
    <cfRule type="expression" dxfId="140" priority="1683">
      <formula>AND(N1153&lt;=3, N1153&lt;&gt;"")</formula>
    </cfRule>
  </conditionalFormatting>
  <conditionalFormatting sqref="N1155">
    <cfRule type="expression" dxfId="139" priority="1704">
      <formula>AND(N1155&lt;=3, N1155&lt;&gt;"")</formula>
    </cfRule>
  </conditionalFormatting>
  <conditionalFormatting sqref="N1157">
    <cfRule type="expression" dxfId="138" priority="1662">
      <formula>AND(N1157&lt;=3, N1157&lt;&gt;"")</formula>
    </cfRule>
  </conditionalFormatting>
  <conditionalFormatting sqref="N1157:N1158">
    <cfRule type="expression" dxfId="137" priority="1657">
      <formula>AND(N1157&lt;1.6, N1157&lt;&gt;"")</formula>
    </cfRule>
  </conditionalFormatting>
  <conditionalFormatting sqref="N1159">
    <cfRule type="expression" dxfId="136" priority="1690">
      <formula>AND(N1159&lt;=3, N1159&lt;&gt;"")</formula>
    </cfRule>
  </conditionalFormatting>
  <conditionalFormatting sqref="N1161:N1163">
    <cfRule type="expression" dxfId="135" priority="1182">
      <formula>AND(N1161&lt;=3, N1161&lt;&gt;"")</formula>
    </cfRule>
  </conditionalFormatting>
  <conditionalFormatting sqref="N1161:N1164">
    <cfRule type="expression" dxfId="134" priority="1177">
      <formula>AND(N1161&lt;1.6, N1161&lt;&gt;"")</formula>
    </cfRule>
  </conditionalFormatting>
  <conditionalFormatting sqref="N1163:N1165">
    <cfRule type="expression" dxfId="133" priority="976">
      <formula>AND(N1163&lt;=3, N1163&lt;&gt;"")</formula>
    </cfRule>
  </conditionalFormatting>
  <conditionalFormatting sqref="N1163:N1170">
    <cfRule type="expression" dxfId="132" priority="971">
      <formula>AND(N1163&lt;1.6, N1163&lt;&gt;"")</formula>
    </cfRule>
  </conditionalFormatting>
  <conditionalFormatting sqref="N1165:N1166">
    <cfRule type="expression" dxfId="131" priority="969">
      <formula>AND(N1165&lt;=3, N1165&lt;&gt;"")</formula>
    </cfRule>
    <cfRule type="expression" dxfId="130" priority="966">
      <formula>AND(N1165&lt;1.6, N1165&lt;&gt;"")</formula>
    </cfRule>
  </conditionalFormatting>
  <conditionalFormatting sqref="N1167">
    <cfRule type="expression" dxfId="129" priority="1149">
      <formula>AND(N1167&lt;=3, N1167&lt;&gt;"")</formula>
    </cfRule>
  </conditionalFormatting>
  <conditionalFormatting sqref="N1167:N1168">
    <cfRule type="expression" dxfId="128" priority="1144">
      <formula>AND(N1167&lt;1.6, N1167&lt;&gt;"")</formula>
    </cfRule>
  </conditionalFormatting>
  <conditionalFormatting sqref="N1167:N1169">
    <cfRule type="expression" dxfId="127" priority="1131">
      <formula>AND(N1167&lt;=3, N1167&lt;&gt;"")</formula>
    </cfRule>
  </conditionalFormatting>
  <conditionalFormatting sqref="N1169:N1171">
    <cfRule type="expression" dxfId="126" priority="744">
      <formula>AND(N1169&lt;=3, N1169&lt;&gt;"")</formula>
    </cfRule>
  </conditionalFormatting>
  <conditionalFormatting sqref="N1169:N1174">
    <cfRule type="expression" dxfId="125" priority="739">
      <formula>AND(N1169&lt;1.6, N1169&lt;&gt;"")</formula>
    </cfRule>
  </conditionalFormatting>
  <conditionalFormatting sqref="N1171:N1172">
    <cfRule type="expression" dxfId="124" priority="737">
      <formula>AND(N1171&lt;=3, N1171&lt;&gt;"")</formula>
    </cfRule>
    <cfRule type="expression" dxfId="123" priority="734">
      <formula>AND(N1171&lt;1.6, N1171&lt;&gt;"")</formula>
    </cfRule>
  </conditionalFormatting>
  <conditionalFormatting sqref="N1173">
    <cfRule type="expression" dxfId="122" priority="1746">
      <formula>AND(N1173&lt;=3, N1173&lt;&gt;"")</formula>
    </cfRule>
  </conditionalFormatting>
  <conditionalFormatting sqref="N1173:N1174">
    <cfRule type="expression" dxfId="121" priority="1741">
      <formula>AND(N1173&lt;1.6, N1173&lt;&gt;"")</formula>
    </cfRule>
    <cfRule type="expression" dxfId="120" priority="1641">
      <formula>AND(N1173&lt;=3, N1173&lt;&gt;"")</formula>
    </cfRule>
  </conditionalFormatting>
  <conditionalFormatting sqref="N1175">
    <cfRule type="expression" dxfId="119" priority="623">
      <formula>AND(N1175&lt;=3, N1175&lt;&gt;"")</formula>
    </cfRule>
  </conditionalFormatting>
  <conditionalFormatting sqref="N1175:N1176">
    <cfRule type="expression" dxfId="118" priority="619">
      <formula>AND(N1175&lt;1.6, N1175&lt;&gt;"")</formula>
    </cfRule>
  </conditionalFormatting>
  <conditionalFormatting sqref="N1175:N1177">
    <cfRule type="expression" dxfId="117" priority="285">
      <formula>AND(N1175&lt;=3, N1175&lt;&gt;"")</formula>
    </cfRule>
  </conditionalFormatting>
  <conditionalFormatting sqref="N1175:N1180">
    <cfRule type="expression" dxfId="116" priority="281">
      <formula>AND(N1175&lt;1.6, N1175&lt;&gt;"")</formula>
    </cfRule>
  </conditionalFormatting>
  <conditionalFormatting sqref="N1177:N1178">
    <cfRule type="expression" dxfId="115" priority="278">
      <formula>AND(N1177&lt;1.6, N1177&lt;&gt;"")</formula>
    </cfRule>
    <cfRule type="expression" dxfId="114" priority="280">
      <formula>AND(N1177&lt;=3, N1177&lt;&gt;"")</formula>
    </cfRule>
  </conditionalFormatting>
  <conditionalFormatting sqref="N1179">
    <cfRule type="expression" dxfId="113" priority="683">
      <formula>AND(N1179&lt;=3, N1179&lt;&gt;"")</formula>
    </cfRule>
  </conditionalFormatting>
  <conditionalFormatting sqref="N1179:N1180">
    <cfRule type="expression" dxfId="112" priority="678">
      <formula>AND(N1179&lt;1.6, N1179&lt;&gt;"")</formula>
    </cfRule>
    <cfRule type="expression" dxfId="111" priority="676">
      <formula>AND(N1179&lt;=3, N1179&lt;&gt;"")</formula>
    </cfRule>
  </conditionalFormatting>
  <conditionalFormatting sqref="N1181">
    <cfRule type="expression" dxfId="110" priority="261">
      <formula>AND(N1181&lt;=3, N1181&lt;&gt;"")</formula>
    </cfRule>
  </conditionalFormatting>
  <conditionalFormatting sqref="N1181:N1223">
    <cfRule type="expression" dxfId="109" priority="1">
      <formula>AND(N1181&lt;1.6, N1181&lt;&gt;"")</formula>
    </cfRule>
  </conditionalFormatting>
  <conditionalFormatting sqref="N1183">
    <cfRule type="expression" dxfId="108" priority="242">
      <formula>AND(N1183&lt;=3, N1183&lt;&gt;"")</formula>
    </cfRule>
  </conditionalFormatting>
  <conditionalFormatting sqref="N1185">
    <cfRule type="expression" dxfId="107" priority="187">
      <formula>AND(N1185&lt;=3, N1185&lt;&gt;"")</formula>
    </cfRule>
  </conditionalFormatting>
  <conditionalFormatting sqref="N1187">
    <cfRule type="expression" dxfId="106" priority="184">
      <formula>AND(N1187&lt;=3, N1187&lt;&gt;"")</formula>
    </cfRule>
  </conditionalFormatting>
  <conditionalFormatting sqref="N1189">
    <cfRule type="expression" dxfId="105" priority="76">
      <formula>AND(N1189&lt;=3, N1189&lt;&gt;"")</formula>
    </cfRule>
  </conditionalFormatting>
  <conditionalFormatting sqref="N1191">
    <cfRule type="expression" dxfId="104" priority="32">
      <formula>AND(N1191&lt;=3, N1191&lt;&gt;"")</formula>
    </cfRule>
  </conditionalFormatting>
  <conditionalFormatting sqref="N1193">
    <cfRule type="expression" dxfId="103" priority="29">
      <formula>AND(N1193&lt;=3, N1193&lt;&gt;"")</formula>
    </cfRule>
  </conditionalFormatting>
  <conditionalFormatting sqref="N1195">
    <cfRule type="expression" dxfId="102" priority="249">
      <formula>AND(N1195&lt;=3, N1195&lt;&gt;"")</formula>
    </cfRule>
  </conditionalFormatting>
  <conditionalFormatting sqref="N1198:N1199">
    <cfRule type="expression" dxfId="101" priority="210">
      <formula>AND(N1198&lt;=3, N1198&lt;&gt;"")</formula>
    </cfRule>
  </conditionalFormatting>
  <conditionalFormatting sqref="N1203:N1204">
    <cfRule type="expression" dxfId="100" priority="1612">
      <formula>AND(N1203&lt;=3, N1203&lt;&gt;"")</formula>
    </cfRule>
  </conditionalFormatting>
  <conditionalFormatting sqref="N1209:N1210">
    <cfRule type="expression" dxfId="99" priority="1583">
      <formula>AND(N1209&lt;=3, N1209&lt;&gt;"")</formula>
    </cfRule>
  </conditionalFormatting>
  <conditionalFormatting sqref="N1213">
    <cfRule type="expression" dxfId="98" priority="1594">
      <formula>AND(N1213&lt;=3, N1213&lt;&gt;"")</formula>
    </cfRule>
  </conditionalFormatting>
  <conditionalFormatting sqref="N1216">
    <cfRule type="expression" dxfId="97" priority="121">
      <formula>AND(N1216&lt;=3, N1216&lt;&gt;"")</formula>
    </cfRule>
  </conditionalFormatting>
  <conditionalFormatting sqref="N1218">
    <cfRule type="expression" dxfId="96" priority="120">
      <formula>AND(N1218&lt;=3, N1218&lt;&gt;"")</formula>
    </cfRule>
  </conditionalFormatting>
  <conditionalFormatting sqref="N1220">
    <cfRule type="expression" dxfId="95" priority="44">
      <formula>AND(N1220&lt;=3, N1220&lt;&gt;"")</formula>
    </cfRule>
  </conditionalFormatting>
  <conditionalFormatting sqref="N1222">
    <cfRule type="expression" dxfId="94" priority="43">
      <formula>AND(N1222&lt;=3, N1222&lt;&gt;"")</formula>
    </cfRule>
  </conditionalFormatting>
  <conditionalFormatting sqref="N1224:N1240 C304">
    <cfRule type="expression" dxfId="93" priority="564">
      <formula>AND(C304&lt;1.6, C304&lt;&gt;"")</formula>
    </cfRule>
  </conditionalFormatting>
  <conditionalFormatting sqref="N1226:N1227">
    <cfRule type="expression" dxfId="92" priority="1288">
      <formula>AND(N1226&lt;=3, N1226&lt;&gt;"")</formula>
    </cfRule>
  </conditionalFormatting>
  <conditionalFormatting sqref="N1231:N1232">
    <cfRule type="expression" dxfId="91" priority="782">
      <formula>AND(N1231&lt;=3, N1231&lt;&gt;"")</formula>
    </cfRule>
  </conditionalFormatting>
  <conditionalFormatting sqref="N1235">
    <cfRule type="expression" dxfId="90" priority="196">
      <formula>AND(N1235&lt;=3, N1235&lt;&gt;"")</formula>
    </cfRule>
  </conditionalFormatting>
  <conditionalFormatting sqref="N1235:N1236">
    <cfRule type="expression" dxfId="89" priority="192">
      <formula>AND(N1235&lt;1.6, N1235&lt;&gt;"")</formula>
    </cfRule>
  </conditionalFormatting>
  <conditionalFormatting sqref="N1237">
    <cfRule type="expression" dxfId="88" priority="203">
      <formula>AND(N1237&lt;=3, N1237&lt;&gt;"")</formula>
    </cfRule>
  </conditionalFormatting>
  <conditionalFormatting sqref="N1239">
    <cfRule type="expression" dxfId="87" priority="1277">
      <formula>AND(N1239&lt;=3, N1239&lt;&gt;"")</formula>
    </cfRule>
  </conditionalFormatting>
  <conditionalFormatting sqref="N1241:N1261">
    <cfRule type="expression" dxfId="86" priority="1508">
      <formula>AND(N1241&lt;1.6, N1241&lt;&gt;"")</formula>
    </cfRule>
  </conditionalFormatting>
  <conditionalFormatting sqref="N1243:N1246">
    <cfRule type="expression" dxfId="85" priority="1523">
      <formula>AND(N1243&lt;=3, N1243&lt;&gt;"")</formula>
    </cfRule>
  </conditionalFormatting>
  <conditionalFormatting sqref="N1244">
    <cfRule type="expression" dxfId="84" priority="900">
      <formula>AND(N1244&lt;=3, N1244&lt;&gt;"")</formula>
    </cfRule>
  </conditionalFormatting>
  <conditionalFormatting sqref="N1244:N1245">
    <cfRule type="expression" dxfId="83" priority="4301">
      <formula>AND(N1244&lt;1.6, N1244&lt;&gt;"")</formula>
    </cfRule>
    <cfRule type="expression" dxfId="82" priority="895">
      <formula>AND(N1244&lt;1.6, N1244&lt;&gt;"")</formula>
    </cfRule>
  </conditionalFormatting>
  <conditionalFormatting sqref="N1248">
    <cfRule type="expression" dxfId="81" priority="1513">
      <formula>AND(N1248&lt;=3, N1248&lt;&gt;"")</formula>
    </cfRule>
  </conditionalFormatting>
  <conditionalFormatting sqref="N1250">
    <cfRule type="expression" dxfId="80" priority="1533">
      <formula>AND(N1250&lt;=3, N1250&lt;&gt;"")</formula>
    </cfRule>
  </conditionalFormatting>
  <conditionalFormatting sqref="N1252">
    <cfRule type="expression" dxfId="79" priority="1468">
      <formula>AND(N1252&lt;=3, N1252&lt;&gt;"")</formula>
    </cfRule>
  </conditionalFormatting>
  <conditionalFormatting sqref="N1252:N1263">
    <cfRule type="expression" dxfId="78" priority="1463">
      <formula>AND(N1252&lt;1.6, N1252&lt;&gt;"")</formula>
    </cfRule>
  </conditionalFormatting>
  <conditionalFormatting sqref="N1254">
    <cfRule type="expression" dxfId="77" priority="1475">
      <formula>AND(N1254&lt;=3, N1254&lt;&gt;"")</formula>
    </cfRule>
  </conditionalFormatting>
  <conditionalFormatting sqref="N1256">
    <cfRule type="expression" dxfId="76" priority="1503">
      <formula>AND(N1256&lt;=3, N1256&lt;&gt;"")</formula>
    </cfRule>
  </conditionalFormatting>
  <conditionalFormatting sqref="N1258">
    <cfRule type="expression" dxfId="75" priority="1540">
      <formula>AND(N1258&lt;=3, N1258&lt;&gt;"")</formula>
    </cfRule>
  </conditionalFormatting>
  <conditionalFormatting sqref="N1260">
    <cfRule type="expression" dxfId="74" priority="890">
      <formula>AND(N1260&lt;1.6, N1260&lt;&gt;"")</formula>
    </cfRule>
    <cfRule type="expression" dxfId="73" priority="893">
      <formula>AND(N1260&lt;=3, N1260&lt;&gt;"")</formula>
    </cfRule>
  </conditionalFormatting>
  <conditionalFormatting sqref="N1262">
    <cfRule type="expression" dxfId="72" priority="1489">
      <formula>AND(N1262&lt;=3, N1262&lt;&gt;"")</formula>
    </cfRule>
  </conditionalFormatting>
  <conditionalFormatting sqref="N1264">
    <cfRule type="expression" dxfId="71" priority="726">
      <formula>AND(N1264&lt;=3, N1264&lt;&gt;"")</formula>
    </cfRule>
  </conditionalFormatting>
  <conditionalFormatting sqref="N1264:N1267">
    <cfRule type="expression" dxfId="70" priority="115">
      <formula>AND(N1264&lt;1.6, N1264&lt;&gt;"")</formula>
    </cfRule>
  </conditionalFormatting>
  <conditionalFormatting sqref="N1266">
    <cfRule type="expression" dxfId="69" priority="116">
      <formula>AND(N1266&lt;=3, N1266&lt;&gt;"")</formula>
    </cfRule>
  </conditionalFormatting>
  <conditionalFormatting sqref="N1268">
    <cfRule type="expression" dxfId="68" priority="733">
      <formula>AND(N1268&lt;=3, N1268&lt;&gt;"")</formula>
    </cfRule>
  </conditionalFormatting>
  <conditionalFormatting sqref="N1268:N1280">
    <cfRule type="expression" dxfId="67" priority="352">
      <formula>AND(N1268&lt;1.6, N1268&lt;&gt;"")</formula>
    </cfRule>
  </conditionalFormatting>
  <conditionalFormatting sqref="N1270">
    <cfRule type="expression" dxfId="66" priority="1482">
      <formula>AND(N1270&lt;=3, N1270&lt;&gt;"")</formula>
    </cfRule>
  </conditionalFormatting>
  <conditionalFormatting sqref="N1272">
    <cfRule type="expression" dxfId="65" priority="1496">
      <formula>AND(N1272&lt;=3, N1272&lt;&gt;"")</formula>
    </cfRule>
  </conditionalFormatting>
  <conditionalFormatting sqref="N1277">
    <cfRule type="expression" dxfId="64" priority="321">
      <formula>AND(N1277&lt;=3, N1277&lt;&gt;"")</formula>
    </cfRule>
  </conditionalFormatting>
  <conditionalFormatting sqref="N1277:N1278">
    <cfRule type="expression" dxfId="63" priority="313">
      <formula>AND(N1277&lt;1.6, N1277&lt;&gt;"")</formula>
    </cfRule>
    <cfRule type="expression" dxfId="62" priority="322">
      <formula>AND(N1277&lt;1.6, N1277&lt;&gt;"")</formula>
    </cfRule>
    <cfRule type="expression" dxfId="61" priority="324">
      <formula>AND(N1277&lt;=3, N1277&lt;&gt;"")</formula>
    </cfRule>
  </conditionalFormatting>
  <conditionalFormatting sqref="N1277:N1280">
    <cfRule type="expression" dxfId="60" priority="325">
      <formula>AND(N1277&lt;1.6, N1277&lt;&gt;"")</formula>
    </cfRule>
  </conditionalFormatting>
  <conditionalFormatting sqref="N1279">
    <cfRule type="expression" dxfId="59" priority="348">
      <formula>AND(N1279&lt;=3, N1279&lt;&gt;"")</formula>
    </cfRule>
  </conditionalFormatting>
  <conditionalFormatting sqref="N1279:N1280">
    <cfRule type="expression" dxfId="58" priority="351">
      <formula>AND(N1279&lt;=3, N1279&lt;&gt;"")</formula>
    </cfRule>
    <cfRule type="expression" dxfId="57" priority="349">
      <formula>AND(N1279&lt;1.6, N1279&lt;&gt;"")</formula>
    </cfRule>
  </conditionalFormatting>
  <conditionalFormatting sqref="N1281">
    <cfRule type="expression" dxfId="56" priority="296">
      <formula>AND(N1281&lt;=3, N1281&lt;&gt;"")</formula>
    </cfRule>
  </conditionalFormatting>
  <conditionalFormatting sqref="N1281:N1282">
    <cfRule type="expression" dxfId="55" priority="288">
      <formula>AND(N1281&lt;1.6, N1281&lt;&gt;"")</formula>
    </cfRule>
    <cfRule type="expression" dxfId="54" priority="299">
      <formula>AND(N1281&lt;=3, N1281&lt;&gt;"")</formula>
    </cfRule>
    <cfRule type="expression" dxfId="53" priority="297">
      <formula>AND(N1281&lt;1.6, N1281&lt;&gt;"")</formula>
    </cfRule>
  </conditionalFormatting>
  <conditionalFormatting sqref="N1281:N1284">
    <cfRule type="expression" dxfId="52" priority="300">
      <formula>AND(N1281&lt;1.6, N1281&lt;&gt;"")</formula>
    </cfRule>
    <cfRule type="expression" dxfId="51" priority="304">
      <formula>AND(N1281&lt;=3, N1281&lt;&gt;"")</formula>
    </cfRule>
  </conditionalFormatting>
  <conditionalFormatting sqref="N1283 N1287:N1307">
    <cfRule type="expression" dxfId="50" priority="1457">
      <formula>AND(N1283&lt;=3, N1283&lt;&gt;"")</formula>
    </cfRule>
  </conditionalFormatting>
  <conditionalFormatting sqref="N1285">
    <cfRule type="expression" dxfId="49" priority="1418">
      <formula>AND(N1285&lt;=3, N1285&lt;&gt;"")</formula>
    </cfRule>
  </conditionalFormatting>
  <conditionalFormatting sqref="N1285:N1286 N1276:N1280 N790:N791">
    <cfRule type="expression" dxfId="48" priority="6079">
      <formula>AND(N790&lt;=3, N790&lt;&gt;"")</formula>
    </cfRule>
  </conditionalFormatting>
  <conditionalFormatting sqref="N1285:N1292 N1297:N1307">
    <cfRule type="expression" dxfId="47" priority="2010">
      <formula>AND(N1285&lt;1.6, N1285&lt;&gt;"")</formula>
    </cfRule>
  </conditionalFormatting>
  <conditionalFormatting sqref="N1285:N1309">
    <cfRule type="expression" dxfId="46" priority="1413">
      <formula>AND(N1285&lt;1.6, N1285&lt;&gt;"")</formula>
    </cfRule>
  </conditionalFormatting>
  <conditionalFormatting sqref="N1287">
    <cfRule type="expression" dxfId="45" priority="1404">
      <formula>AND(N1287&lt;=3, N1287&lt;&gt;"")</formula>
    </cfRule>
  </conditionalFormatting>
  <conditionalFormatting sqref="N1287:N1307 N1283">
    <cfRule type="expression" dxfId="44" priority="1454">
      <formula>AND(N1283&lt;1.6, N1283&lt;&gt;"")</formula>
    </cfRule>
  </conditionalFormatting>
  <conditionalFormatting sqref="N1287:N1307">
    <cfRule type="expression" dxfId="43" priority="561">
      <formula>AND(N1287&lt;1.6, N1287&lt;&gt;"")</formula>
    </cfRule>
  </conditionalFormatting>
  <conditionalFormatting sqref="N1289">
    <cfRule type="expression" dxfId="42" priority="544">
      <formula>AND(N1289&lt;=3, N1289&lt;&gt;"")</formula>
    </cfRule>
  </conditionalFormatting>
  <conditionalFormatting sqref="N1289:N1290">
    <cfRule type="expression" dxfId="41" priority="545">
      <formula>AND(N1289&lt;1.6, N1289&lt;&gt;"")</formula>
    </cfRule>
    <cfRule type="expression" dxfId="40" priority="536">
      <formula>AND(N1289&lt;1.6, N1289&lt;&gt;"")</formula>
    </cfRule>
  </conditionalFormatting>
  <conditionalFormatting sqref="N1289:N1291">
    <cfRule type="expression" dxfId="39" priority="547">
      <formula>AND(N1289&lt;=3, N1289&lt;&gt;"")</formula>
    </cfRule>
  </conditionalFormatting>
  <conditionalFormatting sqref="N1291:N1292">
    <cfRule type="expression" dxfId="38" priority="558">
      <formula>AND(N1291&lt;1.6, N1291&lt;&gt;"")</formula>
    </cfRule>
    <cfRule type="expression" dxfId="37" priority="560">
      <formula>AND(N1291&lt;=3, N1291&lt;&gt;"")</formula>
    </cfRule>
  </conditionalFormatting>
  <conditionalFormatting sqref="N1293">
    <cfRule type="expression" dxfId="36" priority="1411">
      <formula>AND(N1293&lt;=3, N1293&lt;&gt;"")</formula>
    </cfRule>
  </conditionalFormatting>
  <conditionalFormatting sqref="N1295">
    <cfRule type="expression" dxfId="35" priority="1453">
      <formula>AND(N1295&lt;=3, N1295&lt;&gt;"")</formula>
    </cfRule>
  </conditionalFormatting>
  <conditionalFormatting sqref="N1298">
    <cfRule type="expression" dxfId="34" priority="190">
      <formula>AND(N1298&lt;=3, N1298&lt;&gt;"")</formula>
    </cfRule>
  </conditionalFormatting>
  <conditionalFormatting sqref="N1298:N1301">
    <cfRule type="expression" dxfId="33" priority="390">
      <formula>AND(N1298&lt;1.6, N1298&lt;&gt;"")</formula>
    </cfRule>
    <cfRule type="expression" dxfId="32" priority="392">
      <formula>AND(N1298&lt;=3, N1298&lt;&gt;"")</formula>
    </cfRule>
  </conditionalFormatting>
  <conditionalFormatting sqref="N1300">
    <cfRule type="expression" dxfId="31" priority="389">
      <formula>AND(N1300&lt;=3, N1300&lt;&gt;"")</formula>
    </cfRule>
  </conditionalFormatting>
  <conditionalFormatting sqref="N1302">
    <cfRule type="expression" dxfId="30" priority="1435">
      <formula>AND(N1302&lt;=3, N1302&lt;&gt;"")</formula>
    </cfRule>
  </conditionalFormatting>
  <conditionalFormatting sqref="N1304">
    <cfRule type="expression" dxfId="29" priority="1428">
      <formula>AND(N1304&lt;=3, N1304&lt;&gt;"")</formula>
    </cfRule>
  </conditionalFormatting>
  <conditionalFormatting sqref="N1306">
    <cfRule type="expression" dxfId="28" priority="1442">
      <formula>AND(N1306&lt;=3, N1306&lt;&gt;"")</formula>
    </cfRule>
  </conditionalFormatting>
  <conditionalFormatting sqref="N1308">
    <cfRule type="expression" dxfId="27" priority="1449">
      <formula>AND(N1308&lt;=3, N1308&lt;&gt;"")</formula>
    </cfRule>
  </conditionalFormatting>
  <conditionalFormatting sqref="N1310 N1312:N1313 N1315">
    <cfRule type="expression" dxfId="26" priority="1270">
      <formula>AND(N1310&lt;1.6, N1310&lt;&gt;"")</formula>
    </cfRule>
  </conditionalFormatting>
  <conditionalFormatting sqref="N1310 N1312:N1313">
    <cfRule type="expression" dxfId="25" priority="1268">
      <formula>AND(N1310&lt;=3, N1310&lt;&gt;"")</formula>
    </cfRule>
  </conditionalFormatting>
  <conditionalFormatting sqref="N1310">
    <cfRule type="expression" dxfId="24" priority="1250">
      <formula>AND(N1310&lt;=3, N1310&lt;&gt;"")</formula>
    </cfRule>
  </conditionalFormatting>
  <conditionalFormatting sqref="N1310:N1313">
    <cfRule type="expression" dxfId="23" priority="1120">
      <formula>AND(N1310&lt;1.6, N1310&lt;&gt;"")</formula>
    </cfRule>
  </conditionalFormatting>
  <conditionalFormatting sqref="N1311">
    <cfRule type="expression" dxfId="22" priority="1107">
      <formula>AND(N1311&lt;1.6, N1311&lt;&gt;"")</formula>
    </cfRule>
    <cfRule type="expression" dxfId="21" priority="1118">
      <formula>AND(N1311&lt;=3, N1311&lt;&gt;"")</formula>
    </cfRule>
  </conditionalFormatting>
  <conditionalFormatting sqref="N1312:N1313 N1310">
    <cfRule type="expression" dxfId="20" priority="1265">
      <formula>AND(N1310&lt;1.6, N1310&lt;&gt;"")</formula>
    </cfRule>
  </conditionalFormatting>
  <conditionalFormatting sqref="N1313">
    <cfRule type="expression" dxfId="19" priority="1257">
      <formula>AND(N1313&lt;=3, N1313&lt;&gt;"")</formula>
    </cfRule>
  </conditionalFormatting>
  <conditionalFormatting sqref="N1314">
    <cfRule type="expression" dxfId="18" priority="1103">
      <formula>AND(N1314&lt;=3, N1314&lt;&gt;"")</formula>
    </cfRule>
    <cfRule type="expression" dxfId="17" priority="1089">
      <formula>AND(N1314&lt;1.6, N1314&lt;&gt;"")</formula>
    </cfRule>
  </conditionalFormatting>
  <conditionalFormatting sqref="N1314:N1318">
    <cfRule type="expression" dxfId="16" priority="1105">
      <formula>AND(N1314&lt;1.6, N1314&lt;&gt;"")</formula>
    </cfRule>
  </conditionalFormatting>
  <conditionalFormatting sqref="N1315:N1316">
    <cfRule type="expression" dxfId="15" priority="1264">
      <formula>AND(N1315&lt;=3, N1315&lt;&gt;"")</formula>
    </cfRule>
  </conditionalFormatting>
  <conditionalFormatting sqref="N1319">
    <cfRule type="expression" dxfId="14" priority="189">
      <formula>AND(N1319&lt;=3, N1319&lt;&gt;"")</formula>
    </cfRule>
  </conditionalFormatting>
  <conditionalFormatting sqref="N1319:N1322">
    <cfRule type="expression" dxfId="13" priority="379">
      <formula>AND(N1319&lt;=3, N1319&lt;&gt;"")</formula>
    </cfRule>
    <cfRule type="expression" dxfId="12" priority="377">
      <formula>AND(N1319&lt;1.6, N1319&lt;&gt;"")</formula>
    </cfRule>
  </conditionalFormatting>
  <conditionalFormatting sqref="N1319:N1324">
    <cfRule type="expression" dxfId="11" priority="366">
      <formula>AND(N1319&lt;1.6, N1319&lt;&gt;"")</formula>
    </cfRule>
  </conditionalFormatting>
  <conditionalFormatting sqref="N1319:N1048576">
    <cfRule type="expression" dxfId="10" priority="380">
      <formula>AND(N1319&lt;1.6, N1319&lt;&gt;"")</formula>
    </cfRule>
  </conditionalFormatting>
  <conditionalFormatting sqref="N1321">
    <cfRule type="expression" dxfId="9" priority="376">
      <formula>AND(N1321&lt;=3, N1321&lt;&gt;"")</formula>
    </cfRule>
  </conditionalFormatting>
  <conditionalFormatting sqref="N1323">
    <cfRule type="expression" dxfId="8" priority="362">
      <formula>AND(N1323&lt;=3, N1323&lt;&gt;"")</formula>
    </cfRule>
  </conditionalFormatting>
  <conditionalFormatting sqref="N1323:N1324">
    <cfRule type="expression" dxfId="7" priority="363">
      <formula>AND(N1323&lt;1.6, N1323&lt;&gt;"")</formula>
    </cfRule>
    <cfRule type="expression" dxfId="6" priority="365">
      <formula>AND(N1323&lt;=3, N1323&lt;&gt;"")</formula>
    </cfRule>
  </conditionalFormatting>
  <conditionalFormatting sqref="N1325">
    <cfRule type="expression" dxfId="5" priority="230">
      <formula>AND(N1325&lt;=3, N1325&lt;&gt;"")</formula>
    </cfRule>
  </conditionalFormatting>
  <conditionalFormatting sqref="N1325:N1326">
    <cfRule type="expression" dxfId="4" priority="222">
      <formula>AND(N1325&lt;1.6, N1325&lt;&gt;"")</formula>
    </cfRule>
    <cfRule type="expression" dxfId="3" priority="231">
      <formula>AND(N1325&lt;1.6, N1325&lt;&gt;"")</formula>
    </cfRule>
    <cfRule type="expression" dxfId="2" priority="233">
      <formula>AND(N1325&lt;=3, N1325&lt;&gt;"")</formula>
    </cfRule>
  </conditionalFormatting>
  <conditionalFormatting sqref="S881:S883 S892:S893">
    <cfRule type="expression" dxfId="1" priority="711">
      <formula>AND(ISNUMBER(S881), S881&lt;&gt;"-", S881&lt;&gt;0)</formula>
    </cfRule>
  </conditionalFormatting>
  <conditionalFormatting sqref="Y881 Y883 Y892:Y893">
    <cfRule type="expression" dxfId="0" priority="709">
      <formula>AND(ISNUMBER(Y881), Y881&lt;&gt;"-", Y881&lt;&gt;0)</formula>
    </cfRule>
  </conditionalFormatting>
  <pageMargins left="0.25" right="0.25" top="0.75" bottom="0.75" header="0.3" footer="0.3"/>
  <pageSetup paperSize="9" fitToHeight="0" orientation="portrait" ns4:id="rId1"/>
  <legacyDrawing ns4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>
    <tabColor theme="7" tint="0.79998168889431442"/>
  </sheetPr>
  <dimension ref="A1:L1204"/>
  <sheetViews>
    <sheetView workbookViewId="0">
      <selection activeCell="B14" sqref="B14:F14"/>
    </sheetView>
  </sheetViews>
  <sheetFormatPr defaultRowHeight="16.5" x14ac:dyDescent="0.3"/>
  <cols>
    <col min="2" max="2" width="9" style="46"/>
    <col min="3" max="3" width="28.25" style="46" bestFit="1" customWidth="1"/>
    <col min="4" max="4" width="9.875" style="46" bestFit="1" customWidth="1"/>
    <col min="5" max="5" width="8.125" style="46" bestFit="1" customWidth="1"/>
    <col min="6" max="6" width="9.125" style="46" bestFit="1" customWidth="1"/>
    <col min="9" max="9" width="28.25" bestFit="1" customWidth="1"/>
    <col min="10" max="10" width="9.875" bestFit="1" customWidth="1"/>
    <col min="11" max="11" width="8.125" bestFit="1" customWidth="1"/>
    <col min="12" max="12" width="9.125" bestFit="1" customWidth="1"/>
  </cols>
  <sheetData>
    <row r="1" spans="1:12" ht="17.25" thickBot="1" x14ac:dyDescent="0.35"/>
    <row r="2" spans="1:12" ht="27" thickBot="1" x14ac:dyDescent="0.35">
      <c r="B2" s="347" t="s">
        <v>180</v>
      </c>
      <c r="C2" s="348"/>
      <c r="D2" s="122" t="s">
        <v>179</v>
      </c>
      <c r="E2" s="349">
        <f>SUM(F5:F14)</f>
        <v>304224.25</v>
      </c>
      <c r="F2" s="350"/>
      <c r="H2" s="347" t="s">
        <v>34</v>
      </c>
      <c r="I2" s="348"/>
      <c r="J2" s="122" t="s">
        <v>179</v>
      </c>
      <c r="K2" s="349">
        <f>SUM(L5:L9)</f>
        <v>198567.93000000002</v>
      </c>
      <c r="L2" s="350"/>
    </row>
    <row r="3" spans="1:12" ht="6.75" customHeight="1" x14ac:dyDescent="0.3">
      <c r="H3" s="46"/>
      <c r="I3" s="46"/>
      <c r="J3" s="46"/>
      <c r="K3" s="46"/>
      <c r="L3" s="46"/>
    </row>
    <row r="4" spans="1:12" ht="17.25" thickBot="1" x14ac:dyDescent="0.35">
      <c r="B4" s="128" t="s">
        <v>31</v>
      </c>
      <c r="C4" s="234" t="s">
        <v>33</v>
      </c>
      <c r="D4" s="234" t="s">
        <v>30</v>
      </c>
      <c r="E4" s="128">
        <v>1.1000000000000001</v>
      </c>
      <c r="F4" s="128" t="s">
        <v>178</v>
      </c>
      <c r="H4" s="128" t="s">
        <v>31</v>
      </c>
      <c r="I4" s="234" t="s">
        <v>33</v>
      </c>
      <c r="J4" s="234" t="s">
        <v>30</v>
      </c>
      <c r="K4" s="128">
        <v>1.1000000000000001</v>
      </c>
      <c r="L4" s="128" t="s">
        <v>178</v>
      </c>
    </row>
    <row r="5" spans="1:12" ht="17.25" thickTop="1" x14ac:dyDescent="0.3">
      <c r="B5" s="123">
        <f>INDEX('야채 계산기'!$3:$3,MATCH(C5,'야채 계산기'!$2:$2,0))</f>
        <v>6030</v>
      </c>
      <c r="C5" s="36" t="s">
        <v>302</v>
      </c>
      <c r="D5" s="124">
        <v>12.62</v>
      </c>
      <c r="E5" s="123">
        <f t="shared" ref="E5:E10" si="0">B5*$E$4</f>
        <v>6633.0000000000009</v>
      </c>
      <c r="F5" s="123">
        <f t="shared" ref="F5:F10" si="1">D5*E5</f>
        <v>83708.460000000006</v>
      </c>
      <c r="H5" s="123">
        <f>INDEX('야채 계산기'!$3:$3,MATCH(I5,'야채 계산기'!$2:$2,0))</f>
        <v>170</v>
      </c>
      <c r="I5" s="36" t="s">
        <v>174</v>
      </c>
      <c r="J5" s="133">
        <v>43.99</v>
      </c>
      <c r="K5" s="123">
        <f t="shared" ref="K5:K9" si="2">H5*$E$4</f>
        <v>187.00000000000003</v>
      </c>
      <c r="L5" s="123">
        <f t="shared" ref="L5:L9" si="3">J5*K5</f>
        <v>8226.130000000001</v>
      </c>
    </row>
    <row r="6" spans="1:12" x14ac:dyDescent="0.3">
      <c r="B6" s="123">
        <f>INDEX('야채 계산기'!$3:$3,MATCH(C6,'야채 계산기'!$2:$2,0))</f>
        <v>104</v>
      </c>
      <c r="C6" s="142" t="s">
        <v>208</v>
      </c>
      <c r="D6" s="124">
        <f>'[1]슈퍼)착한1900핫도그-사라다(25.09.02)'!$B$6</f>
        <v>9.6999999999999993</v>
      </c>
      <c r="E6" s="123">
        <f t="shared" si="0"/>
        <v>114.4</v>
      </c>
      <c r="F6" s="123">
        <f t="shared" si="1"/>
        <v>1109.68</v>
      </c>
      <c r="H6" s="123">
        <f>INDEX('야채 계산기'!$3:$3,MATCH(I6,'야채 계산기'!$2:$2,0))</f>
        <v>3620</v>
      </c>
      <c r="I6" s="36" t="s">
        <v>303</v>
      </c>
      <c r="J6" s="37">
        <v>19.420000000000002</v>
      </c>
      <c r="K6" s="123">
        <f t="shared" si="2"/>
        <v>3982.0000000000005</v>
      </c>
      <c r="L6" s="123">
        <f t="shared" si="3"/>
        <v>77330.440000000017</v>
      </c>
    </row>
    <row r="7" spans="1:12" x14ac:dyDescent="0.3">
      <c r="B7" s="123">
        <f>INDEX('야채 계산기'!$3:$3,MATCH(C7,'야채 계산기'!$2:$2,0))</f>
        <v>1100</v>
      </c>
      <c r="C7" s="36" t="s">
        <v>270</v>
      </c>
      <c r="D7" s="124">
        <v>11.34</v>
      </c>
      <c r="E7" s="123">
        <f t="shared" si="0"/>
        <v>1210</v>
      </c>
      <c r="F7" s="123">
        <f t="shared" si="1"/>
        <v>13721.4</v>
      </c>
      <c r="H7" s="123">
        <f>INDEX('야채 계산기'!$3:$3,MATCH(I7,'야채 계산기'!$2:$2,0))</f>
        <v>4420</v>
      </c>
      <c r="I7" s="36" t="s">
        <v>491</v>
      </c>
      <c r="J7" s="37">
        <v>11.66</v>
      </c>
      <c r="K7" s="123">
        <f t="shared" si="2"/>
        <v>4862</v>
      </c>
      <c r="L7" s="123">
        <f t="shared" si="3"/>
        <v>56690.92</v>
      </c>
    </row>
    <row r="8" spans="1:12" x14ac:dyDescent="0.3">
      <c r="B8" s="123">
        <f>INDEX('야채 계산기'!$3:$3,MATCH(C8,'야채 계산기'!$2:$2,0))</f>
        <v>170</v>
      </c>
      <c r="C8" s="142" t="s">
        <v>174</v>
      </c>
      <c r="D8" s="124">
        <v>19.05</v>
      </c>
      <c r="E8" s="130">
        <f t="shared" si="0"/>
        <v>187.00000000000003</v>
      </c>
      <c r="F8" s="130">
        <f t="shared" si="1"/>
        <v>3562.3500000000008</v>
      </c>
      <c r="H8" s="123">
        <f>INDEX('야채 계산기'!$3:$3,MATCH(I8,'야채 계산기'!$2:$2,0))</f>
        <v>1780</v>
      </c>
      <c r="I8" s="142" t="s">
        <v>563</v>
      </c>
      <c r="J8" s="37">
        <v>21.88</v>
      </c>
      <c r="K8" s="123">
        <f t="shared" si="2"/>
        <v>1958.0000000000002</v>
      </c>
      <c r="L8" s="123">
        <f t="shared" si="3"/>
        <v>42841.04</v>
      </c>
    </row>
    <row r="9" spans="1:12" x14ac:dyDescent="0.3">
      <c r="B9" s="123">
        <f>INDEX('야채 계산기'!$3:$3,MATCH(C9,'야채 계산기'!$2:$2,0))</f>
        <v>3620</v>
      </c>
      <c r="C9" s="36" t="s">
        <v>303</v>
      </c>
      <c r="D9" s="124">
        <v>8.98</v>
      </c>
      <c r="E9" s="123">
        <f t="shared" si="0"/>
        <v>3982.0000000000005</v>
      </c>
      <c r="F9" s="123">
        <f t="shared" si="1"/>
        <v>35758.360000000008</v>
      </c>
      <c r="H9" s="123">
        <f>INDEX('야채 계산기'!$3:$3,MATCH(I9,'야채 계산기'!$2:$2,0))</f>
        <v>1100</v>
      </c>
      <c r="I9" s="269" t="s">
        <v>575</v>
      </c>
      <c r="J9" s="37">
        <v>11.14</v>
      </c>
      <c r="K9" s="123">
        <f t="shared" si="2"/>
        <v>1210</v>
      </c>
      <c r="L9" s="123">
        <f t="shared" si="3"/>
        <v>13479.400000000001</v>
      </c>
    </row>
    <row r="10" spans="1:12" x14ac:dyDescent="0.3">
      <c r="B10" s="123">
        <f>INDEX('야채 계산기'!$3:$3,MATCH(C10,'야채 계산기'!$2:$2,0))</f>
        <v>4420</v>
      </c>
      <c r="C10" s="36" t="s">
        <v>491</v>
      </c>
      <c r="D10" s="124">
        <v>5.39</v>
      </c>
      <c r="E10" s="123">
        <f t="shared" si="0"/>
        <v>4862</v>
      </c>
      <c r="F10" s="123">
        <f t="shared" si="1"/>
        <v>26206.179999999997</v>
      </c>
    </row>
    <row r="11" spans="1:12" x14ac:dyDescent="0.3">
      <c r="A11" t="s">
        <v>289</v>
      </c>
      <c r="B11" s="123">
        <f>INDEX('야채 계산기'!$3:$3,MATCH(C11,'야채 계산기'!$2:$2,0))</f>
        <v>4900</v>
      </c>
      <c r="C11" s="36" t="s">
        <v>297</v>
      </c>
      <c r="D11" s="124">
        <v>9.56</v>
      </c>
      <c r="E11" s="123">
        <f t="shared" ref="E11:E14" si="4">B11*$E$4</f>
        <v>5390</v>
      </c>
      <c r="F11" s="123">
        <f t="shared" ref="F11:F14" si="5">D11*E11</f>
        <v>51528.4</v>
      </c>
    </row>
    <row r="12" spans="1:12" x14ac:dyDescent="0.3">
      <c r="A12" t="s">
        <v>289</v>
      </c>
      <c r="B12" s="123">
        <f>INDEX('야채 계산기'!$3:$3,MATCH(C12,'야채 계산기'!$2:$2,0))</f>
        <v>1780</v>
      </c>
      <c r="C12" s="142" t="s">
        <v>563</v>
      </c>
      <c r="D12" s="124">
        <v>22.17</v>
      </c>
      <c r="E12" s="123">
        <f t="shared" si="4"/>
        <v>1958.0000000000002</v>
      </c>
      <c r="F12" s="123">
        <f t="shared" si="5"/>
        <v>43408.860000000008</v>
      </c>
    </row>
    <row r="13" spans="1:12" x14ac:dyDescent="0.3">
      <c r="A13" t="s">
        <v>289</v>
      </c>
      <c r="B13" s="123">
        <f>INDEX('야채 계산기'!$3:$3,MATCH(C13,'야채 계산기'!$2:$2,0))</f>
        <v>1100</v>
      </c>
      <c r="C13" s="256" t="s">
        <v>575</v>
      </c>
      <c r="D13" s="124">
        <v>5.39</v>
      </c>
      <c r="E13" s="123">
        <f t="shared" ref="E13" si="6">B13*$E$4</f>
        <v>1210</v>
      </c>
      <c r="F13" s="123">
        <f t="shared" ref="F13" si="7">D13*E13</f>
        <v>6521.9</v>
      </c>
    </row>
    <row r="14" spans="1:12" x14ac:dyDescent="0.3">
      <c r="B14" s="123">
        <f>INDEX('야채 계산기'!$3:$3,MATCH(C14,'야채 계산기'!$2:$2,0))</f>
        <v>1820</v>
      </c>
      <c r="C14" s="256" t="s">
        <v>793</v>
      </c>
      <c r="D14" s="124">
        <v>19.329999999999998</v>
      </c>
      <c r="E14" s="123">
        <f t="shared" si="4"/>
        <v>2002.0000000000002</v>
      </c>
      <c r="F14" s="123">
        <f t="shared" si="5"/>
        <v>38698.660000000003</v>
      </c>
    </row>
    <row r="1193" spans="3:5" x14ac:dyDescent="0.3">
      <c r="C1193" s="46" t="s">
        <v>195</v>
      </c>
      <c r="E1193" s="46">
        <v>4</v>
      </c>
    </row>
    <row r="1194" spans="3:5" x14ac:dyDescent="0.3">
      <c r="C1194" s="46">
        <f>'[1]유우카의알찬정식(25.7.15)'!$B$27</f>
        <v>0.51</v>
      </c>
    </row>
    <row r="1204" spans="8:8" x14ac:dyDescent="0.3">
      <c r="H1204">
        <f>ROUNDUP((B1194*C1194)/500,0)</f>
        <v>0</v>
      </c>
    </row>
  </sheetData>
  <mergeCells count="4">
    <mergeCell ref="B2:C2"/>
    <mergeCell ref="E2:F2"/>
    <mergeCell ref="H2:I2"/>
    <mergeCell ref="K2:L2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theme="0" tint="-0.249977111117893"/>
  </sheetPr>
  <dimension ref="B1:H1207"/>
  <sheetViews>
    <sheetView workbookViewId="0">
      <selection activeCell="C22" sqref="C22"/>
    </sheetView>
  </sheetViews>
  <sheetFormatPr defaultRowHeight="16.5" x14ac:dyDescent="0.3"/>
  <cols>
    <col min="2" max="2" width="9" style="46"/>
    <col min="3" max="3" width="28.25" style="46" bestFit="1" customWidth="1"/>
    <col min="4" max="4" width="9.875" style="46" bestFit="1" customWidth="1"/>
    <col min="5" max="6" width="9" style="46"/>
  </cols>
  <sheetData>
    <row r="1" spans="2:8" ht="17.25" thickBot="1" x14ac:dyDescent="0.35"/>
    <row r="2" spans="2:8" ht="27" thickBot="1" x14ac:dyDescent="0.35">
      <c r="B2" s="351" t="s">
        <v>50</v>
      </c>
      <c r="C2" s="352"/>
      <c r="D2" s="122" t="s">
        <v>179</v>
      </c>
      <c r="E2" s="131">
        <f>SUM(F5:F22)</f>
        <v>24367.255000000005</v>
      </c>
      <c r="F2" s="129">
        <f>E2/25000</f>
        <v>0.97469020000000017</v>
      </c>
    </row>
    <row r="3" spans="2:8" ht="6.75" customHeight="1" x14ac:dyDescent="0.3"/>
    <row r="4" spans="2:8" ht="17.25" thickBot="1" x14ac:dyDescent="0.35">
      <c r="B4" s="128" t="s">
        <v>31</v>
      </c>
      <c r="C4" s="234" t="s">
        <v>33</v>
      </c>
      <c r="D4" s="234" t="s">
        <v>30</v>
      </c>
      <c r="E4" s="128">
        <v>1.1000000000000001</v>
      </c>
      <c r="F4" s="128" t="s">
        <v>178</v>
      </c>
    </row>
    <row r="5" spans="2:8" ht="17.25" thickTop="1" x14ac:dyDescent="0.3">
      <c r="B5" s="125">
        <f>INDEX('야채 계산기'!$3:$3,MATCH(C5,'야채 계산기'!$2:$2,0))</f>
        <v>3150</v>
      </c>
      <c r="C5" s="126" t="s">
        <v>18</v>
      </c>
      <c r="D5" s="127">
        <v>0.18</v>
      </c>
      <c r="E5" s="125">
        <f>B5*$E$4</f>
        <v>3465.0000000000005</v>
      </c>
      <c r="F5" s="125">
        <f>D5*E5</f>
        <v>623.70000000000005</v>
      </c>
    </row>
    <row r="6" spans="2:8" x14ac:dyDescent="0.3">
      <c r="B6" s="123">
        <f>INDEX('야채 계산기'!$3:$3,MATCH(C6,'야채 계산기'!$2:$2,0))</f>
        <v>1190</v>
      </c>
      <c r="C6" s="36" t="s">
        <v>326</v>
      </c>
      <c r="D6" s="124">
        <v>0.82</v>
      </c>
      <c r="E6" s="123">
        <f t="shared" ref="E6:E16" si="0">B6*$E$4</f>
        <v>1309</v>
      </c>
      <c r="F6" s="123">
        <f t="shared" ref="F6:F16" si="1">D6*E6</f>
        <v>1073.3799999999999</v>
      </c>
      <c r="H6" t="s">
        <v>330</v>
      </c>
    </row>
    <row r="7" spans="2:8" x14ac:dyDescent="0.3">
      <c r="B7" s="123">
        <f>INDEX('야채 계산기'!$3:$3,MATCH(C7,'야채 계산기'!$2:$2,0))</f>
        <v>6030</v>
      </c>
      <c r="C7" s="36" t="s">
        <v>302</v>
      </c>
      <c r="D7" s="124">
        <v>0.37</v>
      </c>
      <c r="E7" s="123">
        <f t="shared" si="0"/>
        <v>6633.0000000000009</v>
      </c>
      <c r="F7" s="123">
        <f t="shared" si="1"/>
        <v>2454.2100000000005</v>
      </c>
    </row>
    <row r="8" spans="2:8" x14ac:dyDescent="0.3">
      <c r="B8" s="123">
        <f>INDEX('야채 계산기'!$3:$3,MATCH(C8,'야채 계산기'!$2:$2,0))</f>
        <v>2090</v>
      </c>
      <c r="C8" s="179" t="s">
        <v>489</v>
      </c>
      <c r="D8" s="124">
        <f>'[1]스팸무스비(25.8.26)'!$B$6</f>
        <v>0.37</v>
      </c>
      <c r="E8" s="123">
        <f t="shared" si="0"/>
        <v>2299</v>
      </c>
      <c r="F8" s="123">
        <f t="shared" si="1"/>
        <v>850.63</v>
      </c>
    </row>
    <row r="9" spans="2:8" x14ac:dyDescent="0.3">
      <c r="B9" s="123">
        <f>INDEX('야채 계산기'!$3:$3,MATCH(C9,'야채 계산기'!$2:$2,0))</f>
        <v>2840</v>
      </c>
      <c r="C9" s="142" t="s">
        <v>257</v>
      </c>
      <c r="D9" s="124">
        <v>0.99</v>
      </c>
      <c r="E9" s="123">
        <f t="shared" si="0"/>
        <v>3124.0000000000005</v>
      </c>
      <c r="F9" s="123">
        <f t="shared" si="1"/>
        <v>3092.76</v>
      </c>
    </row>
    <row r="10" spans="2:8" x14ac:dyDescent="0.3">
      <c r="B10" s="123">
        <f>INDEX('야채 계산기'!$3:$3,MATCH(C10,'야채 계산기'!$2:$2,0))</f>
        <v>1170</v>
      </c>
      <c r="C10" s="142" t="s">
        <v>624</v>
      </c>
      <c r="D10" s="124">
        <v>0.09</v>
      </c>
      <c r="E10" s="123">
        <f>B10*$E$4</f>
        <v>1287</v>
      </c>
      <c r="F10" s="123">
        <f>D10*E10</f>
        <v>115.83</v>
      </c>
    </row>
    <row r="11" spans="2:8" x14ac:dyDescent="0.3">
      <c r="B11" s="123">
        <f>INDEX('야채 계산기'!$3:$3,MATCH(C11,'야채 계산기'!$2:$2,0))</f>
        <v>3620</v>
      </c>
      <c r="C11" s="142" t="s">
        <v>303</v>
      </c>
      <c r="D11" s="124">
        <v>0.75</v>
      </c>
      <c r="E11" s="123">
        <f t="shared" si="0"/>
        <v>3982.0000000000005</v>
      </c>
      <c r="F11" s="123">
        <f t="shared" si="1"/>
        <v>2986.5000000000005</v>
      </c>
      <c r="H11" t="s">
        <v>331</v>
      </c>
    </row>
    <row r="12" spans="2:8" x14ac:dyDescent="0.3">
      <c r="B12" s="123">
        <f>INDEX('야채 계산기'!$3:$3,MATCH(C12,'야채 계산기'!$2:$2,0))</f>
        <v>4420</v>
      </c>
      <c r="C12" s="142" t="s">
        <v>491</v>
      </c>
      <c r="D12" s="124">
        <v>0.82</v>
      </c>
      <c r="E12" s="123">
        <f t="shared" si="0"/>
        <v>4862</v>
      </c>
      <c r="F12" s="123">
        <f t="shared" si="1"/>
        <v>3986.8399999999997</v>
      </c>
      <c r="H12" t="s">
        <v>310</v>
      </c>
    </row>
    <row r="13" spans="2:8" x14ac:dyDescent="0.3">
      <c r="B13" s="123">
        <f>INDEX('야채 계산기'!$3:$3,MATCH(C13,'야채 계산기'!$2:$2,0))</f>
        <v>4900</v>
      </c>
      <c r="C13" s="142" t="s">
        <v>298</v>
      </c>
      <c r="D13" s="124">
        <v>0.33</v>
      </c>
      <c r="E13" s="123">
        <f>B13*$E$4</f>
        <v>5390</v>
      </c>
      <c r="F13" s="123">
        <f>D13*E13</f>
        <v>1778.7</v>
      </c>
      <c r="H13" t="s">
        <v>286</v>
      </c>
    </row>
    <row r="14" spans="2:8" x14ac:dyDescent="0.3">
      <c r="B14" s="123">
        <f>INDEX('야채 계산기'!$3:$3,MATCH(C14,'야채 계산기'!$2:$2,0))</f>
        <v>170</v>
      </c>
      <c r="C14" s="36" t="s">
        <v>174</v>
      </c>
      <c r="D14" s="124">
        <v>2.7</v>
      </c>
      <c r="E14" s="123">
        <f t="shared" si="0"/>
        <v>187.00000000000003</v>
      </c>
      <c r="F14" s="123">
        <f t="shared" si="1"/>
        <v>504.90000000000009</v>
      </c>
      <c r="H14" t="s">
        <v>286</v>
      </c>
    </row>
    <row r="15" spans="2:8" x14ac:dyDescent="0.3">
      <c r="B15" s="123">
        <f>INDEX('야채 계산기'!$3:$3,MATCH(C15,'야채 계산기'!$2:$2,0))</f>
        <v>1100</v>
      </c>
      <c r="C15" s="36" t="s">
        <v>268</v>
      </c>
      <c r="D15" s="124">
        <v>0.54</v>
      </c>
      <c r="E15" s="123">
        <f>B15*$E$4</f>
        <v>1210</v>
      </c>
      <c r="F15" s="123">
        <f>D15*E15</f>
        <v>653.40000000000009</v>
      </c>
      <c r="H15" t="s">
        <v>294</v>
      </c>
    </row>
    <row r="16" spans="2:8" x14ac:dyDescent="0.3">
      <c r="B16" s="123">
        <f>INDEX('야채 계산기'!$3:$3,MATCH(C16,'야채 계산기'!$2:$2,0))</f>
        <v>1050</v>
      </c>
      <c r="C16" s="36" t="s">
        <v>269</v>
      </c>
      <c r="D16" s="124">
        <v>0.9</v>
      </c>
      <c r="E16" s="123">
        <f t="shared" si="0"/>
        <v>1155</v>
      </c>
      <c r="F16" s="123">
        <f t="shared" si="1"/>
        <v>1039.5</v>
      </c>
    </row>
    <row r="17" spans="2:8" x14ac:dyDescent="0.3">
      <c r="B17" s="123">
        <f>INDEX('야채 계산기'!$3:$3,MATCH(C17,'야채 계산기'!$2:$2,0))</f>
        <v>55</v>
      </c>
      <c r="C17" s="36" t="s">
        <v>492</v>
      </c>
      <c r="D17" s="124">
        <f>'[1]착한비빔밥(25.10.23)'!$B$15</f>
        <v>0.16999999999999998</v>
      </c>
      <c r="E17" s="123">
        <f t="shared" ref="E17:E21" si="2">B17*$E$4</f>
        <v>60.500000000000007</v>
      </c>
      <c r="F17" s="123">
        <f t="shared" ref="F17:F21" si="3">D17*E17</f>
        <v>10.285</v>
      </c>
    </row>
    <row r="18" spans="2:8" x14ac:dyDescent="0.3">
      <c r="B18" s="123">
        <f>INDEX('야채 계산기'!$3:$3,MATCH(C18,'야채 계산기'!$2:$2,0))</f>
        <v>1290</v>
      </c>
      <c r="C18" s="179" t="s">
        <v>261</v>
      </c>
      <c r="D18" s="124">
        <v>0.54</v>
      </c>
      <c r="E18" s="123">
        <f t="shared" si="2"/>
        <v>1419.0000000000002</v>
      </c>
      <c r="F18" s="123">
        <f t="shared" si="3"/>
        <v>766.26000000000022</v>
      </c>
    </row>
    <row r="19" spans="2:8" x14ac:dyDescent="0.3">
      <c r="B19" s="123">
        <f>INDEX('야채 계산기'!$3:$3,MATCH(C19,'야채 계산기'!$2:$2,0))</f>
        <v>1780</v>
      </c>
      <c r="C19" s="249" t="s">
        <v>563</v>
      </c>
      <c r="D19" s="124">
        <v>0.59</v>
      </c>
      <c r="E19" s="123">
        <f t="shared" ref="E19" si="4">B19*$E$4</f>
        <v>1958.0000000000002</v>
      </c>
      <c r="F19" s="123">
        <f t="shared" ref="F19" si="5">D19*E19</f>
        <v>1155.22</v>
      </c>
    </row>
    <row r="20" spans="2:8" x14ac:dyDescent="0.3">
      <c r="B20" s="123">
        <f>INDEX('야채 계산기'!$3:$3,MATCH(C20,'야채 계산기'!$2:$2,0))</f>
        <v>1340</v>
      </c>
      <c r="C20" s="179" t="s">
        <v>443</v>
      </c>
      <c r="D20" s="124">
        <f>0.59+0.52+0.25</f>
        <v>1.3599999999999999</v>
      </c>
      <c r="E20" s="123">
        <f t="shared" si="2"/>
        <v>1474.0000000000002</v>
      </c>
      <c r="F20" s="123">
        <f t="shared" si="3"/>
        <v>2004.64</v>
      </c>
    </row>
    <row r="21" spans="2:8" x14ac:dyDescent="0.3">
      <c r="B21" s="123">
        <f>INDEX('야채 계산기'!$3:$3,MATCH(C21,'야채 계산기'!$2:$2,0))</f>
        <v>140</v>
      </c>
      <c r="C21" s="142" t="s">
        <v>189</v>
      </c>
      <c r="D21" s="124">
        <f>'[1]착한김치김밥(250612)슈퍼'!$B$5</f>
        <v>3.3</v>
      </c>
      <c r="E21" s="123">
        <f t="shared" si="2"/>
        <v>154</v>
      </c>
      <c r="F21" s="123">
        <f t="shared" si="3"/>
        <v>508.2</v>
      </c>
      <c r="H21" t="s">
        <v>497</v>
      </c>
    </row>
    <row r="22" spans="2:8" x14ac:dyDescent="0.3">
      <c r="B22" s="123">
        <f>INDEX('야채 계산기'!$3:$3,MATCH(C22,'야채 계산기'!$2:$2,0))</f>
        <v>1100</v>
      </c>
      <c r="C22" s="256" t="s">
        <v>796</v>
      </c>
      <c r="D22" s="124">
        <v>0.63</v>
      </c>
      <c r="E22" s="123">
        <f t="shared" ref="E22" si="6">B22*$E$4</f>
        <v>1210</v>
      </c>
      <c r="F22" s="123">
        <f t="shared" ref="F22" si="7">D22*E22</f>
        <v>762.3</v>
      </c>
    </row>
    <row r="375" spans="3:3" x14ac:dyDescent="0.3">
      <c r="C375" s="46" t="s">
        <v>194</v>
      </c>
    </row>
    <row r="1199" spans="8:8" x14ac:dyDescent="0.3">
      <c r="H1199">
        <f>ROUNDUP((B1207*C1207)/500,0)</f>
        <v>0</v>
      </c>
    </row>
    <row r="1206" spans="3:5" x14ac:dyDescent="0.3">
      <c r="C1206" s="46" t="s">
        <v>195</v>
      </c>
      <c r="E1206" s="46">
        <v>4</v>
      </c>
    </row>
    <row r="1207" spans="3:5" x14ac:dyDescent="0.3">
      <c r="C1207" s="46">
        <f>'[1]유우카의알찬정식(25.7.15)'!$B$27</f>
        <v>0.51</v>
      </c>
    </row>
  </sheetData>
  <mergeCells count="1">
    <mergeCell ref="B2:C2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R23"/>
  <sheetViews>
    <sheetView workbookViewId="0">
      <selection activeCell="G18" sqref="G18"/>
    </sheetView>
  </sheetViews>
  <sheetFormatPr defaultRowHeight="16.5" x14ac:dyDescent="0.3"/>
  <cols>
    <col min="2" max="2" width="9.25" bestFit="1" customWidth="1"/>
    <col min="3" max="3" width="27.875" bestFit="1" customWidth="1"/>
    <col min="4" max="4" width="9.875" bestFit="1" customWidth="1"/>
    <col min="8" max="8" width="9.25" bestFit="1" customWidth="1"/>
    <col min="9" max="9" width="27.875" bestFit="1" customWidth="1"/>
    <col min="10" max="10" width="9.875" bestFit="1" customWidth="1"/>
    <col min="14" max="14" width="9.25" bestFit="1" customWidth="1"/>
    <col min="15" max="15" width="27.875" bestFit="1" customWidth="1"/>
    <col min="16" max="16" width="9.875" bestFit="1" customWidth="1"/>
  </cols>
  <sheetData>
    <row r="1" spans="2:18" ht="17.25" thickBot="1" x14ac:dyDescent="0.35"/>
    <row r="2" spans="2:18" ht="27" thickBot="1" x14ac:dyDescent="0.35">
      <c r="B2" s="355" t="s">
        <v>400</v>
      </c>
      <c r="C2" s="356"/>
      <c r="D2" s="122" t="s">
        <v>179</v>
      </c>
      <c r="E2" s="353">
        <f>SUM(F5:F12)</f>
        <v>25845.9</v>
      </c>
      <c r="F2" s="354"/>
      <c r="H2" s="355" t="s">
        <v>399</v>
      </c>
      <c r="I2" s="356"/>
      <c r="J2" s="122" t="s">
        <v>179</v>
      </c>
      <c r="K2" s="353">
        <f>SUM(L5:L14)</f>
        <v>11736.2</v>
      </c>
      <c r="L2" s="354"/>
      <c r="N2" s="355" t="s">
        <v>404</v>
      </c>
      <c r="O2" s="356"/>
      <c r="P2" s="122" t="s">
        <v>179</v>
      </c>
      <c r="Q2" s="353">
        <f>SUM(R5:R23)</f>
        <v>16834.68</v>
      </c>
      <c r="R2" s="354"/>
    </row>
    <row r="3" spans="2:18" x14ac:dyDescent="0.3">
      <c r="B3" s="46"/>
      <c r="C3" s="46"/>
      <c r="D3" s="46"/>
      <c r="E3" s="46"/>
      <c r="F3" s="46"/>
      <c r="H3" s="46"/>
      <c r="I3" s="46"/>
      <c r="J3" s="46"/>
      <c r="K3" s="46"/>
      <c r="L3" s="46"/>
      <c r="N3" s="46"/>
      <c r="O3" s="46"/>
      <c r="P3" s="46"/>
      <c r="Q3" s="46"/>
      <c r="R3" s="46"/>
    </row>
    <row r="4" spans="2:18" ht="17.25" thickBot="1" x14ac:dyDescent="0.35">
      <c r="B4" s="128" t="s">
        <v>31</v>
      </c>
      <c r="C4" s="234" t="s">
        <v>33</v>
      </c>
      <c r="D4" s="234" t="s">
        <v>392</v>
      </c>
      <c r="E4" s="128">
        <v>1.01</v>
      </c>
      <c r="F4" s="128" t="s">
        <v>178</v>
      </c>
      <c r="H4" s="128" t="s">
        <v>31</v>
      </c>
      <c r="I4" s="234" t="s">
        <v>33</v>
      </c>
      <c r="J4" s="234" t="s">
        <v>392</v>
      </c>
      <c r="K4" s="128">
        <v>1.01</v>
      </c>
      <c r="L4" s="128" t="s">
        <v>178</v>
      </c>
      <c r="N4" s="128" t="s">
        <v>31</v>
      </c>
      <c r="O4" s="234" t="s">
        <v>33</v>
      </c>
      <c r="P4" s="234" t="s">
        <v>392</v>
      </c>
      <c r="Q4" s="128">
        <v>1.01</v>
      </c>
      <c r="R4" s="128" t="s">
        <v>178</v>
      </c>
    </row>
    <row r="5" spans="2:18" ht="17.25" thickTop="1" x14ac:dyDescent="0.3">
      <c r="B5" s="123">
        <f>INDEX('야채 계산기'!$3:$3,MATCH(C5,'야채 계산기'!$2:$2,0))</f>
        <v>3150</v>
      </c>
      <c r="C5" s="36" t="s">
        <v>16</v>
      </c>
      <c r="D5" s="133">
        <v>1</v>
      </c>
      <c r="E5" s="123">
        <f t="shared" ref="E5:E12" si="0">B5*$E$4</f>
        <v>3181.5</v>
      </c>
      <c r="F5" s="123">
        <f t="shared" ref="F5:F12" si="1">D5*E5</f>
        <v>3181.5</v>
      </c>
      <c r="H5" s="216">
        <f>INDEX('야채 계산기'!$3:$3,MATCH(I5,'야채 계산기'!$2:$2,0))</f>
        <v>1290</v>
      </c>
      <c r="I5" t="s">
        <v>267</v>
      </c>
      <c r="J5" s="217">
        <v>1</v>
      </c>
      <c r="K5" s="216">
        <f t="shared" ref="K5:K11" si="2">H5*$E$4</f>
        <v>1302.9000000000001</v>
      </c>
      <c r="L5" s="216">
        <f t="shared" ref="L5:L11" si="3">J5*K5</f>
        <v>1302.9000000000001</v>
      </c>
      <c r="N5" s="123">
        <f>INDEX('야채 계산기'!$3:$3,MATCH(O5,'야채 계산기'!$2:$2,0))</f>
        <v>2200</v>
      </c>
      <c r="O5" s="36" t="s">
        <v>757</v>
      </c>
      <c r="P5" s="133">
        <v>1</v>
      </c>
      <c r="Q5" s="123">
        <f t="shared" ref="Q5:Q9" si="4">N5*$E$4</f>
        <v>2222</v>
      </c>
      <c r="R5" s="123">
        <f t="shared" ref="R5:R9" si="5">P5*Q5</f>
        <v>2222</v>
      </c>
    </row>
    <row r="6" spans="2:18" x14ac:dyDescent="0.3">
      <c r="B6" s="123">
        <f>INDEX('야채 계산기'!$3:$3,MATCH(C6,'야채 계산기'!$2:$2,0))</f>
        <v>6030</v>
      </c>
      <c r="C6" s="36" t="s">
        <v>318</v>
      </c>
      <c r="D6" s="133">
        <v>1</v>
      </c>
      <c r="E6" s="123">
        <f t="shared" si="0"/>
        <v>6090.3</v>
      </c>
      <c r="F6" s="123">
        <f t="shared" si="1"/>
        <v>6090.3</v>
      </c>
      <c r="H6" s="123">
        <f>INDEX('야채 계산기'!$3:$3,MATCH(I6,'야채 계산기'!$2:$2,0))</f>
        <v>170</v>
      </c>
      <c r="I6" s="37" t="s">
        <v>174</v>
      </c>
      <c r="J6" s="133">
        <v>1</v>
      </c>
      <c r="K6" s="123">
        <f t="shared" si="2"/>
        <v>171.7</v>
      </c>
      <c r="L6" s="123">
        <f t="shared" si="3"/>
        <v>171.7</v>
      </c>
      <c r="N6" s="123">
        <f>INDEX('야채 계산기'!$3:$3,MATCH(O6,'야채 계산기'!$2:$2,0))</f>
        <v>55</v>
      </c>
      <c r="O6" s="36" t="s">
        <v>492</v>
      </c>
      <c r="P6" s="133">
        <v>1</v>
      </c>
      <c r="Q6" s="123">
        <f t="shared" si="4"/>
        <v>55.55</v>
      </c>
      <c r="R6" s="123">
        <f t="shared" si="5"/>
        <v>55.55</v>
      </c>
    </row>
    <row r="7" spans="2:18" x14ac:dyDescent="0.3">
      <c r="B7" s="123">
        <f>INDEX('야채 계산기'!$3:$3,MATCH(C7,'야채 계산기'!$2:$2,0))</f>
        <v>4420</v>
      </c>
      <c r="C7" s="36" t="s">
        <v>491</v>
      </c>
      <c r="D7" s="133">
        <v>1</v>
      </c>
      <c r="E7" s="123">
        <f t="shared" si="0"/>
        <v>4464.2</v>
      </c>
      <c r="F7" s="123">
        <f t="shared" si="1"/>
        <v>4464.2</v>
      </c>
      <c r="H7" s="123">
        <f>INDEX('야채 계산기'!$3:$3,MATCH(I7,'야채 계산기'!$2:$2,0))</f>
        <v>1100</v>
      </c>
      <c r="I7" s="37" t="s">
        <v>396</v>
      </c>
      <c r="J7" s="133">
        <v>1</v>
      </c>
      <c r="K7" s="123">
        <f t="shared" si="2"/>
        <v>1111</v>
      </c>
      <c r="L7" s="123">
        <f t="shared" si="3"/>
        <v>1111</v>
      </c>
      <c r="N7" s="123">
        <f>INDEX('야채 계산기'!$3:$3,MATCH(O7,'야채 계산기'!$2:$2,0))</f>
        <v>2020</v>
      </c>
      <c r="O7" s="36" t="s">
        <v>755</v>
      </c>
      <c r="P7" s="133">
        <v>1</v>
      </c>
      <c r="Q7" s="123">
        <f t="shared" ref="Q7" si="6">N7*$E$4</f>
        <v>2040.2</v>
      </c>
      <c r="R7" s="123">
        <f t="shared" ref="R7" si="7">P7*Q7</f>
        <v>2040.2</v>
      </c>
    </row>
    <row r="8" spans="2:18" x14ac:dyDescent="0.3">
      <c r="B8" s="123">
        <f>INDEX('야채 계산기'!$3:$3,MATCH(C8,'야채 계산기'!$2:$2,0))</f>
        <v>4900</v>
      </c>
      <c r="C8" s="36" t="s">
        <v>297</v>
      </c>
      <c r="D8" s="133">
        <v>1</v>
      </c>
      <c r="E8" s="123">
        <f>B8*$E$4</f>
        <v>4949</v>
      </c>
      <c r="F8" s="123">
        <f>D8*E8</f>
        <v>4949</v>
      </c>
      <c r="H8" s="123">
        <f>INDEX('야채 계산기'!$3:$3,MATCH(I8,'야채 계산기'!$2:$2,0))</f>
        <v>140</v>
      </c>
      <c r="I8" s="37" t="s">
        <v>189</v>
      </c>
      <c r="J8" s="133">
        <v>1</v>
      </c>
      <c r="K8" s="123">
        <f t="shared" si="2"/>
        <v>141.4</v>
      </c>
      <c r="L8" s="123">
        <f t="shared" si="3"/>
        <v>141.4</v>
      </c>
      <c r="N8" s="123">
        <f>INDEX('야채 계산기'!$3:$3,MATCH(O8,'야채 계산기'!$2:$2,0))</f>
        <v>810</v>
      </c>
      <c r="O8" s="36" t="s">
        <v>594</v>
      </c>
      <c r="P8" s="133">
        <v>1</v>
      </c>
      <c r="Q8" s="123">
        <f t="shared" si="4"/>
        <v>818.1</v>
      </c>
      <c r="R8" s="123">
        <f t="shared" si="5"/>
        <v>818.1</v>
      </c>
    </row>
    <row r="9" spans="2:18" x14ac:dyDescent="0.3">
      <c r="B9" s="123">
        <f>INDEX('야채 계산기'!$3:$3,MATCH(C9,'야채 계산기'!$2:$2,0))</f>
        <v>1630</v>
      </c>
      <c r="C9" s="256" t="s">
        <v>721</v>
      </c>
      <c r="D9" s="133">
        <v>1</v>
      </c>
      <c r="E9" s="123">
        <f>B9*$E$4</f>
        <v>1646.3</v>
      </c>
      <c r="F9" s="123">
        <f>D9*E9</f>
        <v>1646.3</v>
      </c>
      <c r="H9" s="123">
        <f>INDEX('야채 계산기'!$3:$3,MATCH(I9,'야채 계산기'!$2:$2,0))</f>
        <v>1190</v>
      </c>
      <c r="I9" s="37" t="s">
        <v>325</v>
      </c>
      <c r="J9" s="133">
        <v>1</v>
      </c>
      <c r="K9" s="123">
        <f t="shared" si="2"/>
        <v>1201.9000000000001</v>
      </c>
      <c r="L9" s="123">
        <f t="shared" si="3"/>
        <v>1201.9000000000001</v>
      </c>
      <c r="N9" s="123">
        <f>INDEX('야채 계산기'!$3:$3,MATCH(O9,'야채 계산기'!$2:$2,0))</f>
        <v>30</v>
      </c>
      <c r="O9" s="36" t="s">
        <v>403</v>
      </c>
      <c r="P9" s="133">
        <v>1</v>
      </c>
      <c r="Q9" s="123">
        <f t="shared" si="4"/>
        <v>30.3</v>
      </c>
      <c r="R9" s="123">
        <f t="shared" si="5"/>
        <v>30.3</v>
      </c>
    </row>
    <row r="10" spans="2:18" x14ac:dyDescent="0.3">
      <c r="B10" s="123">
        <f>INDEX('야채 계산기'!$3:$3,MATCH(C10,'야채 계산기'!$2:$2,0))</f>
        <v>3620</v>
      </c>
      <c r="C10" s="36" t="s">
        <v>391</v>
      </c>
      <c r="D10" s="133">
        <v>1</v>
      </c>
      <c r="E10" s="123">
        <f t="shared" ref="E10:E11" si="8">B10*$E$4</f>
        <v>3656.2</v>
      </c>
      <c r="F10" s="123">
        <f t="shared" ref="F10:F11" si="9">D10*E10</f>
        <v>3656.2</v>
      </c>
      <c r="H10" s="123">
        <f>INDEX('야채 계산기'!$3:$3,MATCH(I10,'야채 계산기'!$2:$2,0))</f>
        <v>1050</v>
      </c>
      <c r="I10" s="37" t="s">
        <v>397</v>
      </c>
      <c r="J10" s="133">
        <v>1</v>
      </c>
      <c r="K10" s="123">
        <f t="shared" ref="K10" si="10">H10*$E$4</f>
        <v>1060.5</v>
      </c>
      <c r="L10" s="123">
        <f t="shared" ref="L10" si="11">J10*K10</f>
        <v>1060.5</v>
      </c>
      <c r="N10" s="123">
        <f>INDEX('야채 계산기'!$3:$3,MATCH(O10,'야채 계산기'!$2:$2,0))</f>
        <v>640</v>
      </c>
      <c r="O10" s="36" t="s">
        <v>494</v>
      </c>
      <c r="P10" s="133">
        <v>1</v>
      </c>
      <c r="Q10" s="123">
        <f t="shared" ref="Q10:Q12" si="12">N10*$E$4</f>
        <v>646.4</v>
      </c>
      <c r="R10" s="123">
        <f t="shared" ref="R10:R12" si="13">P10*Q10</f>
        <v>646.4</v>
      </c>
    </row>
    <row r="11" spans="2:18" x14ac:dyDescent="0.3">
      <c r="B11" s="123">
        <f>INDEX('야채 계산기'!$3:$3,MATCH(C11,'야채 계산기'!$2:$2,0))</f>
        <v>1840</v>
      </c>
      <c r="C11" s="36" t="s">
        <v>576</v>
      </c>
      <c r="D11" s="133">
        <v>1</v>
      </c>
      <c r="E11" s="123">
        <f t="shared" si="8"/>
        <v>1858.4</v>
      </c>
      <c r="F11" s="123">
        <f t="shared" si="9"/>
        <v>1858.4</v>
      </c>
      <c r="H11" s="123">
        <f>INDEX('야채 계산기'!$3:$3,MATCH(I11,'야채 계산기'!$2:$2,0))</f>
        <v>1340</v>
      </c>
      <c r="I11" s="37" t="s">
        <v>500</v>
      </c>
      <c r="J11" s="133">
        <v>1</v>
      </c>
      <c r="K11" s="123">
        <f t="shared" si="2"/>
        <v>1353.4</v>
      </c>
      <c r="L11" s="123">
        <f t="shared" si="3"/>
        <v>1353.4</v>
      </c>
      <c r="N11" s="123">
        <f>INDEX('야채 계산기'!$3:$3,MATCH(O11,'야채 계산기'!$2:$2,0))</f>
        <v>1100</v>
      </c>
      <c r="O11" s="256" t="s">
        <v>796</v>
      </c>
      <c r="P11" s="133">
        <v>1</v>
      </c>
      <c r="Q11" s="123">
        <f t="shared" ref="Q11" si="14">N11*$E$4</f>
        <v>1111</v>
      </c>
      <c r="R11" s="123">
        <f t="shared" ref="R11" si="15">P11*Q11</f>
        <v>1111</v>
      </c>
    </row>
    <row r="12" spans="2:18" x14ac:dyDescent="0.3">
      <c r="B12" s="123">
        <f>INDEX('야채 계산기'!$3:$3,MATCH(C12,'야채 계산기'!$2:$2,0))</f>
        <v>0</v>
      </c>
      <c r="C12" s="256" t="s">
        <v>926</v>
      </c>
      <c r="D12" s="133">
        <v>2</v>
      </c>
      <c r="E12" s="123">
        <f t="shared" si="0"/>
        <v>0</v>
      </c>
      <c r="F12" s="123">
        <f t="shared" si="1"/>
        <v>0</v>
      </c>
      <c r="H12" s="123">
        <f>INDEX('야채 계산기'!$3:$3,MATCH(I12,'야채 계산기'!$2:$2,0))</f>
        <v>2840</v>
      </c>
      <c r="I12" s="37" t="s">
        <v>398</v>
      </c>
      <c r="J12" s="133">
        <v>1</v>
      </c>
      <c r="K12" s="123">
        <f t="shared" ref="K12:K13" si="16">H12*$E$4</f>
        <v>2868.4</v>
      </c>
      <c r="L12" s="123">
        <f t="shared" ref="L12:L13" si="17">J12*K12</f>
        <v>2868.4</v>
      </c>
      <c r="N12" s="123">
        <f>INDEX('야채 계산기'!$3:$3,MATCH(O12,'야채 계산기'!$2:$2,0))</f>
        <v>0</v>
      </c>
      <c r="O12" s="256" t="s">
        <v>925</v>
      </c>
      <c r="P12" s="133">
        <v>1</v>
      </c>
      <c r="Q12" s="123">
        <f t="shared" si="12"/>
        <v>0</v>
      </c>
      <c r="R12" s="123">
        <f t="shared" si="13"/>
        <v>0</v>
      </c>
    </row>
    <row r="13" spans="2:18" x14ac:dyDescent="0.3">
      <c r="H13" s="123">
        <f>INDEX('야채 계산기'!$3:$3,MATCH(I13,'야채 계산기'!$2:$2,0))</f>
        <v>1780</v>
      </c>
      <c r="I13" s="257" t="s">
        <v>563</v>
      </c>
      <c r="J13" s="133">
        <v>1</v>
      </c>
      <c r="K13" s="123">
        <f t="shared" si="16"/>
        <v>1797.8</v>
      </c>
      <c r="L13" s="123">
        <f t="shared" si="17"/>
        <v>1797.8</v>
      </c>
      <c r="N13" s="123">
        <f>INDEX('야채 계산기'!$3:$3,MATCH(O13,'야채 계산기'!$2:$2,0))</f>
        <v>1080</v>
      </c>
      <c r="O13" s="179" t="s">
        <v>496</v>
      </c>
      <c r="P13" s="133">
        <v>1</v>
      </c>
      <c r="Q13" s="123">
        <f t="shared" ref="Q13:Q16" si="18">N13*$E$4</f>
        <v>1090.8</v>
      </c>
      <c r="R13" s="123">
        <f t="shared" ref="R13:R16" si="19">P13*Q13</f>
        <v>1090.8</v>
      </c>
    </row>
    <row r="14" spans="2:18" x14ac:dyDescent="0.3">
      <c r="H14" s="123">
        <f>INDEX('야채 계산기'!$3:$3,MATCH(I14,'야채 계산기'!$2:$2,0))</f>
        <v>720</v>
      </c>
      <c r="I14" s="285" t="s">
        <v>649</v>
      </c>
      <c r="J14" s="133">
        <v>1</v>
      </c>
      <c r="K14" s="123">
        <f t="shared" ref="K14" si="20">H14*$E$4</f>
        <v>727.2</v>
      </c>
      <c r="L14" s="123">
        <f t="shared" ref="L14" si="21">J14*K14</f>
        <v>727.2</v>
      </c>
      <c r="N14" s="123">
        <f>INDEX('야채 계산기'!$3:$3,MATCH(O14,'야채 계산기'!$2:$2,0))</f>
        <v>2090</v>
      </c>
      <c r="O14" s="36" t="s">
        <v>490</v>
      </c>
      <c r="P14" s="133">
        <v>1</v>
      </c>
      <c r="Q14" s="123">
        <f t="shared" ref="Q14:Q15" si="22">N14*$E$4</f>
        <v>2110.9</v>
      </c>
      <c r="R14" s="123">
        <f t="shared" ref="R14:R15" si="23">P14*Q14</f>
        <v>2110.9</v>
      </c>
    </row>
    <row r="15" spans="2:18" x14ac:dyDescent="0.3">
      <c r="N15" s="123">
        <f>INDEX('야채 계산기'!$3:$3,MATCH(O15,'야채 계산기'!$2:$2,0))</f>
        <v>440</v>
      </c>
      <c r="O15" s="36" t="s">
        <v>599</v>
      </c>
      <c r="P15" s="133">
        <v>1</v>
      </c>
      <c r="Q15" s="123">
        <f t="shared" si="22"/>
        <v>444.4</v>
      </c>
      <c r="R15" s="123">
        <f t="shared" si="23"/>
        <v>444.4</v>
      </c>
    </row>
    <row r="16" spans="2:18" x14ac:dyDescent="0.3">
      <c r="N16" s="123">
        <f>INDEX('야채 계산기'!$3:$3,MATCH(O16,'야채 계산기'!$2:$2,0))</f>
        <v>1100</v>
      </c>
      <c r="O16" s="179" t="s">
        <v>575</v>
      </c>
      <c r="P16" s="133">
        <v>1</v>
      </c>
      <c r="Q16" s="123">
        <f t="shared" si="18"/>
        <v>1111</v>
      </c>
      <c r="R16" s="123">
        <f t="shared" si="19"/>
        <v>1111</v>
      </c>
    </row>
    <row r="17" spans="14:18" x14ac:dyDescent="0.3">
      <c r="N17" s="123">
        <f>INDEX('야채 계산기'!$3:$3,MATCH(O17,'야채 계산기'!$2:$2,0))</f>
        <v>1170</v>
      </c>
      <c r="O17" s="179" t="s">
        <v>624</v>
      </c>
      <c r="P17" s="133">
        <v>1</v>
      </c>
      <c r="Q17" s="123">
        <f>N17*$E$4</f>
        <v>1181.7</v>
      </c>
      <c r="R17" s="123">
        <f>P17*Q17</f>
        <v>1181.7</v>
      </c>
    </row>
    <row r="18" spans="14:18" x14ac:dyDescent="0.3">
      <c r="N18" s="123">
        <f>INDEX('야채 계산기'!$3:$3,MATCH(O18,'야채 계산기'!$2:$2,0))</f>
        <v>129</v>
      </c>
      <c r="O18" s="179" t="s">
        <v>210</v>
      </c>
      <c r="P18" s="133">
        <v>1</v>
      </c>
      <c r="Q18" s="123">
        <f t="shared" ref="Q18" si="24">N18*$E$4</f>
        <v>130.29</v>
      </c>
      <c r="R18" s="123">
        <f t="shared" ref="R18" si="25">P18*Q18</f>
        <v>130.29</v>
      </c>
    </row>
    <row r="19" spans="14:18" x14ac:dyDescent="0.3">
      <c r="N19" s="123">
        <f>INDEX('야채 계산기'!$3:$3,MATCH(O19,'야채 계산기'!$2:$2,0))</f>
        <v>1470</v>
      </c>
      <c r="O19" s="179" t="s">
        <v>638</v>
      </c>
      <c r="P19" s="133">
        <v>1</v>
      </c>
      <c r="Q19" s="123">
        <f t="shared" ref="Q19:Q23" si="26">N19*$E$4</f>
        <v>1484.7</v>
      </c>
      <c r="R19" s="123">
        <f t="shared" ref="R19:R23" si="27">P19*Q19</f>
        <v>1484.7</v>
      </c>
    </row>
    <row r="20" spans="14:18" x14ac:dyDescent="0.3">
      <c r="N20" s="123">
        <f>INDEX('야채 계산기'!$3:$3,MATCH(O20,'야채 계산기'!$2:$2,0))</f>
        <v>104</v>
      </c>
      <c r="O20" s="36" t="s">
        <v>208</v>
      </c>
      <c r="P20" s="133">
        <v>1</v>
      </c>
      <c r="Q20" s="123">
        <f t="shared" ref="Q20" si="28">N20*$E$4</f>
        <v>105.04</v>
      </c>
      <c r="R20" s="123">
        <f t="shared" ref="R20" si="29">P20*Q20</f>
        <v>105.04</v>
      </c>
    </row>
    <row r="21" spans="14:18" x14ac:dyDescent="0.3">
      <c r="N21" s="123">
        <f>INDEX('야채 계산기'!$3:$3,MATCH(O21,'야채 계산기'!$2:$2,0))</f>
        <v>1680</v>
      </c>
      <c r="O21" s="306" t="s">
        <v>715</v>
      </c>
      <c r="P21" s="133">
        <v>1</v>
      </c>
      <c r="Q21" s="123">
        <f t="shared" si="26"/>
        <v>1696.8</v>
      </c>
      <c r="R21" s="123">
        <f t="shared" si="27"/>
        <v>1696.8</v>
      </c>
    </row>
    <row r="22" spans="14:18" x14ac:dyDescent="0.3">
      <c r="N22" s="123">
        <f>INDEX('야채 계산기'!$3:$3,MATCH(O22,'야채 계산기'!$2:$2,0))</f>
        <v>0</v>
      </c>
      <c r="O22" s="142" t="s">
        <v>654</v>
      </c>
      <c r="P22" s="133">
        <v>1</v>
      </c>
      <c r="Q22" s="123">
        <f t="shared" si="26"/>
        <v>0</v>
      </c>
      <c r="R22" s="123">
        <f t="shared" si="27"/>
        <v>0</v>
      </c>
    </row>
    <row r="23" spans="14:18" x14ac:dyDescent="0.3">
      <c r="N23" s="123">
        <f>INDEX('야채 계산기'!$3:$3,MATCH(O23,'야채 계산기'!$2:$2,0))</f>
        <v>550</v>
      </c>
      <c r="O23" s="142" t="s">
        <v>776</v>
      </c>
      <c r="P23" s="133">
        <v>1</v>
      </c>
      <c r="Q23" s="123">
        <f t="shared" si="26"/>
        <v>555.5</v>
      </c>
      <c r="R23" s="123">
        <f t="shared" si="27"/>
        <v>555.5</v>
      </c>
    </row>
  </sheetData>
  <mergeCells count="6">
    <mergeCell ref="Q2:R2"/>
    <mergeCell ref="B2:C2"/>
    <mergeCell ref="E2:F2"/>
    <mergeCell ref="H2:I2"/>
    <mergeCell ref="K2:L2"/>
    <mergeCell ref="N2:O2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tabColor theme="5" tint="-0.249977111117893"/>
  </sheetPr>
  <dimension ref="A1:V27"/>
  <sheetViews>
    <sheetView workbookViewId="0">
      <selection activeCell="Q16" sqref="Q16"/>
    </sheetView>
  </sheetViews>
  <sheetFormatPr defaultRowHeight="16.5" x14ac:dyDescent="0.3"/>
  <cols>
    <col min="2" max="2" width="9" style="46"/>
    <col min="3" max="3" width="32.5" style="46" bestFit="1" customWidth="1"/>
    <col min="4" max="4" width="9.875" style="46" bestFit="1" customWidth="1"/>
    <col min="5" max="5" width="8.125" style="46" bestFit="1" customWidth="1"/>
    <col min="6" max="6" width="9.125" style="46" bestFit="1" customWidth="1"/>
    <col min="9" max="9" width="28.25" bestFit="1" customWidth="1"/>
    <col min="10" max="10" width="9.875" bestFit="1" customWidth="1"/>
    <col min="11" max="11" width="8.125" bestFit="1" customWidth="1"/>
    <col min="12" max="12" width="9.125" bestFit="1" customWidth="1"/>
    <col min="16" max="16" width="9.25" bestFit="1" customWidth="1"/>
    <col min="17" max="17" width="33.125" bestFit="1" customWidth="1"/>
    <col min="18" max="18" width="9.875" bestFit="1" customWidth="1"/>
  </cols>
  <sheetData>
    <row r="1" spans="1:20" ht="17.25" thickBot="1" x14ac:dyDescent="0.35"/>
    <row r="2" spans="1:20" ht="27" thickBot="1" x14ac:dyDescent="0.35">
      <c r="B2" s="355" t="s">
        <v>35</v>
      </c>
      <c r="C2" s="356"/>
      <c r="D2" s="122" t="s">
        <v>179</v>
      </c>
      <c r="E2" s="349">
        <f>SUM(F5:F26)</f>
        <v>30112.5</v>
      </c>
      <c r="F2" s="350"/>
      <c r="H2" s="355" t="s">
        <v>181</v>
      </c>
      <c r="I2" s="356"/>
      <c r="J2" s="122" t="s">
        <v>179</v>
      </c>
      <c r="K2" s="349">
        <f>SUM(L5:L27)</f>
        <v>52254.785000000003</v>
      </c>
      <c r="L2" s="350"/>
      <c r="P2" s="355" t="s">
        <v>284</v>
      </c>
      <c r="Q2" s="356"/>
      <c r="R2" s="122" t="s">
        <v>179</v>
      </c>
      <c r="S2" s="349">
        <f>SUM(T5:T20)</f>
        <v>5516.83</v>
      </c>
      <c r="T2" s="350"/>
    </row>
    <row r="3" spans="1:20" ht="6.75" customHeight="1" x14ac:dyDescent="0.3">
      <c r="H3" s="46"/>
      <c r="I3" s="46"/>
      <c r="J3" s="46"/>
      <c r="K3" s="46"/>
      <c r="L3" s="46"/>
      <c r="P3" s="46"/>
      <c r="Q3" s="46"/>
      <c r="R3" s="46"/>
      <c r="S3" s="46"/>
      <c r="T3" s="46"/>
    </row>
    <row r="4" spans="1:20" ht="17.25" thickBot="1" x14ac:dyDescent="0.35">
      <c r="B4" s="128" t="s">
        <v>31</v>
      </c>
      <c r="C4" s="234" t="s">
        <v>33</v>
      </c>
      <c r="D4" s="234" t="s">
        <v>30</v>
      </c>
      <c r="E4" s="128">
        <v>1.1000000000000001</v>
      </c>
      <c r="F4" s="128" t="s">
        <v>178</v>
      </c>
      <c r="H4" s="128" t="s">
        <v>31</v>
      </c>
      <c r="I4" s="234" t="s">
        <v>33</v>
      </c>
      <c r="J4" s="234" t="s">
        <v>30</v>
      </c>
      <c r="K4" s="128">
        <v>1.1000000000000001</v>
      </c>
      <c r="L4" s="128" t="s">
        <v>178</v>
      </c>
      <c r="P4" s="128" t="s">
        <v>31</v>
      </c>
      <c r="Q4" s="128" t="s">
        <v>33</v>
      </c>
      <c r="R4" s="128" t="s">
        <v>30</v>
      </c>
      <c r="S4" s="128">
        <v>1.1000000000000001</v>
      </c>
      <c r="T4" s="128" t="s">
        <v>178</v>
      </c>
    </row>
    <row r="5" spans="1:20" ht="17.25" thickTop="1" x14ac:dyDescent="0.3">
      <c r="B5" s="123">
        <f>INDEX('야채 계산기'!$3:$3,MATCH(C5,'야채 계산기'!$2:$2,0))</f>
        <v>3150</v>
      </c>
      <c r="C5" s="36" t="s">
        <v>18</v>
      </c>
      <c r="D5" s="37">
        <v>0.51</v>
      </c>
      <c r="E5" s="123">
        <f t="shared" ref="E5:E18" si="0">B5*$E$4</f>
        <v>3465.0000000000005</v>
      </c>
      <c r="F5" s="123">
        <f t="shared" ref="F5:F18" si="1">D5*E5</f>
        <v>1767.1500000000003</v>
      </c>
      <c r="H5" s="123">
        <f>INDEX('야채 계산기'!$3:$3,MATCH(I5,'야채 계산기'!$2:$2,0))</f>
        <v>3150</v>
      </c>
      <c r="I5" s="36" t="s">
        <v>18</v>
      </c>
      <c r="J5" s="133">
        <v>1.02</v>
      </c>
      <c r="K5" s="123">
        <f t="shared" ref="K5:K13" si="2">H5*$E$4</f>
        <v>3465.0000000000005</v>
      </c>
      <c r="L5" s="123">
        <f t="shared" ref="L5:L13" si="3">J5*K5</f>
        <v>3534.3000000000006</v>
      </c>
      <c r="P5" s="123">
        <f>INDEX('야채 계산기'!$3:$3,MATCH(Q5,'야채 계산기'!$2:$2,0))</f>
        <v>3150</v>
      </c>
      <c r="Q5" s="36" t="s">
        <v>18</v>
      </c>
      <c r="R5" s="133"/>
      <c r="S5" s="123">
        <f t="shared" ref="S5:S20" si="4">P5*$E$4</f>
        <v>3465.0000000000005</v>
      </c>
      <c r="T5" s="123">
        <f t="shared" ref="T5:T20" si="5">R5*S5</f>
        <v>0</v>
      </c>
    </row>
    <row r="6" spans="1:20" x14ac:dyDescent="0.3">
      <c r="B6" s="123">
        <f>INDEX('야채 계산기'!$3:$3,MATCH(C6,'야채 계산기'!$2:$2,0))</f>
        <v>3620</v>
      </c>
      <c r="C6" s="142" t="s">
        <v>303</v>
      </c>
      <c r="D6" s="37">
        <v>0.17</v>
      </c>
      <c r="E6" s="123">
        <f>B6*$E$4</f>
        <v>3982.0000000000005</v>
      </c>
      <c r="F6" s="123">
        <f>D6*E6</f>
        <v>676.94000000000017</v>
      </c>
      <c r="H6" s="123">
        <f>INDEX('야채 계산기'!$3:$3,MATCH(I6,'야채 계산기'!$2:$2,0))</f>
        <v>3620</v>
      </c>
      <c r="I6" s="36" t="s">
        <v>303</v>
      </c>
      <c r="J6" s="133">
        <v>0</v>
      </c>
      <c r="K6" s="123">
        <f t="shared" si="2"/>
        <v>3982.0000000000005</v>
      </c>
      <c r="L6" s="123">
        <f t="shared" si="3"/>
        <v>0</v>
      </c>
      <c r="P6" s="123">
        <f>INDEX('야채 계산기'!$3:$3,MATCH(Q6,'야채 계산기'!$2:$2,0))</f>
        <v>3620</v>
      </c>
      <c r="Q6" s="36" t="s">
        <v>303</v>
      </c>
      <c r="R6" s="133">
        <v>0.32</v>
      </c>
      <c r="S6" s="123">
        <f>P6*$E$4</f>
        <v>3982.0000000000005</v>
      </c>
      <c r="T6" s="123">
        <f>R6*S6</f>
        <v>1274.2400000000002</v>
      </c>
    </row>
    <row r="7" spans="1:20" x14ac:dyDescent="0.3">
      <c r="A7" t="s">
        <v>285</v>
      </c>
      <c r="B7" s="123">
        <f>INDEX('야채 계산기'!$3:$3,MATCH(C7,'야채 계산기'!$2:$2,0))</f>
        <v>1340</v>
      </c>
      <c r="C7" s="142" t="s">
        <v>443</v>
      </c>
      <c r="D7" s="37">
        <v>1.03</v>
      </c>
      <c r="E7" s="123">
        <f t="shared" si="0"/>
        <v>1474.0000000000002</v>
      </c>
      <c r="F7" s="123">
        <f t="shared" si="1"/>
        <v>1518.2200000000003</v>
      </c>
      <c r="H7" s="123">
        <f>INDEX('야채 계산기'!$3:$3,MATCH(I7,'야채 계산기'!$2:$2,0))</f>
        <v>2090</v>
      </c>
      <c r="I7" s="36" t="s">
        <v>489</v>
      </c>
      <c r="J7" s="133">
        <f>'[1]스팸무스비(25.8.26)'!$B$9</f>
        <v>1.98</v>
      </c>
      <c r="K7" s="123">
        <f t="shared" si="2"/>
        <v>2299</v>
      </c>
      <c r="L7" s="123">
        <f t="shared" si="3"/>
        <v>4552.0199999999995</v>
      </c>
      <c r="P7" s="123">
        <f>INDEX('야채 계산기'!$3:$3,MATCH(Q7,'야채 계산기'!$2:$2,0))</f>
        <v>4420</v>
      </c>
      <c r="Q7" s="36" t="s">
        <v>491</v>
      </c>
      <c r="R7" s="133">
        <v>0.35</v>
      </c>
      <c r="S7" s="123">
        <f t="shared" si="4"/>
        <v>4862</v>
      </c>
      <c r="T7" s="123">
        <f t="shared" si="5"/>
        <v>1701.6999999999998</v>
      </c>
    </row>
    <row r="8" spans="1:20" x14ac:dyDescent="0.3">
      <c r="A8" t="s">
        <v>285</v>
      </c>
      <c r="B8" s="123">
        <f>INDEX('야채 계산기'!$3:$3,MATCH(C8,'야채 계산기'!$2:$2,0))</f>
        <v>1100</v>
      </c>
      <c r="C8" s="142" t="s">
        <v>268</v>
      </c>
      <c r="D8" s="37">
        <v>2.5</v>
      </c>
      <c r="E8" s="123">
        <f>B8*$E$4</f>
        <v>1210</v>
      </c>
      <c r="F8" s="123">
        <f>D8*E8</f>
        <v>3025</v>
      </c>
      <c r="H8" s="123">
        <f>INDEX('야채 계산기'!$3:$3,MATCH(I8,'야채 계산기'!$2:$2,0))</f>
        <v>170</v>
      </c>
      <c r="I8" s="36" t="s">
        <v>174</v>
      </c>
      <c r="J8" s="37">
        <v>1.82</v>
      </c>
      <c r="K8" s="123">
        <f t="shared" si="2"/>
        <v>187.00000000000003</v>
      </c>
      <c r="L8" s="123">
        <f t="shared" si="3"/>
        <v>340.34000000000009</v>
      </c>
      <c r="P8" s="123">
        <f>INDEX('야채 계산기'!$3:$3,MATCH(Q8,'야채 계산기'!$2:$2,0))</f>
        <v>2090</v>
      </c>
      <c r="Q8" s="36" t="s">
        <v>489</v>
      </c>
      <c r="R8" s="133"/>
      <c r="S8" s="123">
        <f t="shared" si="4"/>
        <v>2299</v>
      </c>
      <c r="T8" s="123">
        <f t="shared" si="5"/>
        <v>0</v>
      </c>
    </row>
    <row r="9" spans="1:20" x14ac:dyDescent="0.3">
      <c r="A9" t="s">
        <v>285</v>
      </c>
      <c r="B9" s="123">
        <f>INDEX('야채 계산기'!$3:$3,MATCH(C9,'야채 계산기'!$2:$2,0))</f>
        <v>1050</v>
      </c>
      <c r="C9" s="249" t="s">
        <v>269</v>
      </c>
      <c r="D9" s="37">
        <v>1.2</v>
      </c>
      <c r="E9" s="123">
        <f t="shared" si="0"/>
        <v>1155</v>
      </c>
      <c r="F9" s="123">
        <f t="shared" si="1"/>
        <v>1386</v>
      </c>
      <c r="H9" s="123">
        <f>INDEX('야채 계산기'!$3:$3,MATCH(I9,'야채 계산기'!$2:$2,0))</f>
        <v>1100</v>
      </c>
      <c r="I9" s="256" t="s">
        <v>803</v>
      </c>
      <c r="J9" s="37">
        <v>2.56</v>
      </c>
      <c r="K9" s="123">
        <f t="shared" ref="K9" si="6">H9*$E$4</f>
        <v>1210</v>
      </c>
      <c r="L9" s="123">
        <f t="shared" ref="L9" si="7">J9*K9</f>
        <v>3097.6</v>
      </c>
      <c r="P9" s="123">
        <f>INDEX('야채 계산기'!$3:$3,MATCH(Q9,'야채 계산기'!$2:$2,0))</f>
        <v>170</v>
      </c>
      <c r="Q9" s="36" t="s">
        <v>174</v>
      </c>
      <c r="R9" s="37"/>
      <c r="S9" s="123">
        <f t="shared" si="4"/>
        <v>187.00000000000003</v>
      </c>
      <c r="T9" s="123">
        <f t="shared" si="5"/>
        <v>0</v>
      </c>
    </row>
    <row r="10" spans="1:20" x14ac:dyDescent="0.3">
      <c r="A10" t="s">
        <v>285</v>
      </c>
      <c r="B10" s="123">
        <f>INDEX('야채 계산기'!$3:$3,MATCH(C10,'야채 계산기'!$2:$2,0))</f>
        <v>1170</v>
      </c>
      <c r="C10" s="142" t="s">
        <v>624</v>
      </c>
      <c r="D10" s="37">
        <v>1.39</v>
      </c>
      <c r="E10" s="123">
        <f>B10*$E$4</f>
        <v>1287</v>
      </c>
      <c r="F10" s="123">
        <f>D10*E10</f>
        <v>1788.9299999999998</v>
      </c>
      <c r="H10" s="123">
        <f>INDEX('야채 계산기'!$3:$3,MATCH(I10,'야채 계산기'!$2:$2,0))</f>
        <v>0</v>
      </c>
      <c r="I10" s="256" t="s">
        <v>917</v>
      </c>
      <c r="J10" s="37">
        <v>2.56</v>
      </c>
      <c r="K10" s="123">
        <f t="shared" si="2"/>
        <v>0</v>
      </c>
      <c r="L10" s="123">
        <f t="shared" si="3"/>
        <v>0</v>
      </c>
      <c r="P10" s="123">
        <f>INDEX('야채 계산기'!$3:$3,MATCH(Q10,'야채 계산기'!$2:$2,0))</f>
        <v>0</v>
      </c>
      <c r="Q10" s="36" t="s">
        <v>495</v>
      </c>
      <c r="R10" s="37"/>
      <c r="S10" s="123">
        <f t="shared" si="4"/>
        <v>0</v>
      </c>
      <c r="T10" s="123">
        <f t="shared" si="5"/>
        <v>0</v>
      </c>
    </row>
    <row r="11" spans="1:20" x14ac:dyDescent="0.3">
      <c r="A11" t="s">
        <v>285</v>
      </c>
      <c r="B11" s="123">
        <f>INDEX('야채 계산기'!$3:$3,MATCH(C11,'야채 계산기'!$2:$2,0))</f>
        <v>1100</v>
      </c>
      <c r="C11" s="256" t="s">
        <v>803</v>
      </c>
      <c r="D11" s="37">
        <v>1.71</v>
      </c>
      <c r="E11" s="130">
        <f t="shared" ref="E11" si="8">B11*$E$4</f>
        <v>1210</v>
      </c>
      <c r="F11" s="130">
        <f t="shared" ref="F11" si="9">D11*E11</f>
        <v>2069.1</v>
      </c>
      <c r="H11" s="123">
        <f>INDEX('야채 계산기'!$3:$3,MATCH(I11,'야채 계산기'!$2:$2,0))</f>
        <v>6030</v>
      </c>
      <c r="I11" s="142" t="s">
        <v>302</v>
      </c>
      <c r="J11" s="37">
        <v>1.1299999999999999</v>
      </c>
      <c r="K11" s="123">
        <f t="shared" si="2"/>
        <v>6633.0000000000009</v>
      </c>
      <c r="L11" s="123">
        <f t="shared" si="3"/>
        <v>7495.29</v>
      </c>
      <c r="P11" s="123">
        <f>INDEX('야채 계산기'!$3:$3,MATCH(Q11,'야채 계산기'!$2:$2,0))</f>
        <v>6030</v>
      </c>
      <c r="Q11" s="36" t="s">
        <v>302</v>
      </c>
      <c r="R11" s="37"/>
      <c r="S11" s="123">
        <f t="shared" si="4"/>
        <v>6633.0000000000009</v>
      </c>
      <c r="T11" s="123">
        <f t="shared" si="5"/>
        <v>0</v>
      </c>
    </row>
    <row r="12" spans="1:20" x14ac:dyDescent="0.3">
      <c r="B12" s="123">
        <f>INDEX('야채 계산기'!$3:$3,MATCH(C12,'야채 계산기'!$2:$2,0))</f>
        <v>0</v>
      </c>
      <c r="C12" s="256" t="s">
        <v>916</v>
      </c>
      <c r="D12" s="37">
        <v>2.2200000000000002</v>
      </c>
      <c r="E12" s="130">
        <f t="shared" si="0"/>
        <v>0</v>
      </c>
      <c r="F12" s="130">
        <f t="shared" si="1"/>
        <v>0</v>
      </c>
      <c r="H12" s="123">
        <f>INDEX('야채 계산기'!$3:$3,MATCH(I12,'야채 계산기'!$2:$2,0))</f>
        <v>55</v>
      </c>
      <c r="I12" s="142" t="s">
        <v>492</v>
      </c>
      <c r="J12" s="37">
        <f>'[1]착한비빔밥(25.10.23)'!$B$14</f>
        <v>0.47</v>
      </c>
      <c r="K12" s="123">
        <f t="shared" si="2"/>
        <v>60.500000000000007</v>
      </c>
      <c r="L12" s="123">
        <f t="shared" si="3"/>
        <v>28.435000000000002</v>
      </c>
      <c r="N12" t="s">
        <v>332</v>
      </c>
      <c r="P12" s="123">
        <f>INDEX('야채 계산기'!$3:$3,MATCH(Q12,'야채 계산기'!$2:$2,0))</f>
        <v>55</v>
      </c>
      <c r="Q12" s="36" t="s">
        <v>492</v>
      </c>
      <c r="R12" s="37"/>
      <c r="S12" s="123">
        <f t="shared" si="4"/>
        <v>60.500000000000007</v>
      </c>
      <c r="T12" s="123">
        <f t="shared" si="5"/>
        <v>0</v>
      </c>
    </row>
    <row r="13" spans="1:20" x14ac:dyDescent="0.3">
      <c r="B13" s="123">
        <f>INDEX('야채 계산기'!$3:$3,MATCH(C13,'야채 계산기'!$2:$2,0))</f>
        <v>2200</v>
      </c>
      <c r="C13" s="142" t="s">
        <v>757</v>
      </c>
      <c r="D13" s="37">
        <v>1.05</v>
      </c>
      <c r="E13" s="130">
        <f t="shared" si="0"/>
        <v>2420</v>
      </c>
      <c r="F13" s="130">
        <f t="shared" si="1"/>
        <v>2541</v>
      </c>
      <c r="H13" s="123">
        <f>INDEX('야채 계산기'!$3:$3,MATCH(I13,'야채 계산기'!$2:$2,0))</f>
        <v>1190</v>
      </c>
      <c r="I13" s="142" t="s">
        <v>326</v>
      </c>
      <c r="J13" s="37">
        <v>0.51</v>
      </c>
      <c r="K13" s="123">
        <f t="shared" si="2"/>
        <v>1309</v>
      </c>
      <c r="L13" s="123">
        <f t="shared" si="3"/>
        <v>667.59</v>
      </c>
      <c r="N13" t="s">
        <v>327</v>
      </c>
      <c r="P13" s="123">
        <f>INDEX('야채 계산기'!$3:$3,MATCH(Q13,'야채 계산기'!$2:$2,0))</f>
        <v>1190</v>
      </c>
      <c r="Q13" s="36" t="s">
        <v>326</v>
      </c>
      <c r="R13" s="37">
        <v>0.89</v>
      </c>
      <c r="S13" s="123">
        <f t="shared" si="4"/>
        <v>1309</v>
      </c>
      <c r="T13" s="123">
        <f t="shared" si="5"/>
        <v>1165.01</v>
      </c>
    </row>
    <row r="14" spans="1:20" x14ac:dyDescent="0.3">
      <c r="A14" t="s">
        <v>520</v>
      </c>
      <c r="B14" s="123">
        <f>INDEX('야채 계산기'!$3:$3,MATCH(C14,'야채 계산기'!$2:$2,0))</f>
        <v>55</v>
      </c>
      <c r="C14" s="142" t="s">
        <v>492</v>
      </c>
      <c r="D14" s="37">
        <v>0.42000000000000004</v>
      </c>
      <c r="E14" s="130">
        <f>B14*$E$4</f>
        <v>60.500000000000007</v>
      </c>
      <c r="F14" s="130">
        <f>D14*E14</f>
        <v>25.410000000000004</v>
      </c>
      <c r="H14" s="123">
        <f>INDEX('야채 계산기'!$3:$3,MATCH(I14,'야채 계산기'!$2:$2,0))</f>
        <v>1170</v>
      </c>
      <c r="I14" s="142" t="s">
        <v>624</v>
      </c>
      <c r="J14" s="37">
        <v>0.85</v>
      </c>
      <c r="K14" s="123">
        <f>H14*$E$4</f>
        <v>1287</v>
      </c>
      <c r="L14" s="123">
        <f>J14*K14</f>
        <v>1093.95</v>
      </c>
      <c r="N14" t="s">
        <v>519</v>
      </c>
      <c r="P14" s="123">
        <f>INDEX('야채 계산기'!$3:$3,MATCH(Q14,'야채 계산기'!$2:$2,0))</f>
        <v>2840</v>
      </c>
      <c r="Q14" s="36" t="s">
        <v>256</v>
      </c>
      <c r="R14" s="138"/>
      <c r="S14" s="123">
        <f t="shared" si="4"/>
        <v>3124.0000000000005</v>
      </c>
      <c r="T14" s="123">
        <f t="shared" si="5"/>
        <v>0</v>
      </c>
    </row>
    <row r="15" spans="1:20" x14ac:dyDescent="0.3">
      <c r="A15" t="s">
        <v>311</v>
      </c>
      <c r="B15" s="123">
        <f>INDEX('야채 계산기'!$3:$3,MATCH(C15,'야채 계산기'!$2:$2,0))</f>
        <v>810</v>
      </c>
      <c r="C15" s="142" t="s">
        <v>604</v>
      </c>
      <c r="D15" s="37">
        <v>0.51</v>
      </c>
      <c r="E15" s="130">
        <f t="shared" si="0"/>
        <v>891.00000000000011</v>
      </c>
      <c r="F15" s="130">
        <f t="shared" si="1"/>
        <v>454.41000000000008</v>
      </c>
      <c r="H15" s="123">
        <f>INDEX('야채 계산기'!$3:$3,MATCH(I15,'야채 계산기'!$2:$2,0))</f>
        <v>2840</v>
      </c>
      <c r="I15" s="142" t="s">
        <v>256</v>
      </c>
      <c r="J15" s="138">
        <v>3.07</v>
      </c>
      <c r="K15" s="123">
        <f t="shared" ref="K15:K19" si="10">H15*$E$4</f>
        <v>3124.0000000000005</v>
      </c>
      <c r="L15" s="123">
        <f t="shared" ref="L15:L19" si="11">J15*K15</f>
        <v>9590.68</v>
      </c>
      <c r="N15" t="s">
        <v>311</v>
      </c>
      <c r="P15" s="123">
        <f>INDEX('야채 계산기'!$3:$3,MATCH(Q15,'야채 계산기'!$2:$2,0))</f>
        <v>1290</v>
      </c>
      <c r="Q15" s="36" t="s">
        <v>261</v>
      </c>
      <c r="R15" s="138"/>
      <c r="S15" s="123">
        <f t="shared" si="4"/>
        <v>1419.0000000000002</v>
      </c>
      <c r="T15" s="123">
        <f t="shared" si="5"/>
        <v>0</v>
      </c>
    </row>
    <row r="16" spans="1:20" x14ac:dyDescent="0.3">
      <c r="B16" s="123">
        <f>INDEX('야채 계산기'!$3:$3,MATCH(C16,'야채 계산기'!$2:$2,0))</f>
        <v>2840</v>
      </c>
      <c r="C16" s="36" t="s">
        <v>256</v>
      </c>
      <c r="D16" s="37">
        <v>1.2</v>
      </c>
      <c r="E16" s="130">
        <f>B16*$E$4</f>
        <v>3124.0000000000005</v>
      </c>
      <c r="F16" s="130">
        <f>D16*E16</f>
        <v>3748.8</v>
      </c>
      <c r="H16" s="123">
        <f>INDEX('야채 계산기'!$3:$3,MATCH(I16,'야채 계산기'!$2:$2,0))</f>
        <v>1290</v>
      </c>
      <c r="I16" s="142" t="s">
        <v>261</v>
      </c>
      <c r="J16" s="138">
        <v>1</v>
      </c>
      <c r="K16" s="123">
        <f t="shared" si="10"/>
        <v>1419.0000000000002</v>
      </c>
      <c r="L16" s="123">
        <f t="shared" si="11"/>
        <v>1419.0000000000002</v>
      </c>
      <c r="P16" s="123">
        <f>INDEX('야채 계산기'!$3:$3,MATCH(Q16,'야채 계산기'!$2:$2,0))</f>
        <v>30</v>
      </c>
      <c r="Q16" s="36" t="s">
        <v>299</v>
      </c>
      <c r="R16" s="138">
        <v>1.94</v>
      </c>
      <c r="S16" s="123">
        <f t="shared" si="4"/>
        <v>33</v>
      </c>
      <c r="T16" s="123">
        <f t="shared" si="5"/>
        <v>64.02</v>
      </c>
    </row>
    <row r="17" spans="1:22" x14ac:dyDescent="0.3">
      <c r="B17" s="123">
        <f>INDEX('야채 계산기'!$3:$3,MATCH(C17,'야채 계산기'!$2:$2,0))</f>
        <v>1190</v>
      </c>
      <c r="C17" s="36" t="s">
        <v>324</v>
      </c>
      <c r="D17" s="37">
        <v>1.03</v>
      </c>
      <c r="E17" s="130">
        <f>B17*$E$4</f>
        <v>1309</v>
      </c>
      <c r="F17" s="130">
        <f>D17*E17</f>
        <v>1348.27</v>
      </c>
      <c r="H17" s="123">
        <f>INDEX('야채 계산기'!$3:$3,MATCH(I17,'야채 계산기'!$2:$2,0))</f>
        <v>4900</v>
      </c>
      <c r="I17" s="142" t="s">
        <v>298</v>
      </c>
      <c r="J17" s="138">
        <v>1.18</v>
      </c>
      <c r="K17" s="123">
        <f t="shared" si="10"/>
        <v>5390</v>
      </c>
      <c r="L17" s="123">
        <f t="shared" si="11"/>
        <v>6360.2</v>
      </c>
      <c r="P17" s="123">
        <f>INDEX('야채 계산기'!$3:$3,MATCH(Q17,'야채 계산기'!$2:$2,0))</f>
        <v>1100</v>
      </c>
      <c r="Q17" s="36" t="s">
        <v>268</v>
      </c>
      <c r="R17" s="138"/>
      <c r="S17" s="123">
        <f t="shared" si="4"/>
        <v>1210</v>
      </c>
      <c r="T17" s="123">
        <f t="shared" si="5"/>
        <v>0</v>
      </c>
      <c r="V17" t="s">
        <v>328</v>
      </c>
    </row>
    <row r="18" spans="1:22" x14ac:dyDescent="0.3">
      <c r="B18" s="123">
        <f>INDEX('야채 계산기'!$3:$3,MATCH(C18,'야채 계산기'!$2:$2,0))</f>
        <v>1290</v>
      </c>
      <c r="C18" s="36" t="s">
        <v>262</v>
      </c>
      <c r="D18" s="37">
        <v>0.95</v>
      </c>
      <c r="E18" s="130">
        <f t="shared" si="0"/>
        <v>1419.0000000000002</v>
      </c>
      <c r="F18" s="130">
        <f t="shared" si="1"/>
        <v>1348.0500000000002</v>
      </c>
      <c r="H18" s="123">
        <f>INDEX('야채 계산기'!$3:$3,MATCH(I18,'야채 계산기'!$2:$2,0))</f>
        <v>1100</v>
      </c>
      <c r="I18" s="142" t="s">
        <v>268</v>
      </c>
      <c r="J18" s="138">
        <v>0.51</v>
      </c>
      <c r="K18" s="123">
        <f t="shared" si="10"/>
        <v>1210</v>
      </c>
      <c r="L18" s="123">
        <f t="shared" si="11"/>
        <v>617.1</v>
      </c>
      <c r="N18" t="s">
        <v>295</v>
      </c>
      <c r="P18" s="123">
        <f>INDEX('야채 계산기'!$3:$3,MATCH(Q18,'야채 계산기'!$2:$2,0))</f>
        <v>1050</v>
      </c>
      <c r="Q18" s="36" t="s">
        <v>269</v>
      </c>
      <c r="R18" s="138"/>
      <c r="S18" s="123">
        <f t="shared" si="4"/>
        <v>1155</v>
      </c>
      <c r="T18" s="123">
        <f t="shared" si="5"/>
        <v>0</v>
      </c>
    </row>
    <row r="19" spans="1:22" x14ac:dyDescent="0.3">
      <c r="B19" s="123">
        <f>INDEX('야채 계산기'!$3:$3,MATCH(C19,'야채 계산기'!$2:$2,0))</f>
        <v>4420</v>
      </c>
      <c r="C19" s="36" t="s">
        <v>491</v>
      </c>
      <c r="D19" s="37">
        <v>0.18</v>
      </c>
      <c r="E19" s="130">
        <f t="shared" ref="E19:E22" si="12">B19*$E$4</f>
        <v>4862</v>
      </c>
      <c r="F19" s="130">
        <f t="shared" ref="F19:F22" si="13">D19*E19</f>
        <v>875.16</v>
      </c>
      <c r="H19" s="123">
        <f>INDEX('야채 계산기'!$3:$3,MATCH(I19,'야채 계산기'!$2:$2,0))</f>
        <v>1050</v>
      </c>
      <c r="I19" s="142" t="s">
        <v>269</v>
      </c>
      <c r="J19" s="138">
        <v>0.51</v>
      </c>
      <c r="K19" s="123">
        <f t="shared" si="10"/>
        <v>1155</v>
      </c>
      <c r="L19" s="123">
        <f t="shared" si="11"/>
        <v>589.04999999999995</v>
      </c>
      <c r="N19" t="s">
        <v>295</v>
      </c>
      <c r="P19" s="123">
        <f>INDEX('야채 계산기'!$3:$3,MATCH(Q19,'야채 계산기'!$2:$2,0))</f>
        <v>1340</v>
      </c>
      <c r="Q19" s="36" t="s">
        <v>443</v>
      </c>
      <c r="R19" s="138">
        <v>0.89</v>
      </c>
      <c r="S19" s="123">
        <f t="shared" si="4"/>
        <v>1474.0000000000002</v>
      </c>
      <c r="T19" s="123">
        <f t="shared" si="5"/>
        <v>1311.8600000000001</v>
      </c>
    </row>
    <row r="20" spans="1:22" x14ac:dyDescent="0.3">
      <c r="B20" s="123">
        <f>INDEX('야채 계산기'!$3:$3,MATCH(C20,'야채 계산기'!$2:$2,0))</f>
        <v>2020</v>
      </c>
      <c r="C20" s="36" t="s">
        <v>753</v>
      </c>
      <c r="D20" s="37">
        <v>0.1</v>
      </c>
      <c r="E20" s="130">
        <f t="shared" si="12"/>
        <v>2222</v>
      </c>
      <c r="F20" s="130">
        <f t="shared" si="13"/>
        <v>222.20000000000002</v>
      </c>
      <c r="H20" s="123">
        <f>INDEX('야채 계산기'!$3:$3,MATCH(I20,'야채 계산기'!$2:$2,0))</f>
        <v>1340</v>
      </c>
      <c r="I20" s="142" t="s">
        <v>443</v>
      </c>
      <c r="J20" s="138">
        <v>0.52</v>
      </c>
      <c r="K20" s="123">
        <f t="shared" ref="K20:K23" si="14">H20*$E$4</f>
        <v>1474.0000000000002</v>
      </c>
      <c r="L20" s="123">
        <f t="shared" ref="L20:L23" si="15">J20*K20</f>
        <v>766.48000000000013</v>
      </c>
      <c r="N20" t="s">
        <v>266</v>
      </c>
      <c r="P20" s="123">
        <f>INDEX('야채 계산기'!$3:$3,MATCH(Q20,'야채 계산기'!$2:$2,0))</f>
        <v>140</v>
      </c>
      <c r="Q20" s="36" t="s">
        <v>189</v>
      </c>
      <c r="R20" s="138"/>
      <c r="S20" s="123">
        <f t="shared" si="4"/>
        <v>154</v>
      </c>
      <c r="T20" s="123">
        <f t="shared" si="5"/>
        <v>0</v>
      </c>
    </row>
    <row r="21" spans="1:22" x14ac:dyDescent="0.3">
      <c r="B21" s="123">
        <f>INDEX('야채 계산기'!$3:$3,MATCH(C21,'야채 계산기'!$2:$2,0))</f>
        <v>1100</v>
      </c>
      <c r="C21" s="36" t="s">
        <v>586</v>
      </c>
      <c r="D21" s="37">
        <v>0.59</v>
      </c>
      <c r="E21" s="130">
        <f t="shared" si="12"/>
        <v>1210</v>
      </c>
      <c r="F21" s="130">
        <f t="shared" si="13"/>
        <v>713.9</v>
      </c>
      <c r="H21" s="123">
        <f>INDEX('야채 계산기'!$3:$3,MATCH(I21,'야채 계산기'!$2:$2,0))</f>
        <v>140</v>
      </c>
      <c r="I21" s="142" t="s">
        <v>804</v>
      </c>
      <c r="J21" s="138">
        <f>'[1]착한김치김밥(250612)슈퍼'!$B$23</f>
        <v>0.68</v>
      </c>
      <c r="K21" s="123">
        <f t="shared" si="14"/>
        <v>154</v>
      </c>
      <c r="L21" s="123">
        <f t="shared" si="15"/>
        <v>104.72000000000001</v>
      </c>
      <c r="N21" t="s">
        <v>266</v>
      </c>
    </row>
    <row r="22" spans="1:22" x14ac:dyDescent="0.3">
      <c r="A22" t="s">
        <v>328</v>
      </c>
      <c r="B22" s="123">
        <f>INDEX('야채 계산기'!$3:$3,MATCH(C22,'야채 계산기'!$2:$2,0))</f>
        <v>550</v>
      </c>
      <c r="C22" s="36" t="s">
        <v>776</v>
      </c>
      <c r="D22" s="37">
        <v>0.31</v>
      </c>
      <c r="E22" s="130">
        <f t="shared" si="12"/>
        <v>605</v>
      </c>
      <c r="F22" s="130">
        <f t="shared" si="13"/>
        <v>187.55</v>
      </c>
      <c r="H22" s="123">
        <f>INDEX('야채 계산기'!$3:$3,MATCH(I22,'야채 계산기'!$2:$2,0))</f>
        <v>1630</v>
      </c>
      <c r="I22" s="142" t="s">
        <v>722</v>
      </c>
      <c r="J22" s="138">
        <v>2.5</v>
      </c>
      <c r="K22" s="123">
        <f t="shared" ref="K22" si="16">H22*$E$4</f>
        <v>1793.0000000000002</v>
      </c>
      <c r="L22" s="123">
        <f t="shared" ref="L22" si="17">J22*K22</f>
        <v>4482.5000000000009</v>
      </c>
      <c r="N22" t="s">
        <v>266</v>
      </c>
    </row>
    <row r="23" spans="1:22" x14ac:dyDescent="0.3">
      <c r="B23" s="123">
        <f>INDEX('야채 계산기'!$3:$3,MATCH(C23,'야채 계산기'!$2:$2,0))</f>
        <v>720</v>
      </c>
      <c r="C23" s="36" t="s">
        <v>649</v>
      </c>
      <c r="D23" s="37">
        <v>1.03</v>
      </c>
      <c r="E23" s="130">
        <f t="shared" ref="E23:E26" si="18">B23*$E$4</f>
        <v>792.00000000000011</v>
      </c>
      <c r="F23" s="130">
        <f t="shared" ref="F23:F26" si="19">D23*E23</f>
        <v>815.7600000000001</v>
      </c>
      <c r="H23" s="123">
        <f>INDEX('야채 계산기'!$3:$3,MATCH(I23,'야채 계산기'!$2:$2,0))</f>
        <v>1100</v>
      </c>
      <c r="I23" s="142" t="s">
        <v>805</v>
      </c>
      <c r="J23" s="138">
        <v>1.98</v>
      </c>
      <c r="K23" s="123">
        <f t="shared" si="14"/>
        <v>1210</v>
      </c>
      <c r="L23" s="123">
        <f t="shared" si="15"/>
        <v>2395.8000000000002</v>
      </c>
      <c r="N23" t="s">
        <v>266</v>
      </c>
      <c r="V23" t="s">
        <v>498</v>
      </c>
    </row>
    <row r="24" spans="1:22" x14ac:dyDescent="0.3">
      <c r="A24" t="s">
        <v>285</v>
      </c>
      <c r="B24" s="123">
        <f>INDEX('야채 계산기'!$3:$3,MATCH(C24,'야채 계산기'!$2:$2,0))</f>
        <v>1680</v>
      </c>
      <c r="C24" s="36" t="s">
        <v>711</v>
      </c>
      <c r="D24" s="37">
        <v>0.77</v>
      </c>
      <c r="E24" s="130">
        <f t="shared" si="18"/>
        <v>1848.0000000000002</v>
      </c>
      <c r="F24" s="130">
        <f t="shared" si="19"/>
        <v>1422.9600000000003</v>
      </c>
      <c r="H24" s="123">
        <f>INDEX('야채 계산기'!$3:$3,MATCH(I24,'야채 계산기'!$2:$2,0))</f>
        <v>1780</v>
      </c>
      <c r="I24" s="142" t="s">
        <v>806</v>
      </c>
      <c r="J24" s="138">
        <v>1.25</v>
      </c>
      <c r="K24" s="123">
        <f t="shared" ref="K24:K27" si="20">H24*$E$4</f>
        <v>1958.0000000000002</v>
      </c>
      <c r="L24" s="123">
        <f t="shared" ref="L24:L27" si="21">J24*K24</f>
        <v>2447.5000000000005</v>
      </c>
      <c r="N24" t="s">
        <v>273</v>
      </c>
    </row>
    <row r="25" spans="1:22" x14ac:dyDescent="0.3">
      <c r="B25" s="123">
        <f>INDEX('야채 계산기'!$3:$3,MATCH(C25,'야채 계산기'!$2:$2,0))</f>
        <v>1630</v>
      </c>
      <c r="C25" s="36" t="s">
        <v>722</v>
      </c>
      <c r="D25" s="37">
        <v>2.33</v>
      </c>
      <c r="E25" s="130">
        <f t="shared" ref="E25" si="22">B25*$E$4</f>
        <v>1793.0000000000002</v>
      </c>
      <c r="F25" s="130">
        <f t="shared" ref="F25" si="23">D25*E25</f>
        <v>4177.6900000000005</v>
      </c>
      <c r="H25" s="123">
        <f>INDEX('야채 계산기'!$3:$3,MATCH(I25,'야채 계산기'!$2:$2,0))</f>
        <v>720</v>
      </c>
      <c r="I25" s="142" t="s">
        <v>807</v>
      </c>
      <c r="J25" s="138">
        <v>0.89</v>
      </c>
      <c r="K25" s="123">
        <f t="shared" ref="K25:K26" si="24">H25*$E$4</f>
        <v>792.00000000000011</v>
      </c>
      <c r="L25" s="123">
        <f t="shared" ref="L25:L26" si="25">J25*K25</f>
        <v>704.88000000000011</v>
      </c>
    </row>
    <row r="26" spans="1:22" x14ac:dyDescent="0.3">
      <c r="B26" s="123">
        <f>INDEX('야채 계산기'!$3:$3,MATCH(C26,'야채 계산기'!$2:$2,0))</f>
        <v>0</v>
      </c>
      <c r="C26" s="36" t="s">
        <v>654</v>
      </c>
      <c r="D26" s="37">
        <v>0.51</v>
      </c>
      <c r="E26" s="130">
        <f t="shared" si="18"/>
        <v>0</v>
      </c>
      <c r="F26" s="130">
        <f t="shared" si="19"/>
        <v>0</v>
      </c>
      <c r="H26" s="123">
        <f>INDEX('야채 계산기'!$3:$3,MATCH(I26,'야채 계산기'!$2:$2,0))</f>
        <v>2020</v>
      </c>
      <c r="I26" s="142" t="s">
        <v>808</v>
      </c>
      <c r="J26" s="138">
        <v>0.85</v>
      </c>
      <c r="K26" s="123">
        <f t="shared" si="24"/>
        <v>2222</v>
      </c>
      <c r="L26" s="123">
        <f t="shared" si="25"/>
        <v>1888.7</v>
      </c>
    </row>
    <row r="27" spans="1:22" x14ac:dyDescent="0.3">
      <c r="H27" s="123">
        <f>INDEX('야채 계산기'!$3:$3,MATCH(I27,'야채 계산기'!$2:$2,0))</f>
        <v>550</v>
      </c>
      <c r="I27" s="142" t="s">
        <v>809</v>
      </c>
      <c r="J27" s="138">
        <v>0.13</v>
      </c>
      <c r="K27" s="123">
        <f t="shared" si="20"/>
        <v>605</v>
      </c>
      <c r="L27" s="123">
        <f t="shared" si="21"/>
        <v>78.650000000000006</v>
      </c>
    </row>
  </sheetData>
  <mergeCells count="6">
    <mergeCell ref="S2:T2"/>
    <mergeCell ref="B2:C2"/>
    <mergeCell ref="E2:F2"/>
    <mergeCell ref="H2:I2"/>
    <mergeCell ref="K2:L2"/>
    <mergeCell ref="P2:Q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1</vt:i4>
      </vt:variant>
    </vt:vector>
  </HeadingPairs>
  <TitlesOfParts>
    <vt:vector size="10" baseType="lpstr">
      <vt:lpstr>Sheet1</vt:lpstr>
      <vt:lpstr>야채 계산기</vt:lpstr>
      <vt:lpstr>조미식초</vt:lpstr>
      <vt:lpstr>Sheet2</vt:lpstr>
      <vt:lpstr>발주시트</vt:lpstr>
      <vt:lpstr>마요네즈, 참치</vt:lpstr>
      <vt:lpstr>정제염</vt:lpstr>
      <vt:lpstr>바코드</vt:lpstr>
      <vt:lpstr>볶음참깨, 참기름</vt:lpstr>
      <vt:lpstr>발주시트!Print_Area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GFS_품질관리_06</dc:creator>
  <cp:lastModifiedBy>GFS</cp:lastModifiedBy>
  <cp:lastPrinted>2026-09-22T01:26:52Z</cp:lastPrinted>
  <dcterms:created xsi:type="dcterms:W3CDTF">2022-06-23T23:32:28Z</dcterms:created>
  <dcterms:modified xsi:type="dcterms:W3CDTF">2026-10-27T01:20:31Z</dcterms:modified>
</cp:coreProperties>
</file>